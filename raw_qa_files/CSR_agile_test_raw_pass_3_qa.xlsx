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D2B8708B-402F-40B3-8569-4AB26B6ABE01}" xr6:coauthVersionLast="47" xr6:coauthVersionMax="47" xr10:uidLastSave="{00000000-0000-0000-0000-000000000000}"/>
  <bookViews>
    <workbookView xWindow="0" yWindow="0" windowWidth="0" windowHeight="0" xr2:uid="{00000000-000D-0000-FFFF-FFFF00000000}"/>
  </bookViews>
  <sheets>
    <sheet name="Evaluation_Data" sheetId="1" r:id="rId1"/>
    <sheet name="QA_Analytic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2" l="1"/>
  <c r="C18" i="2"/>
  <c r="B18" i="2"/>
  <c r="D17" i="2"/>
  <c r="C17" i="2"/>
  <c r="B17" i="2"/>
  <c r="D16" i="2"/>
  <c r="C16" i="2"/>
  <c r="B16" i="2"/>
  <c r="D12" i="2"/>
  <c r="C12" i="2"/>
  <c r="B12" i="2"/>
  <c r="D11" i="2"/>
  <c r="C11" i="2"/>
  <c r="B11" i="2"/>
  <c r="D10" i="2"/>
  <c r="C10" i="2"/>
  <c r="B10" i="2"/>
  <c r="D9" i="2"/>
  <c r="C9" i="2"/>
  <c r="B9" i="2"/>
  <c r="D8" i="2"/>
  <c r="C8" i="2"/>
  <c r="B8" i="2"/>
  <c r="D7" i="2"/>
  <c r="C7" i="2"/>
  <c r="B7" i="2"/>
  <c r="D3" i="2"/>
  <c r="C3" i="2"/>
  <c r="B3" i="2"/>
</calcChain>
</file>

<file path=xl/sharedStrings.xml><?xml version="1.0" encoding="utf-8"?>
<sst xmlns="http://schemas.openxmlformats.org/spreadsheetml/2006/main" count="1149" uniqueCount="722">
  <si>
    <t>Placeholder</t>
  </si>
  <si>
    <t>Instruction</t>
  </si>
  <si>
    <t>Replacement</t>
  </si>
  <si>
    <t>Ai detected placeholder</t>
  </si>
  <si>
    <t>Judgement on AI's Accuracy (feedback by human)</t>
  </si>
  <si>
    <t>Expected Detection (feedback by human)</t>
  </si>
  <si>
    <t>Instruction text</t>
  </si>
  <si>
    <t>Writing instruction</t>
  </si>
  <si>
    <t>Writing instruction updated? (yes/no)</t>
  </si>
  <si>
    <t>Updated writing instruction</t>
  </si>
  <si>
    <t>AI Replaced Text</t>
  </si>
  <si>
    <t>Replacement Element Type</t>
  </si>
  <si>
    <t>Matched Sources</t>
  </si>
  <si>
    <t>Matched Sources Reference</t>
  </si>
  <si>
    <t>Matched Sources Score</t>
  </si>
  <si>
    <t>Matched Sources Result</t>
  </si>
  <si>
    <t>Placeholder Type</t>
  </si>
  <si>
    <t>Placeholder ID</t>
  </si>
  <si>
    <t>Placeholder Score</t>
  </si>
  <si>
    <t>Replacement Score</t>
  </si>
  <si>
    <t>&lt;Sponsor's Name&gt;</t>
  </si>
  <si>
    <t>Retrieve details about the sponsor's name for inclusion in inline text, focusing on its role in the Clinical Study Report.</t>
  </si>
  <si>
    <t>yes</t>
  </si>
  <si>
    <t>Insert the sponsor's name 'Stendarr, Inc.' inline, ensuring continuity with the surrounding text 'Clinical Study Report'.</t>
  </si>
  <si>
    <t>Stendarr, Inc.</t>
  </si>
  <si>
    <t>Paragraph</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</si>
  <si>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"doc::fd2ccc75:layout::0:para::7", "content": "Sponsor: Stendarr, Inc.", "index": "section@para", "score": 2.0, "type": "PWR_USED", "heading_path": ["Study Title:"], "filename": "Mock_CSR Key messages_with_heading.docx"}, {"id": "doc::4877313e:layout::0:para::14", "content": "Sponsor Signatory:", "index": "section@para", "score": 2.0, "type": "PWR_DROP", "heading_path": ["TITLE PAGE"], "filename": "Mock_CSR_Protocol.docx"}, {"id": "doc::4877313e:layout::0:para::6", "content": "Acronym: Not applicable Sponsor Name: Stendarr, Inc.", "index": "section@para", "score": 2.0, "type": "PWR_USED",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"PWR_DROP", "heading_path": ["Overall Design", "Single Ascending 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"PWR_DROP", "heading_path": ["Preparation/Handling/Storage/Accountability"],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2.0, "type": "PWR_DROP", "heading_path": ["Dose Modification", "Dose Escalation and Stopping Criteria"], "filename": "Mock_CSR_Protocol.docx"}]</t>
  </si>
  <si>
    <t>Inline</t>
  </si>
  <si>
    <t>doc::7cd3e10f:layout::0:header::0::ph::0</t>
  </si>
  <si>
    <t>&lt;Study Title&gt;</t>
  </si>
  <si>
    <t>Retrieve detailed information about the study title, ensuring alignment with the placeholder's positional context in the document.</t>
  </si>
  <si>
    <t>Resolve the placeholder 'Study Title' located at the beginning of the paragraph following the previous paragraph context. Ensure the resolved title matches the explicitly stated study title in the document, and format it as a standalone paragraph.</t>
  </si>
  <si>
    <t>&lt;p&gt;A First-In-Human, Phase 1, Randomized, Double-Blind, Placebo-Controlled Study to Evaluate the Safety, Tolerability, and Pharmacokinetics of ABC-123 as a Single Dose in Healthy Participants and as Multiple Doses in Participants with Grade 2 Boneitis&lt;/p&gt;</t>
  </si>
  <si>
    <t>[{"id": "doc::fd2ccc75:layout::0:para::1", "content": "Document Title: Clinical Study Report", "index": "section@para", "score": 4.0,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4.0, "type": "PWR_USED", "heading_path": [],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["Synopsis"], "filename": "Mock_CSR_Protocol.docx"}, {"id": "doc::fd2ccc75:layout::0:para::0", "content": "Clinical Study Report: Key Message", "index": "section@para", "score": 2.0, "type": "PWR_DROP", "heading_path": [], "filename": "Mock_CSR Key messages_with_heading.docx"},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"doc::fd2ccc75:layout::0:para::11", "content": "The secondary objective of this study:", "index": "section@para", "score": 2.0, "type": "PWR_DROP", "heading_path": ["1. Study Objective"], "filename": "Mock_CSR Key messages_with_heading.docx"}, {"id": "doc::fd2ccc75:layout::0:para::15", "content": "The exploratory objective of this study:", "index": "section@para", "score": 2.0, "type": "PWR_DROP", "heading_path": ["1. Study Objective"], "filename": "Mock_CSR Key messages_with_heading.docx"}, {"id":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2.0, "type": "PWR_DROP",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t>
  </si>
  <si>
    <t>doc::7cd3e10f:layout::0:para::2::ph::0</t>
  </si>
  <si>
    <t>&lt;Investigational Drug Name&gt;</t>
  </si>
  <si>
    <t>Retrieve specific details about the investigational drug name, focusing on TITLE PAGE or Study Title sections.</t>
  </si>
  <si>
    <t>Resolve the placeholder 'Investigational Drug Name' for the table caption '&lt;Study Title&gt;' with column headers 'Investigational Drug Name:', 'Indication Studied:', and 'Protocol Number:', ensuring the output matches the positional context provided.</t>
  </si>
  <si>
    <t>ABC-123</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</si>
  <si>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["5. Interpretation &amp; Conclusion"], "filename": "Mock_CSR Key messages_with_heading.docx"}, {"id": "doc::4877313e:layout::18:para::26", "content": "Participation in a clinical study involving administration of an investigational drug (new chemical entity) in the past 30 days or 5 half-lives of last dose (whichever is longer) prior to first dosing.", "index": "section@para", "score": 8.0, "type": "PWR_DROP", "heading_path": ["Exclusion Criteria"],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"doc::4877313e:layout::21:para::1", "content": "Study intervention is defined as any investigational intervention(s), marketed product(s), or placebo intended to be administered to a study participant according to the study protocol.", "index": "section@para", "score": 6.0, "type": "PWR_DROP",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t>
  </si>
  <si>
    <t>KeyValue</t>
  </si>
  <si>
    <t>doc::7cd3e10f:layout::0:table::3:row::0:cell::1::ph::0</t>
  </si>
  <si>
    <t>&lt;Insert Disease Name&gt;</t>
  </si>
  <si>
    <t>Search for the disease or indication studied in the clinical trial, specifically under the TITLE PAGE section or related headings.</t>
  </si>
  <si>
    <t>Resolve the placeholder '&lt;Insert Disease Name&gt;' in the context of the TITLE PAGE section, under the table caption '&lt;Study Title&gt;' and column headers 'Investigational Drug Name', 'Indication Studied', and 'Protocol Number', ensuring it aligns with the row labeled 'Indication Studied'.</t>
  </si>
  <si>
    <t>Grade 2 boneitis</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</si>
  <si>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["5. Interpretation &amp; Conclusion"],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"CNM_ADD",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"PWR_DROP", "heading_path": ["Benefit/Risk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6.0, "type": "PWR_DROP", "heading_path": ["Exclusion Criteria"], "filename": "Mock_CSR_Protocol.docx"}]</t>
  </si>
  <si>
    <t>doc::7cd3e10f:layout::0:table::3:row::0:cell::1::ph::1</t>
  </si>
  <si>
    <t>&lt;Protocol Identification (Code or Number)&gt;</t>
  </si>
  <si>
    <t>Retrieve details specifically related to protocol identification, including codes or numbers, ensuring alignment with the table caption 'Study Title' and the context of the TITLE PAGE.</t>
  </si>
  <si>
    <t>Resolve the placeholder '&lt;Protocol Identification (Code or Number)&gt;' by referencing the protocol number provided under the TITLE PAGE section, within the context of the table caption 'Study Title' and the column headers 'Investigational Drug Name', 'Indication Studied', and 'Protocol Number'.</t>
  </si>
  <si>
    <t>SKY-2000-101</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</si>
  <si>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12.0,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12.0, "type": "CNM_ADD", "heading_path": ["Synopsis"], "filename": "Mock_CSR_Protocol.docx"}, {"id": "doc::72df3a00:layout::22:para::0", "content": "Protocol Version No: Final Version 2.0, 01MAR2023 Study Code: ST-4536", "index": "section@para", "score": 10.0, "type": "CNM_ADD", "heading_path": ["SOFTWARE"], "filename": "Mock SAP _03Jun2026.docx"}, {"id": "doc::72df3a00:layout::28:para::1", "content": "Protocol Version No: Final Version 2.0, 01MAR2023 Study Code: ST-4536", "index": "section@para", "score": 10.0, "type": "CNM_ADD", "heading_path": ["SOFTWARE"], "filename": "Mock SAP _03Jun2026.docx"},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"doc::4877313e:layout::0:para::2", "content": "Protocol Number: SKY-2000-101", "index": "section@para", "score": 8.0, "type": "PWR_USED", "heading_path": ["TITLE PAGE"], "filename": "Mock_CSR_Protocol.docx"}, {"id": "doc::4877313e:layout::21:para::1", "content": "Study intervention is defined as any investigational intervention(s), marketed product(s), or placebo intended to be administered to a study participant according to the study protocol.", "index": "section@para", "score": 8.0, "type": "PWR_DROP",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8.0, "type": "PWR_DROP", "heading_path": ["Measures to Minimize Bias: Randomization and Blinding"], "filename": "Mock_CSR_Protocol.docx"}, {"id": "doc::4877313e:layout::28:para::1", "content": "Study procedures and their timing are summarized in the SoA (). Protocol waivers or exemptions are not allowed.", "index": "section@para", "score": 8.0, "type": "PWR_DROP", "heading_path": ["STUDY ASSESSMENTS AND PROCEDURES"], "filename": "Mock_CSR_Protocol.docx"}]</t>
  </si>
  <si>
    <t>doc::7cd3e10f:layout::0:table::3:row::0:cell::1::ph::2</t>
  </si>
  <si>
    <t>Retrieve details about the investigational drug name specifically for the TITLE PAGE context and related study materials.</t>
  </si>
  <si>
    <t>Resolve the placeholder 'Investigational Drug Name' for the table caption 'Study Title' under the parent heading 'TITLE PAGE', ensuring alignment with the column header 'Investigational Drug Name:' and contextual references.</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</si>
  <si>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["5. Interpretation &amp; Conclusion"], "filename": "Mock_CSR Key messages_with_heading.docx"}, {"id": "doc::4877313e:layout::18:para::26", "content": "Participation in a clinical study involving administration of an investigational drug (new chemical entity) in the past 30 days or 5 half-lives of last dose (whichever is longer) prior to first dosing.", "index": "section@para", "score": 8.0, "type": "CNM_ADD", "heading_path": ["Exclusion Criteria"],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"doc::4877313e:layout::21:para::1", "content": "Study intervention is defined as any investigational intervention(s), marketed product(s), or placebo intended to be administered to a study participant according to the study protocol.", "index": "section@para", "score": 6.0, "type": "PWR_DROP",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t>
  </si>
  <si>
    <t>doc::7cd3e10f:layout::0:table::3:row::0:cell::2::ph::0</t>
  </si>
  <si>
    <t>Retrieve details related to the disease name studied in the protocol, focusing on descriptions within tables or title pages.</t>
  </si>
  <si>
    <t>Resolve the placeholder 'Insert Disease Name' using the provided context, leveraging positional identifiers such as the table caption '&lt;Study Title&gt;', column headers 'Investigational Drug Name:', 'Indication Studied:', and 'Protocol Number:', and row label 'Indication Studied:' to ensure accuracy.</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</si>
  <si>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["5. Interpretation &amp; Conclusion"],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"PWR_DROP", "heading_path": ["Benefit/Risk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6.0, "type": "PWR_DROP", "heading_path": ["Exclusion Criteria"], "filename": "Mock_CSR_Protocol.docx"}]</t>
  </si>
  <si>
    <t>doc::7cd3e10f:layout::0:table::3:row::0:cell::2::ph::1</t>
  </si>
  <si>
    <t>Retrieve details about protocol identification codes or numbers, especially under headings or tables related to study titles or protocol information.</t>
  </si>
  <si>
    <t>Resolve the placeholder 'Protocol Identification (Code or Number)' based on its position within the TITLE PAGE heading and its association with the table caption '&lt;Study Title&gt;' and row label 'Protocol Number:'.</t>
  </si>
  <si>
    <t>doc::7cd3e10f:layout::0:table::3:row::0:cell::2::ph::2</t>
  </si>
  <si>
    <t>Retrieve context specifically mentioning the investigational drug name, focusing on protocol details or study drug descriptions.</t>
  </si>
  <si>
    <t>Resolve the placeholder 'Investigational Drug Name' using the context provided under the TITLE PAGE heading, specifically referencing the column header path and paragraph content where the drug name ABC-123 was detailed.</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</si>
  <si>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["5. Interpretation &amp; Conclusion"], "filename": "Mock_CSR Key messages_with_heading.docx"}, {"id": "doc::4877313e:layout::18:para::26", "content": "Participation in a clinical study involving administration of an investigational drug (new chemical entity) in the past 30 days or 5 half-lives of last dose (whichever is longer) prior to first dosing.", "index": "section@para", "score": 8.0, "type": "CNM_ADD", "heading_path": ["Exclusion Criteria"],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"doc::4877313e:layout::21:para::1", "content": "Study intervention is defined as any investigational intervention(s), marketed product(s), or placebo intended to be administered to a study participant according to the study protocol.", "index": "section@para", "score": 6.0, "type": "CNM_ADD",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"CNM_ADD", "heading_path": ["Measures to Minimize Bias: Randomization and Blinding"], "filename": "Mock_CSR_Protocol.docx"}]</t>
  </si>
  <si>
    <t>doc::7cd3e10f:layout::0:table::3:row::0:cell::3::ph::0</t>
  </si>
  <si>
    <t>Retrieve details about the disease studied, specifically under the context of the investigational drug ABC-123 and the protocol number SKY-2000-101.</t>
  </si>
  <si>
    <t>Resolve the placeholder '&lt;Insert Disease Name&gt;' within the context of the TITLE PAGE, specifically under the table caption 'Study Title,' and column headers 'Investigational Drug Name,' 'Indication Studied,' and 'Protocol Number,' ensuring the disease name aligns with the study's focus.</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</si>
  <si>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"PWR_DROP",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"PWR_DROP", "heading_path": ["Synopsis"],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["5. Interpretation &amp; Conclusion"],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"CNM_ADD",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"CNM_ADD", "heading_path": ["Benefit/Risk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6.0, "type": "CNM_ADD", "heading_path": ["Exclusion Criteria"], "filename": "Mock_CSR_Protocol.docx"}]</t>
  </si>
  <si>
    <t>doc::7cd3e10f:layout::0:table::3:row::0:cell::3::ph::1</t>
  </si>
  <si>
    <t>Retrieve details about protocol numbers and codes, especially for placeholders within table contexts labeled 'TITLE PAGE' and associated with investigational drug names or indications.</t>
  </si>
  <si>
    <t>Resolve the placeholder 'Protocol Identification (Code or Number)' specifically for the table context under the caption 'Study Title', focusing on the column headers 'Investigational Drug Name', 'Indication Studied', and 'Protocol Number', using the explicit protocol number provided in the authoritative context.</t>
  </si>
  <si>
    <t>doc::7cd3e10f:layout::0:table::3:row::0:cell::3::ph::2</t>
  </si>
  <si>
    <t>&lt;IND Number&gt;</t>
  </si>
  <si>
    <t>Retrieve details related to the regulatory agency identifier number, specifically the IND number, within the context of the TITLE PAGE or similar headings.</t>
  </si>
  <si>
    <t>Resolve the placeholder 'IND Number' using the value '123456' as found in the context under the TITLE PAGE, specifically within the row labeled 'Regulatory Agency Identifier Number(s):' and the column header 'Regulatory Agency Identifier Number(s):' in the table captioned 'Study Title.'</t>
  </si>
  <si>
    <t>123456</t>
  </si>
  <si>
    <t>[{"id": "doc::4877313e:layout::0:para::11", "content": "Regulatory Agency Identifier Number(s): IND: 123456", "index": "section@para", "score": 8.0, "type": "PWR_USED", "heading_path": ["TITLE PAGE"], "filename": "Mock_CSR_Protocol.docx"}, {"id": "doc::fd2ccc75:layout::0:para::1", "content": "Document Title: Clinical Study Report", "index": "section@para", "score": 6.0,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"PWR_DROP",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"doc::4877313e:layout::38:para::0",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"doc::4877313e:layout::46:para::0",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"PWR_DROP", "heading_path": ["Synopsis"],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t>
  </si>
  <si>
    <t>doc::7cd3e10f:layout::0:table::3:row::1:cell::1::ph::0</t>
  </si>
  <si>
    <t>Retrieve details specific to the IND number mentioned in the context, focusing on regulatory identifiers and their associated documentation.</t>
  </si>
  <si>
    <t>Resolve the placeholder 'IND Number' using the value '123456' from the context under the column header 'Regulatory Agency Identifier Number(s):' and row label 'Regulatory Agency Identifier Number(s):' within the parent heading 'TITLE PAGE'.</t>
  </si>
  <si>
    <t>[{"id": "doc::4877313e:layout::0:para::11", "content": "Regulatory Agency Identifier Number(s): IND: 123456", "index": "section@para", "score": 8.0, "type": "PWR_USED", "heading_path": ["TITLE PAGE"], "filename": "Mock_CSR_Protocol.docx"}, {"id":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"doc::4877313e:layout::38:para::0", "content": "The Investigator must permit study-related monitoring, audits, IRB/IEC review, and regulatory agency inspections and provide direct access to source data documents.", "index": "section@para", "score": 6.0, "type": "CNM_ADD", "heading_path": ["Appendix 1: Regulatory, Ethical, and Study Oversight Considerations", "Data Quality Assurance"], "filename": "Mock_CSR_Protocol.docx"}, {"id": "doc::4877313e:layout::46:para::0", "content": "The Investigator must permit study-related monitoring, audits, IRB/IEC review, and regulatory agency inspections and provide direct access to source data documents.", "index": "section@para", "score": 6.0, "type": "CNM_ADD", "heading_path": ["Appendix 1: Regulatory, Ethical, and Study Oversight Considerations", "Data Quality Assurance"],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"PWR_DROP", "heading_path": ["Synopsis"],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"CNM_ADD", "heading_path": ["6. Regulatory or Development Implications"], "filename": "Mock_CSR Key messages_with_heading.docx"}]</t>
  </si>
  <si>
    <t>doc::7cd3e10f:layout::0:table::3:row::1:cell::2::ph::0</t>
  </si>
  <si>
    <t>Retrieve information related to the IND number associated with the protocol described under the TITLE PAGE heading, particularly focusing on regulatory identifiers.</t>
  </si>
  <si>
    <t>Resolve the placeholder 'IND Number' located within the TITLE PAGE heading, under the column 'Regulatory Agency Identifier Number(s):' and row 'Regulatory Agency Identifier Number(s):', using the context explicitly provided.</t>
  </si>
  <si>
    <t>[{"id": "doc::4877313e:layout::0:para::11", "content": "Regulatory Agency Identifier Number(s): IND: 123456", "index": "section@para", "score": 8.0, "type": "PWR_USED", "heading_path": ["TITLE PAGE"], "filename": "Mock_CSR_Protocol.docx"}, {"id":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"doc::4877313e:layout::38:para::0",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"doc::4877313e:layout::46:para::0",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t>
  </si>
  <si>
    <t>doc::7cd3e10f:layout::0:table::3:row::1:cell::3::ph::0</t>
  </si>
  <si>
    <t>&lt;PHASE X&gt;</t>
  </si>
  <si>
    <t>Refine retrieval to focus on Phase 1 study details, matching titles and descriptions related to developmental phases.</t>
  </si>
  <si>
    <t>Resolve the placeholder 'PHASE X' in the context of a table cell under the caption '&lt;Study Title&gt;', with the column header 'Developmental Phase:' and row label 'Developmental Phase:', ensuring alignment with the TITLE PAGE section.</t>
  </si>
  <si>
    <t>Phase 1</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</si>
  <si>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"doc::4877313e:layout::0:para::5", "content": "Short Title: Phase 1 RCT of ABC-123 in healthy participants (SAD) and participants with boneitis (repeat-dose)", "index": "section@para", "score": 8.0, "type": "PWR_USED", "heading_path": ["TITLE PAGE"], "filename": "Mock_CSR_Protocol.docx"}, {"id": "doc::4877313e:layout::5:para::3", "content": "Short Title: Phase 1 RCT of ABC-123 in healthy participants (SAD) and participants with boneitis (repeat-dose)", "index": "section@para", "score": 8.0, "type": "CNM_ADD", "heading_path": ["Synopsis"], "filename": "Mock_CSR_Protocol.docx"}, {"id": "doc::fd2ccc75:layout::0:para::1", "content": "Document Title: Clinical Study Report", "index": "section@para", "score": 6.0, "type": "PWR_USED",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"CNM_ADD",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6.0, "type": "PWR_USED", "heading_path": ["Study Title:"],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6.0, "type": "PWR_DROP",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6.0, "type": "PWR_DROP", "heading_path": ["6. Regulatory or Development Implications"], "filename": "Mock_CSR Key messages_with_heading.docx"}]</t>
  </si>
  <si>
    <t>doc::7cd3e10f:layout::0:table::3:row::2:cell::1::ph::0</t>
  </si>
  <si>
    <t>Retrieve details specifically about the developmental phase of the study titled 'A First-In-Human, Phase 1, Randomized, Double-Blind, Placebo-Controlled Study to Evaluate the Safety, Tolerability, and Pharmacokinetics of ABC-123.'</t>
  </si>
  <si>
    <t>Resolve the placeholder '&lt;PHASE X&gt;' in the context of the table caption 'Study Title,' column header 'Developmental Phase,' row label 'Developmental Phase,' and parent heading 'TITLE PAGE.' Ensure the output aligns with the described study phase.</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</si>
  <si>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["Synopsis"], "filename": "Mock_CSR_Protocol.docx"}, {"id": "doc::4877313e:layout::0:para::5", "content": "Short Title: Phase 1 RCT of ABC-123 in healthy participants (SAD) and participants with boneitis (repeat-dose)", "index": "section@para", "score": 8.0, "type": "CNM_ADD", "heading_path": ["TITLE PAGE"], "filename": "Mock_CSR_Protocol.docx"}, {"id": "doc::4877313e:layout::5:para::3", "content": "Short Title: Phase 1 RCT of ABC-123 in healthy participants (SAD) and participants with boneitis (repeat-dose)", "index": "section@para", "score": 8.0, "type": "CNM_ADD", "heading_path": ["Synopsis"], "filename": "Mock_CSR_Protocol.docx"}, {"id":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"CNM_ADD",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6.0, "type": "PWR_USED", "heading_path": ["Study Title:"],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6.0, "type": "CNM_ADD",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6.0, "type": "CNM_ADD", "heading_path": ["6. Regulatory or Development Implications"], "filename": "Mock_CSR Key messages_with_heading.docx"}]</t>
  </si>
  <si>
    <t>doc::7cd3e10f:layout::0:table::3:row::2:cell::2::ph::0</t>
  </si>
  <si>
    <t>Retrieve data specifically describing the developmental phase of the study, focusing on Phase 1 details.</t>
  </si>
  <si>
    <t>Resolve the placeholder '&lt;PHASE X&gt;' to 'Phase 1' based on its position in the context: table caption '&lt;Study Title&gt;', column header 'Developmental Phase:', row label 'Developmental Phase:', and parent heading 'TITLE PAGE'.</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</si>
  <si>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["Synopsis"], "filename": "Mock_CSR_Protocol.docx"}, {"id": "doc::4877313e:layout::0:para::5", "content": "Short Title: Phase 1 RCT of ABC-123 in healthy participants (SAD) and participants with boneitis (repeat-dose)", "index": "section@para", "score": 8.0, "type": "CNM_ADD", "heading_path": ["TITLE PAGE"], "filename": "Mock_CSR_Protocol.docx"}, {"id": "doc::4877313e:layout::5:para::3", "content": "Short Title: Phase 1 RCT of ABC-123 in healthy participants (SAD) and participants with boneitis (repeat-dose)", "index": "section@para", "score": 8.0, "type": "CNM_ADD", "heading_path": ["Synopsis"], "filename": "Mock_CSR_Protocol.docx"}, {"id": "doc::fd2ccc75:layout::0:para::1", "content": "Document Title: Clinical Study Report", "index": "section@para", "score": 6.0, "type": "PWR_USED",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"CNM_ADD",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6.0, "type": "PWR_USED", "heading_path": ["Study Title:"],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6.0, "type": "CNM_ADD",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6.0, "type": "CNM_ADD", "heading_path": ["6. Regulatory or Development Implications"], "filename": "Mock_CSR Key messages_with_heading.docx"}]</t>
  </si>
  <si>
    <t>doc::7cd3e10f:layout::0:table::3:row::2:cell::3::ph::0</t>
  </si>
  <si>
    <t>Retrieve information specifically about the sponsor's name from the provided study details, focusing on unique identifiers such as protocol numbers or study drug associations.</t>
  </si>
  <si>
    <t>Resolve the placeholder 'Sponsor's Name' in the context of the TITLE PAGE, specifically under the table caption 'Study Title', within the row labeled 'Sponsor:', ensuring alignment with study-specific details.</t>
  </si>
  <si>
    <t>[{"id":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t>
  </si>
  <si>
    <t>doc::7cd3e10f:layout::0:table::3:row::3:cell::1::ph::0</t>
  </si>
  <si>
    <t>&lt;Sponsor's Address&gt;</t>
  </si>
  <si>
    <t>Locate details about the sponsor's address, specifically within the TITLE PAGE section, ensuring alignment with the placeholder's positional context.</t>
  </si>
  <si>
    <t>Resolve the placeholder 'Sponsor's Address' using the table caption 'Study Title', column headers 'Sponsor' and 'Study Duration', row label 'Sponsor', and parent heading 'TITLE PAGE'.</t>
  </si>
  <si>
    <t>&lt;p&gt;123 Fake Street, Anytown, CO, USA 80002&lt;/p&gt;</t>
  </si>
  <si>
    <t>[{"id":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28.0, "type": "PWR_DROP", "heading_path": ["Synopsis"], "filename": "Mock_CSR_Protocol.docx"},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26.0, "type": "PWR_DROP", "heading_path": ["Study Title:"], "filename": "Mock_CSR Key messages_with_heading.docx"}, {"id": "doc::4877313e:layout::5:para::13",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24.0, "type": "PWR_DROP", "heading_path": ["Synopsis", "Objectives and Endpoints:"], "filename": "Mock_CSR_Protocol.docx"}, {"id": "doc::72df3a00:layout::6:para::1", "content": "This is a FIH, double-blind, parallel-group, randomised, placebo-controlled study designed to evaluate the safety, tolerability, and PK of single and multiple ascending oral doses of ABC-123 in healthy subjects.", "index": "section@para", "score": 18.0, "type": "PWR_DROP", "heading_path": ["CLINICAL STUDY DETAILS", "Clinical Study Design"], "filename": "Mock SAP _03Jun2026.docx"}, {"id": "doc::4877313e:layout::15:para::5", "content": "The SAD portion of the study is double-blind, randomized, placebo-controlled, single ascending dose design in up to 6 cohorts of healthy participants.", "index": "section@para", "score": 14.0, "type": "PWR_DROP", "heading_path": ["Overall Design", "Single Ascending Dose"], "filename": "Mock_CSR_Protocol.docx"}, {"id": "doc::4877313e:layout::16:para::4", "content": "The repeat-dose portion of the study is a double-blind, randomized, placebo-controlled design in 1 cohort of participants with boneitis.", "index": "section@para", "score": 14.0, "type": "PWR_DROP", "heading_path": ["Overall Design", "Repeat-Dose"],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12.0, "type": "PWR_DROP", "heading_path": ["6. Regulatory or Development Implications"], "filename": "Mock_CSR Key messages_with_heading.docx"},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10.0, "type": "PWR_DROP", "heading_path": ["2. Study Design Overview"], "filename": "Mock_CSR Key messages_with_heading.docx"},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10.0, "type": "PWR_DROP", "heading_path": ["Overall Design"],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10.0, "type": "PWR_DROP", "heading_path": ["Overall Design", "Single Ascending Dose"],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"PWR_DROP",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8.0,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8.0, "type": "PWR_DROP", "heading_path": ["Immunogenicity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8.0, "type": "PWR_DROP", "heading_path": ["Immunogenicity Assessments"],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8.0,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8.0,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8.0,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8.0,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8.0,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6.0, "type": "PWR_DROP", "heading_path": ["Appendix 5: Contraceptive Guidance and Collection of Pregnancy Information", "Female participants who become pregnant"],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4.0, "type": "PWR_USED", "heading_path": [],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t>
  </si>
  <si>
    <t>doc::7cd3e10f:layout::0:table::3:row::3:cell::1::ph::1</t>
  </si>
  <si>
    <t>Retrieve information specifically related to the sponsor's name within the context of clinical study documentation, particularly under the title page or study title sections.</t>
  </si>
  <si>
    <t>Resolve the placeholder 'Sponsor's Name' using the sponsor information specifically mentioned in the study title section, ensuring alignment with the positional context of the table caption 'Study Title', column headers 'Sponsor: Study Duration:', and the row label 'Sponsor:' under the parent heading 'TITLE PAGE'.</t>
  </si>
  <si>
    <t>[{"id":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"CNM_ADD",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"CNM_ADD",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"CNM_ADD",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t>
  </si>
  <si>
    <t>doc::7cd3e10f:layout::0:table::3:row::3:cell::2::ph::0</t>
  </si>
  <si>
    <t>Locate details specifically related to the sponsor's address within the TITLE PAGE section of the document, focusing on positional identifiers like table captions and row labels.</t>
  </si>
  <si>
    <t>Resolve the placeholder 'Sponsor's Address' specifically for the cell within the TITLE PAGE table, under the column headers 'Sponsor' and 'Study Duration,' and the row labeled 'Sponsor.' Ensure the resolution aligns with the positional context provided.</t>
  </si>
  <si>
    <t>123 Fake Street, Anytown, CO, USA 80002</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</si>
  <si>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"PWR_DROP",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8.0,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8.0, "type": "PWR_DROP", "heading_path": ["Immunogenicity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8.0, "type": "PWR_DROP", "heading_path": ["Immunogenicity Assessments"],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8.0,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8.0,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8.0,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8.0,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8.0,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"doc::fd2ccc75:layout::0:para::7", "content": "Sponsor: Stendarr, Inc.", "index": "section@para", "score": 6.0, "type": "PWR_DROP", "heading_path": ["Study Title:"], "filename": "Mock_CSR Key messages_with_heading.docx"}, {"id": "doc::4877313e:layout::0:para::6", "content": "Acronym: Not applicable Sponsor Name: Stendarr, Inc.", "index": "section@para", "score": 6.0, "type": "PWR_DROP", "heading_path": ["TITLE PAGE"],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6.0, "type": "PWR_DROP", "heading_path": ["Appendix 5: Contraceptive Guidance and Collection of Pregnancy Information", "Female participants who become pregnant"], "filename": "Mock_CSR_Protocol.docx"}, {"id": "doc::72df3a00:layout::0:table::2::caption", "content": "&lt;table&gt;&lt;tr&gt;&lt;th&gt;&lt;p&gt;&lt;span style=\"font-size: 14.0pt\" class=\"Default Paragraph Font font:Times New Roman\"&gt;&lt;strong&gt;Sponsor:&lt;/strong&gt;&lt;/span&gt;&lt;/p&gt;&lt;/th&gt;&lt;th&gt;&lt;p&gt;&lt;span style=\"font-size: 14.0pt\" class=\"Default Paragraph Font font:Times New Roman\"&gt;&lt;em&gt;Stendarr, Inc.&lt;/em&gt;&lt;/span&gt;&lt;/p&gt;&lt;/th&gt;&lt;/tr&gt;&lt;tr&gt;&lt;td&gt;&lt;p&gt;&lt;span style=\"font-size: 14.0pt\" class=\"Default Paragraph Font font:Times New Roman\"&gt;&lt;strong&gt;Study code:&lt;/strong&gt;&lt;/span&gt;&lt;/p&gt;&lt;/td&gt;&lt;td&gt;&lt;p&gt;&lt;span style=\"font-size: 14.0pt\" class=\"Default Paragraph Font font:Times New Roman\"&gt;&lt;em&gt;ST-4536&lt;/em&gt;&lt;/span&gt;&lt;/p&gt;&lt;/td&gt;&lt;/tr&gt;&lt;tr&gt;&lt;td&gt;&lt;p&gt;&lt;span style=\"font-size: 14.0pt\" class=\"Default Paragraph Font font:Times New Roman\"&gt;&lt;strong&gt;CTC project no:&lt;/strong&gt;&lt;/span&gt;&lt;/p&gt;&lt;/td&gt;&lt;td&gt;&lt;p&gt;&lt;span style=\"font-size: 14.0pt\" class=\"Default Paragraph Font font:Times New Roman\"&gt;&lt;em&gt;225-22-2022&lt;/em&gt;&lt;/span&gt;&lt;/p&gt;&lt;/td&gt;&lt;/tr&gt;&lt;tr&gt;&lt;td&gt;&lt;p&gt;&lt;span style=\"font-size: 14.0pt\" class=\"Default Paragraph Font font:Times New Roman\"&gt;&lt;strong&gt;Study title:&lt;/strong&gt;&lt;/span&gt;&lt;/p&gt;&lt;/td&gt;&lt;td&gt;&lt;p&gt;&lt;span style=\"font-size: 14.0pt\" class=\"Default Paragraph Font font:Times New Roman\"&gt;&lt;em&gt;A First-In-Human, Phase 1, Randomized, Double-Blind, Placebo-Controlled Study to Evaluate the Safety, Tolerability, and Pharmacokinetics of ABC-123 as a Single Dose in Healthy Participants and as Multiple Doses in Participants with Grade 2\u00a0Boneitis&lt;/em&gt;&lt;/span&gt;&lt;/p&gt;&lt;/td&gt;&lt;/tr&gt;&lt;tr&gt;&lt;td&gt;&lt;p&gt;&lt;span style=\"font-size: 14.0pt\" class=\"Default Paragraph Font font:Times New Roman\"&gt;&lt;strong&gt;SAP version and date:&lt;/strong&gt;&lt;/span&gt;&lt;/p&gt;&lt;/td&gt;&lt;td&gt;&lt;p&gt;&lt;span style=\"font-size: 14.0pt\" class=\"Default Paragraph Font font:Times New Roman\"&gt;&lt;em&gt;Draft version 0.1 05MAR2023 Draft version 0.2 11MAR2023&lt;/em&gt;&lt;/span&gt;&lt;/p&gt;&lt;p&gt;&lt;span style=\"font-size: 14.0pt\" class=\"Default Paragraph Font font:Times New Roman\"&gt;&lt;em&gt;Final version 1.0 17MAR2023&lt;/em&gt;&lt;/span&gt;&lt;/p&gt;&lt;/td&gt;&lt;/tr&gt;&lt;/table&gt;", "index": "table@full", "score": 6.0, "type": "PWR_DROP", "heading_path": ["Sponsor: Stendarr, Inc."], "filename": "Mock SAP _03Jun2026.docx"},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4.0, "type": "PWR_USED", "heading_path": [],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4.0, "type": "PWR_DROP", "heading_path": ["Appendix 1: Regulatory, Ethical, and Study Oversight Considerations", "Data Quality Assurance"],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"doc::fd2ccc75:layout::0:para::42", "content": "We have 1 Demographics Table [Refer Source: CSR_Mock Tables]",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t>
  </si>
  <si>
    <t>doc::7cd3e10f:layout::0:table::3:row::3:cell::2::ph::1</t>
  </si>
  <si>
    <t>Retrieve information specifically about the sponsor associated with the clinical study, focusing on the title page or introductory sections.</t>
  </si>
  <si>
    <t>Resolve the placeholder 'Sponsor's Name' within the context of the TITLE PAGE, specifically under the table caption 'Study Title', and aligned with the column header 'Sponsor:' and row label 'Sponsor:'.</t>
  </si>
  <si>
    <t>doc::7cd3e10f:layout::0:table::3:row::3:cell::3::ph::0</t>
  </si>
  <si>
    <t>Retrieve details specifically about the sponsor's address as mentioned in the TITLE PAGE section under the Study Title table caption.</t>
  </si>
  <si>
    <t>Resolve the placeholder '&lt;Sponsor's Address&gt;' within the TITLE PAGE context, specifically under the table caption &lt;Study Title&gt;, focusing on the Sponsor's information.</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</si>
  <si>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"PWR_DROP",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8.0, "type": "PWR_DROP", "heading_path": ["Immunogenicity Assessments"],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8.0,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8.0,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8.0,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8.0,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6.0, "type": "PWR_DROP", "heading_path": ["Pharmacokinetic Assessments", "Sample Collection and Processing"], "filename": "Mock_CSR_Protocol.docx"}, {"id": "doc::4877313e:layout::29:para::21",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6.0, "type": "PWR_DROP", "heading_path": ["Safety Assessments", "Clinical Safety Laboratory Assessments"],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6.0, "type": "PWR_DROP", "heading_path": ["INTRODUCTION"], "filename": "Mock SAP _03Jun2026.docx"},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"doc::4877313e:layout::27:para::5", "content": "Before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 "index": "section@para", "score": 4.0, "type": "PWR_DROP", "heading_path": ["Lost to Follow-up"], "filename": "Mock_CSR_Protocol.docx"}, {"id": "doc::4877313e:layout::28:para::10", "content": "Procedures for collection, processing, and shipping of PK blood samples will be detailed in a separate document.", "index": "section@para", "score": 4.0, "type": "PWR_DROP", "heading_path": ["Pharmacokinetic Assessments", "Sample Collection and Processing"], "filename": "Mock_CSR_Protocol.docx"}, {"id": "doc::4877313e:layout::28:para::12", "content": "Serum concentrations of ABC-123 will be determined using validated analytical procedures. Specifics of the analytical methods will be provided in separate documents.", "index": "section@para", "score": 4.0, "type": "PWR_DROP", "heading_path": ["Pharmacokinetic Assessments", "Analytical Methodology"],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"PWR_DROP", "heading_path": ["Immunogenicity Assessments"],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4.0, "type": "PWR_DROP", "heading_path": ["Adverse Events and Serious Adverse Events", "Regulatory Reporting Requirements for SAEs"], "filename": "Mock_CSR_Protocol.docx"}, {"id": "doc::4877313e:layout::32:para::7", "content": "The Sponsor does not recommend specific treatment for an overdose. In the event of an overdose, the Investigator should:", "index": "section@para", "score": 4.0, "type": "PWR_DROP", "heading_path": ["Treatment of Overdose"], "filename": "Mock_CSR_Protocol.docx"}, {"id": "doc::fd2ccc75:layout::0:para::55", "content": "Single Ascending Dose (SAD) Study (Table 1):", "index": "section@para", "score": 4.0, "type": "PWR_DROP", "heading_path": ["4. Key Results"], "filename": "Mock_CSR Key messages_with_heading.docx"}, {"id": "doc::4877313e:layout::0:para::5", "content": "Short Title: Phase 1 RCT of ABC-123 in healthy participants (SAD) and participants with boneitis (repeat-dose)", "index": "section@para", "score": 4.0, "type": "CNM_ADD", "heading_path": ["TITLE PAGE"],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"CNM_ADD", "heading_path": ["Overall Design", "Single Ascending Dose"], "filename": "Mock_CSR_Protocol.docx"}, {"id":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4.0, "type": "CNM_ADD",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"CNM_ADD",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"CNM_ADD", "heading_path": ["Overall Design", "Repeat-Dose"],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"CNM_ADD", "heading_path": ["Screen Failures"], "filename": "Mock_CSR_Protocol.docx"}]</t>
  </si>
  <si>
    <t>doc::7cd3e10f:layout::0:table::3:row::3:cell::3::ph::1</t>
  </si>
  <si>
    <t>&lt;Sponsor Name&gt;</t>
  </si>
  <si>
    <t>Retrieve details specifically related to the sponsor name mentioned in the TITLE PAGE or Study Title sections.</t>
  </si>
  <si>
    <t>Resolve the placeholder '&lt;Sponsor Name&gt;' within the context of the TITLE PAGE section, specifically under the column header '&lt;Sponsor Name&gt;' and row label '&lt;Sponsor Name&gt;', ensuring alignment with the provided caption and heading identifiers.</t>
  </si>
  <si>
    <t>[{"id":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"PWR_USED",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"doc::4877313e:layout::0:para::5", "content": "Short Title: Phase 1 RCT of ABC-123 in healthy participants (SAD) and participants with boneitis (repeat-dose)", "index": "section@para", "score": 4.0, "type": "CNM_ADD",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"CNM_ADD",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t>
  </si>
  <si>
    <t>doc::7cd3e10f:layout::0:table::3:row::7:cell::0::ph::0</t>
  </si>
  <si>
    <t>Retrieve context related to the sponsor name specifically within the TITLE PAGE section and associated tables or paragraphs.</t>
  </si>
  <si>
    <t>Resolve the placeholder 'Sponsor Name' for the cell under the table caption 'Study Title', column header 'Sponsor Name', and row label 'Sponsor Name' within the TITLE PAGE section.</t>
  </si>
  <si>
    <t>[{"id":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"PWR_USED",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"doc::4877313e:layout::0:para::5", "content": "Short Title: Phase 1 RCT of ABC-123 in healthy participants (SAD) and participants with boneitis (repeat-dose)", "index": "section@para", "score": 4.0, "type": "CNM_ADD",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t>
  </si>
  <si>
    <t>doc::7cd3e10f:layout::0:table::3:row::7:cell::1::ph::0</t>
  </si>
  <si>
    <t>&lt;Sponsor&gt;</t>
  </si>
  <si>
    <t>Retrieve authoritative mentions of the sponsor name for inline contextual resolution.</t>
  </si>
  <si>
    <t>Replace the placeholder 'Sponsor' with the resolved value 'Stendarr, Inc.' based on inline context, ensuring positional continuity between 'confidential and proprietary to' and 'Any distribution, copying, or disclosu'.</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</si>
  <si>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"CNM_ADD", "heading_path": ["4. Key Results"], "filename": "Mock_CSR Key messages_with_heading.docx"}, {"id": "doc::fd2ccc75:layout::0:para::7", "content": "Sponsor: Stendarr, Inc.", "index": "section@para", "score": 2.0, "type": "PWR_USED", "heading_path": ["Study Title:"], "filename": "Mock_CSR Key messages_with_heading.docx"}, {"id": "doc::4877313e:layout::0:para::14", "content": "Sponsor Signatory:", "index": "section@para", "score": 2.0, "type": "PWR_DROP", "heading_path": ["TITLE PAGE"], "filename": "Mock_CSR_Protocol.docx"}, {"id": "doc::4877313e:layout::0:para::6", "content": "Acronym: Not applicable Sponsor Name: Stendarr, Inc.", "index": "section@para", "score": 2.0, "type": "PWR_USED",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"CNM_ADD", "heading_path": ["Overall Design", "Single Ascending 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"CNM_ADD", "heading_path": ["Measures to Minimize Bias: Randomization and Blinding"],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"CNM_ADD",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"CNM_ADD",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"CNM_ADD", "heading_path": ["Preparation/Handling/Storage/Accountability"],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2.0, "type": "CNM_ADD", "heading_path": ["Dose Modification", "Dose Escalation and Stopping Criteria"], "filename": "Mock_CSR_Protocol.docx"}]</t>
  </si>
  <si>
    <t>doc::7cd3e10f:layout::0:para::6::ph::0</t>
  </si>
  <si>
    <t>&lt;Synopsis&gt;</t>
  </si>
  <si>
    <t>Retrieve information related to the synopsis of the protocol, including titles and descriptions, for Phase 1 studies of ABC-123.</t>
  </si>
  <si>
    <t>Replace the placeholder 'Synopsis' with the protocol title and short title, ensuring the positional context of the protocol synopsis in the document is maintained.</t>
  </si>
  <si>
    <t>&lt;p&gt;&lt;strong&gt;Protocol Title:&lt;/strong&gt; A First-In-Human, Phase 1, Randomized, Double-Blind, Placebo-Controlled Study to Evaluate the Safety, Tolerability, and Pharmacokinetics of ABC-123 as a Single Dose in Healthy Participants and as Multiple Doses in Participants with Grade 2 Boneitis&lt;/p&gt;&lt;p&gt;&lt;strong&gt;Short Title:&lt;/strong&gt; Phase 1 RCT of ABC-123 in healthy participants (SAD) and participants with boneitis (repeat-dose)&lt;/p&gt;</t>
  </si>
  <si>
    <t>[{"id": "doc::4877313e:layout::5:para::1", "content": "Synopsis\n\n&lt;p style=\"margin-top: 6.2pt\"&gt;&lt;span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 "index": "section@para", "score": 2.0, "type": "PWR_USED", "heading_path": [], "filename": "Mock_CSR_Protocol.docx"}]</t>
  </si>
  <si>
    <t>doc::7cd3e10f:layout::0:para::8::ph::0</t>
  </si>
  <si>
    <t>&lt;xx study centers by xx investigators&gt;</t>
  </si>
  <si>
    <t>Retrieve information about the study's operational centers and investigator involvement.</t>
  </si>
  <si>
    <t>Resolve the placeholder '&lt;xx study centers by xx investigators&gt;' using the inline context where it follows 'The study was conducted at' and precedes 'in cooperation with a number of support.' Ensure the replacement aligns with the study's operational details and investigator count mentioned in the authoritative context.</t>
  </si>
  <si>
    <t>8 study centers by 15 investigators</t>
  </si>
  <si>
    <t>[{"id":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4.0, "type": "PWR_USED", "heading_path": ["Overall Design", "Single Ascending Dose"],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4.0, "type": "CNM_ADD", "heading_path": ["Lifestyle Considerations"],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4.0, "type": "CNM_ADD", "heading_path": ["Lifestyle Considerations"], "filename": "Mock_CSR_Protocol.docx"}, {"id": "doc::4877313e:layout::22:para::0", "content": "Injections will be administered by the Investigator (or qualified designee). Injections may be administered in the abdomen. The injection site may be divided into quadrants and the quadrants rotated for each injection for the repeat-dose component of the study. Injection sites will be carefully monitored.", "index": "section@para", "score": 4.0, "type": "PWR_DROP", "heading_path": ["Study Intervention(s) Administered"], "filename": "Mock_CSR_Protocol.docx"}, {"id": "doc::4877313e:layout::22:para::10", "content": "With the exception of the site pharmacy staff, the Investigator and other members of site staff involved with the study will remain blinded to the treatment randomization code during the study.", "index": "section@para", "score": 4.0,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"doc::4877313e:layout::22:para::18", "content": "Participants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"index": "section@para", "score": 4.0, "type": "PWR_DROP", "heading_path": ["Study Intervention Compliance"], "filename": "Mock_CSR_Protocol.docx"}, {"id": "doc::4877313e:layout::22:para::2", "content": "The Investigator or designee must confirm that frozen conditions (\u2264 -60\u00b0C) have been maintained during transit for all study intervention received, and any temperature excursions are reported and resolved before use of the study intervention.", "index": "section@para", "score": 4.0, "type": "PWR_DROP", "heading_path": ["Preparation/Handling/Storage/Accountability"], "filename": "Mock_CSR_Protocol.docx"}, {"id": "doc::4877313e:layout::22:para::3", "content": "Only participants enrolled in the study may receive study intervention and only authorized site staff may supply or administer study intervention. All study intervention must be stored in a secure, environmentally controlled, and monitored (manual or automated) \u2264 -60\u00b0C freezer in accordance with the labeled storage conditions with access limited to the Investigator and authorized site staff.", "index": "section@para", "score": 4.0, "type": "PWR_DROP", "heading_path": ["Preparation/Handling/Storage/Accountability"], "filename": "Mock_CSR_Protocol.docx"}]</t>
  </si>
  <si>
    <t>doc::7cd3e10f:layout::0:para::29::ph::0</t>
  </si>
  <si>
    <t>&lt;Company Name&gt;</t>
  </si>
  <si>
    <t>Retrieve data related to the sponsor's identity in the study administrative structure, focusing on the table labeled 'Table 1' under the 'Investigators and Study Administrative Structure' heading.</t>
  </si>
  <si>
    <t>Resolve the placeholder '&lt;Company Name&gt;' specifically for the cell in Table 1 under the 'Sponsor' column and row, ensuring the context aligns with the 'Investigators and Study Administrative Structure' heading.</t>
  </si>
  <si>
    <t>[{"id":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10.0, "type": "PWR_DROP", "heading_path": ["Overall Design", "Single Ascending 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10.0, "type": "PWR_DROP", "heading_path": ["Discontinuation of Study Intervention", "Withdrawal of Consent"],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10.0,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10.0,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10.0,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10.0,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10.0,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10.0, "type": "PWR_DROP", "heading_path": ["Appendix 1: Regulatory, Ethical, and Study Oversight Considerations", "Data Quality Assurance"],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10.0, "type": "PWR_DROP", "heading_path": ["Appendix 1: Regulatory, Ethical, and Study Oversight Considerations", "Dissemination of Clinical Study Data"], "filename": "Mock_CSR_Protocol.docx"}, {"id": "doc::4877313e:layout::38:para::5",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"doc::4877313e:layout::39:para::1",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10.0, "type": "PWR_DROP", "heading_path": ["Appendix 1: Regulatory, Ethical, and Study Oversight Considerations", "Publication Policy"], "filename": "Mock_CSR_Protocol.docx"}, {"id": "doc::4877313e:layout::39:para::4", "content": "The Sponsor will comply with the requirements for publication of study results. In accordance with standard editorial and ethical practice, the Sponsor will generally support publication of multicenter studies only in their entirety and not as individual site data. In this case, a coordinating Investigator will be designated by mutual agreement.", "index": "section@para", "score": 10.0, "type": "PWR_DROP", "heading_path": ["Appendix 1: Regulatory, Ethical, and Study Oversight Considerations", "Publication Policy"],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10.0, "type": "PWR_DROP", "heading_path": ["Appendix 1: Regulatory, Ethical, and Study Oversight Considerations", "Data Quality Assurance"],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10.0, "type": "PWR_DROP", "heading_path": ["Appendix 1: Regulatory, Ethical, and Study Oversight Considerations", "Dissemination of Clinical Study Data"], "filename": "Mock_CSR_Protocol.docx"}, {"id": "doc::4877313e:layout::46:para::5",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"doc::4877313e:layout::47:para::1",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10.0, "type": "PWR_DROP", "heading_path": ["Appendix 1: Regulatory, Ethical, and Study Oversight Considerations", "Publication Policy"],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8.0, "type": "PWR_DROP", "heading_path": ["Immunogenicity Assessments"],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8.0, "type": "PWR_DROP", "heading_path": ["Appendix 5: Contraceptive Guidance and Collection of Pregnancy Information", "Female participants who become pregnant"],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6.0, "type": "PWR_DROP", "heading_path": ["4. Key Results"], "filename": "Mock_CSR Key messages_with_heading.docx"},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6.0, "type": "PWR_DROP", "heading_path": ["Measures to Minimize Bias: Randomization and Blinding"],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6.0, "type": "PWR_DROP", "heading_path": ["Pharmacodynamic Assessments", "Exploratory Biomarkers"],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6.0, "type": "PWR_DROP", "heading_path": ["Immunogenicity Assessments"],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6.0, "type": "PWR_DROP", "heading_path": ["Pharmacokinetic Assessments", "Sample Collection and Processing"], "filename": "Mock_CSR_Protocol.docx"}, {"id": "doc::4877313e:layout::32:para::7", "content": "The Sponsor does not recommend specific treatment for an overdose. In the event of an overdose, the Investigator should:", "index": "section@para", "score": 6.0, "type": "PWR_DROP", "heading_path": ["Treatment of Overdose"],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6.0, "type": "PWR_DROP", "heading_path": ["Appendix 1: Regulatory, Ethical, and Study Oversight Considerations", "Data Protection"], "filename": "Mock_CSR_Protocol.docx"}, {"id": "doc::4877313e:layout::29:para::21",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6.0, "type": "PWR_DROP", "heading_path": ["Safety Assessments", "Clinical Safety Laboratory Assessments"],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6.0, "type": "PWR_DROP", "heading_path": ["Statistical Analyses", "Pharmacodynamic Analyses"], "filename": "Mock_CSR_Protocol.docx"}]</t>
  </si>
  <si>
    <t>doc::7cd3e10f:layout::0:table::32:row::0:cell::1::ph::0</t>
  </si>
  <si>
    <t>&lt;Company Address&gt;</t>
  </si>
  <si>
    <t>Search for the company address or administrative details related to the Sponsor under the context of 'Investigators and Study Administrative Structure' or 'Table 1 Study Administrative Structure'.</t>
  </si>
  <si>
    <t>Resolve the placeholder '&lt;Company Address&gt;' based on the specific positional context: Table caption 'Table 1 Study Administrative Structure', orientation 'KeyValue', column header 'Sponsor', row label 'Sponsor', parent heading 'Investigators and Study Administrative Structure'. If no direct match exists, return NO_REPLACEMENT.</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</si>
  <si>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12.0, "type": "PWR_DROP", "heading_path": ["Measures to Minimize Bias: Randomization and Blinding"],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10.0, "type": "PWR_DROP", "heading_path": ["Overall Design", "Single Ascending Dose"],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10.0, "type": "PWR_DROP", "heading_path": ["Discontinuation of Study Intervention", "Withdrawal of Consent"],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10.0,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10.0,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10.0,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10.0,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10.0,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10.0, "type": "PWR_DROP", "heading_path": ["Appendix 1: Regulatory, Ethical, and Study Oversight Considerations", "Data Quality Assurance"],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10.0, "type": "PWR_DROP", "heading_path": ["Appendix 5: Contraceptive Guidance and Collection of Pregnancy Information", "Female participants who become pregnant"], "filename": "Mock_CSR_Protocol.docx"}, {"id": "doc::4877313e:layout::38:para::5",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"doc::4877313e:layout::39:para::1",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"doc::4877313e:layout::39:para::4", "content": "The Sponsor will comply with the requirements for publication of study results. In accordance with standard editorial and ethical practice, the Sponsor will generally support publication of multicenter studies only in their entirety and not as individual site data. In this case, a coordinating Investigator will be designated by mutual agreement.", "index": "section@para", "score": 10.0, "type": "PWR_DROP", "heading_path": ["Appendix 1: Regulatory, Ethical, and Study Oversight Considerations", "Publication Policy"], "filename": "Mock_CSR_Protocol.docx"}, {"id": "doc::4877313e:layout::46:para::5",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"doc::4877313e:layout::47:para::1",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8.0, "type": "PWR_DROP", "heading_path": ["Appendix 1: Regulatory, Ethical, and Study Oversight Considerations", "Dissemination of Clinical Study Data"],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8.0, "type": "PWR_DROP", "heading_path": ["Appendix 1: Regulatory, Ethical, and Study Oversight Considerations", "Publication Policy"],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8.0, "type": "PWR_DROP", "heading_path": ["Appendix 1: Regulatory, Ethical, and Study Oversight Considerations", "Dissemination of Clinical Study Data"],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8.0, "type": "PWR_DROP", "heading_path": ["Appendix 1: Regulatory, Ethical, and Study Oversight Considerations", "Publication Policy"],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6.0, "type": "PWR_DROP", "heading_path": ["4. Key Results"], "filename": "Mock_CSR Key messages_with_heading.docx"},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6.0, "type": "PWR_DROP", "heading_path": ["Overall Design", "Repeat-Dose"],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6.0, "type": "PWR_DROP", "heading_path": ["Measures to Minimize Bias: Randomization and Blinding"],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6.0,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6.0, "type": "PWR_DROP", "heading_path": ["Immunogenicity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6.0, "type": "PWR_DROP", "heading_path": ["Immunogenicity Assessments"], "filename": "Mock_CSR_Protocol.docx"}, {"id": "doc::4877313e:layout::32:para::7", "content": "The Sponsor does not recommend specific treatment for an overdose. In the event of an overdose, the Investigator should:", "index": "section@para", "score": 6.0, "type": "PWR_DROP", "heading_path": ["Treatment of Overdose"], "filename": "Mock_CSR_Protocol.docx"}]</t>
  </si>
  <si>
    <t>doc::7cd3e10f:layout::0:table::32:row::0:cell::1::ph::1</t>
  </si>
  <si>
    <t>&lt;Medical Monitor Name&gt;</t>
  </si>
  <si>
    <t>Retrieve details about the role and identification of the Medical Monitor specifically within the context of study administrative structure and participant oversight.</t>
  </si>
  <si>
    <t>Resolve the placeholder 'Medical Monitor Name' using the context provided, ensuring the output aligns with the positional identifiers such as table caption 'Table 1 Study Administrative Structure', column header 'Medical Monitor', row label 'Medical Monitor', and parent heading 'Investigators and Study Administrative Structure'.</t>
  </si>
  <si>
    <t>Medical Monitor</t>
  </si>
  <si>
    <t>[{"id":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14.0, "type": "PWR_USED", "heading_path": ["Overall Design", "Single Ascending Dose"],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14.0, "type": "PWR_USED", "heading_path": ["Dose Modification", "Dose Escalation and Stopping Criteria"], "filename": "Mock_CSR_Protocol.docx"}, {"id": "doc::4877313e:layout::29:para::22", "content": "All laboratory tests with values considered clinically significantly abnormal during participation in the study or within 10 weeks after the last dose of study intervention should be repeated until the values return to normal or baseline or are no longer considered clinically significant by the Investigator or Medical Monitor.", "index": "section@para", "score": 14.0, "type": "PWR_USED", "heading_path": ["Safety Assessments", "Clinical Safety Laboratory Assessments"], "filename": "Mock_CSR_Protocol.docx"}, {"id":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12.0, "type": "PWR_USED", "heading_path": ["STUDY POPULATION"], "filename": "Mock_CSR_Protocol.docx"}, {"id": "doc::4877313e:layout::28:para::2", "content": "Immediate safety concerns should be discussed with the Medical Monitor immediately upon occurrence or awareness to determine if the participant should continue or discontinue study intervention.", "index": "section@para", "score": 12.0, "type": "PWR_USED", "heading_path": ["STUDY ASSESSMENTS AND PROCEDURES"], "filename": "Mock_CSR_Protocol.docx"}, {"id": "doc::4877313e:layout::22:para::0", "content": "Injections will be administered by the Investigator (or qualified designee). Injections may be administered in the abdomen. The injection site may be divided into quadrants and the quadrants rotated for each injection for the repeat-dose component of the study. Injection sites will be carefully monitored.", "index": "section@para", "score": 10.0, "type": "PWR_USED", "heading_path": ["Study Intervention(s) Administered"], "filename": "Mock_CSR_Protocol.docx"}, {"id": "doc::4877313e:layout::22:para::18", "content": "Participants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"index": "section@para", "score": 10.0, "type": "PWR_USED", "heading_path": ["Study Intervention Compliance"], "filename": "Mock_CSR_Protocol.docx"}, {"id": "doc::4877313e:layout::22:para::3", "content": "Only participants enrolled in the study may receive study intervention and only authorized site staff may supply or administer study intervention. All study intervention must be stored in a secure, environmentally controlled, and monitored (manual or automated) \u2264 -60\u00b0C freezer in accordance with the labeled storage conditions with access limited to the Investigator and authorized site staff.", "index": "section@para", "score": 10.0, "type": "PWR_USED", "heading_path": ["Preparation/Handling/Storage/Accountability"], "filename": "Mock_CSR_Protocol.docx"}, {"id": "doc::4877313e:layout::32:para::11", "content": "Decisions regarding dose interruptions or modifications will be made by the Investigator in consultation with the Medical Monitor based on the clinical evaluation of the participant.", "index": "section@para", "score": 10.0, "type": "PWR_USED", "heading_path": ["Treatment of Overdose"], "filename": "Mock_CSR_Protocol.docx"}, {"id": "doc::4877313e:layout::38:para::8", "content": "Data reported on the eCRF or entered in the eCRF that are transcribed from source documents must be consistent with the source documents, or the discrepancies must be explained. The Investigator may need to request previous medical records or transfer records, depending on the study. Also, current medical records must be available.", "index": "section@para", "score": 10.0, "type": "PWR_USED", "heading_path": ["Appendix 1: Regulatory, Ethical, and Study Oversight Considerations", "Source Documents"], "filename": "Mock_CSR_Protocol.docx"}]</t>
  </si>
  <si>
    <t>doc::7cd3e10f:layout::0:table::32:row::2:cell::1::ph::0</t>
  </si>
  <si>
    <t>&lt;Introduction&gt;</t>
  </si>
  <si>
    <t>Provide a concise overview of the clinical study, including:
The investigational product name and identification number 
The indication or medical condition being studied
The phase and design of the study (very briefly)
The primary objectives of the study
A brief statement of the study population</t>
  </si>
  <si>
    <t>Retrieve detailed descriptions of clinical studies, including investigational product details, study design, objectives, and population information.</t>
  </si>
  <si>
    <t>Resolve the placeholder 'Introduction' for the paragraph following the end of a discussion on study purpose, summarizing the investigational product ABC-123 (ST-4536), its indication for boneitis, study phases (SAD and MAD), objectives, and population.</t>
  </si>
  <si>
    <t>&lt;p style="margin-top: 6.2pt"&gt;&lt;span style="font-size: 12pt" class="Default Paragraph Font color:000000"&gt;The clinical study ST-4536 investigates the investigational product ABC-123, a triolic gluon fragmentator, targeting the cadmium quantum shift flipper to address boneitis, a condition with significant morbidity and mortality. The study is conducted in two parts: Part I (SAD) and Part II (MAD), aimed at establishing safety, tolerability, and pharmacodynamics over a prolonged exposure period. The primary objective is to evaluate the efficacy of ABC-123 in reducing the risk of boneitis while confirming its safety profile. The study population includes patients at risk for or suffering from boneitis, with data analysis focusing on descriptive statistics and exploratory endpoints.&lt;/span&gt;&lt;/p&gt;</t>
  </si>
  <si>
    <t>[{"id": "doc::4877313e:layout::12:para::0", "content": "INTRODUCTION\n\n&lt;p style=\"margin-top: 6.2pt\"&gt;&lt;span style=\"font-size: 12pt\" class=\"Default Paragraph Font color:000000\"&gt;Lurgi is the leading cause of boneitis, eventually leading to the need for surgical intervention in the form of either a partial or complete brainectomy (&lt;/span&gt;&lt;span style=\"font-size: 12pt\" class=\"Default Paragraph Font color:0000FF\"&gt;Biagini et al. 2008&lt;/span&gt;&lt;span style=\"font-size: 12pt\" class=\"Default Paragraph Font color:000000\"&gt;).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remains.&lt;/span&gt;&lt;/p&gt;\n\n&lt;p style=\"margin-top: 5.45pt\"&gt;&lt;span style=\"font-size: 12pt\" class=\"Default Paragraph Font color:000000\"&gt;The cadmium quantum shift flipper is a G protein-coupled receptor (GPCR), which is characterized by high levels of whomp and activated by promethium. Promethium activation has also been shown to lead to the phosphorylation and activation of mitogen-activated protein kinases. Compelling evidence from nonclinical studies suggests that the mekkalekka is enfrazzled on the snoot in up to 80% of cases.  Whomp is predominantly upregulated in the grudgeon cells in murine models of boneitis. Pharmacological inhibition by blorp induction ameliorates whomp, inhibits spasms in the superior noidal zone, and prevents hyperfractal embarkation.&lt;/span&gt;&lt;/p&gt;\n\n&lt;p style=\"margin-top: 5.35pt\"&gt;&lt;span style=\"font-size: 12pt\" class=\"Default Paragraph Font color:000000\"&gt;ABC-123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range).&lt;/span&gt;&lt;/p&gt;", "index": "section@para", "score": 2.0, "type": "PWR_USED", "heading_path": [], "filename": "Mock_CSR_Protocol.docx"}, {"id": "doc::72df3a00:layout::3:para::0", "content": "INTRODUCTION\n\n&lt;p style=\"margin-top: 6.2pt\"&gt;&lt;span class=\"Default Paragraph Font font:Times New Roman\"&gt;This Statistical Analysis Plan (SAP) gives details regarding the statistical analyses for the comparison between treatment groups in Part I (SAD) and Part II (MAD) of the study. Data presentation outlined in the final Clinical study protocol (CSP) for the study &lt;/span&gt;&lt;span class=\"Default Paragraph Font font:Times New Roman\"&gt;&lt;em&gt;ST-4536. &lt;/em&gt;&lt;/span&gt;&lt;span class=\"Default Paragraph Font font:Times New Roman\"&gt;Any changes from the final CSP are given in Section &lt;/span&gt;&lt;/p&gt;\n\n&lt;p&gt;&lt;span class=\"Default Paragraph Font font:Times New Roman\"&gt;A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6).&lt;/span&gt;&lt;/p&gt;", "index": "section@para", "score": 2.0, "type": "PWR_USED", "heading_path": [], "filename": "Mock SAP _03Jun2026.docx"}]</t>
  </si>
  <si>
    <t>doc::7cd3e10f:layout::0:para::41::ph::0</t>
  </si>
  <si>
    <t>&lt;Background Information&gt;</t>
  </si>
  <si>
    <t>Provide a concise summary of the medical condition under study, including its prevalence, severity, current treatment limitations, and unmet medical need. Introduce the investigational product/test study drug, including its proposed mechanism of action, pharmacological class, and preclinical data supporting its development. Mention any relevant regulatory status (e.g., orphan designation, IND status), and state whether this is the first clinical trial in humans or part of a broader program.</t>
  </si>
  <si>
    <t>Retrieve detailed information on ABC-123, its mechanism of action, pharmacological class, preclinical data, and regulatory status.</t>
  </si>
  <si>
    <t>Summarize the background information for ABC-123, focusing on its investigational nature, pharmacological class, mechanism of action, preclinical data, and its status as a first-in-human study. Ensure the output aligns with the placeholder's positional context.</t>
  </si>
  <si>
    <t>&lt;p&gt;ABC-123 is an investigational triolic gluon fragmentator designed to address unmet medical needs in the treatment of conditions involving peripheral receptor targets. Current treatments for related conditions are limited by adverse psychiatric and neurological effects, particularly in CNS-penetrant therapies. ABC-123 is a selective monoclonal antibody antagonist and inverse agonist targeting human and monkey grudgeon cells, demonstrating peripheral tissue activity without CNS exposure in preclinical models. This first-in-human study aims to establish the initial safety, pharmacokinetics, and pharmacology data for ABC-123, supported by promising nonclinical efficacy and toxicity studies.&lt;/p&gt;</t>
  </si>
  <si>
    <t>[{"id": "doc::4877313e:layout::12:para::10", "content": "Background\n\n&lt;p style=\"margin-top: 6.2pt\"&gt;&lt;span style=\"font-size: 12pt\" class=\"Default Paragraph Font color:000000\"&gt;ABC-123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lurgi.&lt;/span&gt;&lt;/p&gt;\n\n&lt;p style=\"margin-top: 5.85pt\"&gt;&lt;span style=\"font-size: 12pt\" class=\"Default Paragraph Font color:000000\"&gt;This is a first-in-human study. It is intended to provide the initial safety, PK, and pharmacology data for ABC-123 in humans.&lt;/span&gt;&lt;/p&gt;\n\n&lt;p style=\"text-align: justify; margin-top: 5.65pt\"&gt;&lt;span style=\"font-size: 12pt\" class=\"Default Paragraph Font color:000000\"&gt;In nonclinical efficacy models, results of in vitro binding studies indicate that ABC-123 is a potent, selective monoclonal antibody antagonist and inverse agonist of human and monkey grudgeon cells. Primary PD studies demonstrated that ABC-123 protects human grudgeon cells in vitro.&lt;/span&gt;&lt;/p&gt;\n\n&lt;p style=\"text-align: justify; margin-top: 0.2pt\"&gt;&lt;span style=\"font-size: 12pt\" class=\"Default Paragraph Font color:000000\"&gt;Circulating ABC-123 was pharmacologically active at the end of the dosing period in the&lt;/span&gt;&lt;/p&gt;\n\n&lt;p style=\"margin-top: 0.15pt\"&gt;&lt;span style=\"font-size: 12pt\" class=\"Default Paragraph Font color:000000\"&gt;13-week repeat-dose toxicity study in cynomolgus monkeys, as determined by an ex vivo PD assay. A single dose of ABC-123 in cynomolgus monkeys resulted in a PD response associated with peripheral tissues but not with the brain, consistent with peripheral restriction of drug exposure.&lt;/span&gt;&lt;/p&gt;\n\n&lt;p style=\"margin-top: 5.6pt\"&gt;&lt;span style=\"font-size: 12pt\" class=\"Default Paragraph Font color:000000\"&gt;The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inductors.&lt;/span&gt;&lt;/p&gt;", "index": "section@para", "score": 2.0, "type": "PWR_USED", "heading_path": [], "filename": "Mock_CSR_Protocol.docx"}, {"id": "doc::4877313e:layout::12:para::19", "content": "More detailed information about the known and expected benefits and risks and reasonably expected adverse events (AEs) of ABC-123 may be found in and in the Investigator\u2019s Brochure.", "index": "section@para", "score": 2.0, "type": "PWR_DROP", "heading_path": ["Benefit/Risk Assessment"],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"doc::4877313e:layout::22:para::23", "content": "Dosage information including dose and frequency", "index": "section@para", "score": 2.0, "type": "PWR_DROP", "heading_path": ["Concomitant Therapy"], "filename": "Mock_CSR_Protocol.docx"}, {"id": "doc::4877313e:layout::22:para::6", "content": "Further guidance and information for the final disposition of unused study intervention are provided in the Pharmacy Manual.", "index": "section@para", "score": 2.0, "type": "PWR_DROP", "heading_path": ["Preparation/Handling/Storage/Accountability"], "filename": "Mock_CSR_Protocol.docx"}, {"id": "doc::4877313e:layout::26:para::11", "content": "If the participant withdraws consent for disclosure of future information, the Sponsor may retain and continue to use any data collected before such a withdrawal of consent.", "index": "section@para", "score": 2.0, "type": "PWR_DROP", "heading_path": ["Discontinuation of Study Intervention", "Withdrawal of Consent"], "filename": "Mock_CSR_Protocol.docx"}, {"id": "doc::4877313e:layout::26:para::8", "content": "Access to medical information from alternative sources (eg, hospital/clinic medical records, referring doctor\u2019s notes, public records, social media sources).", "index": "section@para", "score": 2.0, "type": "PWR_DROP", "heading_path": ["Discontinuation of Study Intervention", "Withdrawal of Consent"], "filename": "Mock_CSR_Protocol.docx"}, {"id": "doc::4877313e:layout::28:para::23", "content": "This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"index": "section@para", "score": 2.0, "type": "PWR_DROP", "heading_path": ["Pharmacogenomics"], "filename": "Mock_CSR_Protocol.docx"}, {"id": "doc::4877313e:layout::30:para::4", "content": "Time Period and Frequency for Collecting AE and SAE Information\n\n&lt;p style=\"margin-top: 4.65pt\"&gt;&lt;span style=\"font-size: 12pt\" class=\"Default Paragraph Font color:000000\"&gt;Medical occurrences that begin before signing of the ICF will be recorded in the Medical History/Current Medical Conditions section of the eCRF, not in the AE section. Any worsening of a medical occurrence after signing of the ICF is to be reported as an AE.&lt;/span&gt;&lt;/p&gt;\n\n&lt;p style=\"margin-top: 5.35pt\"&gt;&lt;span style=\"font-size: 12pt\" class=\"Default Paragraph Font color:000000\"&gt;All SAEs will be recorded and reported to the Sponsor or designee immediately (&lt;/span&gt;&lt;span style=\"font-size: 12pt\" class=\"Default Paragraph Font color:0000FF\"&gt;S&lt;/span&gt;&lt;span style=\"font-size: 12pt\" class=\"Default Paragraph Font color:000000\"&gt;]), and under no circumstance should this exceed 24 hours. The Investigator will submit any updated SAE data to the Sponsor within 24 hours of it being available.&lt;/span&gt;&lt;/p&gt;\n\n&lt;p style=\"margin-top: 5.35pt\"&gt;&lt;span style=\"font-size: 12pt\" class=\"Default Paragraph Font color:000000\"&gt;Investigators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Sponsor.&lt;/span&gt;&lt;/p&gt;", "index": "section@para", "score": 2.0, "type": "PWR_DROP", "heading_path": ["Adverse Events and Serious Adverse Events"], "filename": "Mock_CSR_Protocol.docx"}, {"id": "doc::4877313e:layout::31:para::9", "content": "Section 7.2). Further information on Follow-up procedures is provided in Section (Appendix 4).", "index": "section@para", "score": 2.0, "type": "PWR_DROP", "heading_path": ["Adverse Events and Serious Adverse Events", "Follow-up of AEs and SAEs"], "filename": "Mock_CSR_Protocol.docx"}]</t>
  </si>
  <si>
    <t>doc::7cd3e10f:layout::0:para::44::ph::0</t>
  </si>
  <si>
    <t>&lt;Rationale for the study&gt;</t>
  </si>
  <si>
    <t>Explain why this study was conducted. Describe how the study design was chosen to meet early development goals such as evaluating safety, tolerability, pharmacokinetics (PK), and, where applicable, immunogenicity or exploratory pharmacodynamics (PD). Justify the study population, dosing approach, and any exploratory objectives (e.g., biomarker evaluation, dose selection, or assessing potential activity).</t>
  </si>
  <si>
    <t>Retrieve information related to the rationale and design of the study, focusing on objectives such as safety, tolerability, PK, PD, and exploratory goals like biomarker evaluation and dose selection.</t>
  </si>
  <si>
    <t>Resolve the placeholder 'Rationale for the study' using the provided context, summarizing the study's purpose and design to evaluate ABC-123's safety, tolerability, PK, PD, and exploratory objectives, while justifying the study population and dosing approach.</t>
  </si>
  <si>
    <t>&lt;p&gt;The study was conducted to advance the clinical development of ABC-123, targeting patients with Grade 2 boneitis. Its design aimed to evaluate the safety, tolerability, and pharmacokinetics (PK) of ABC-123 through a single ascending dose (SAD) study in healthy participants and a repeat-dose study in affected individuals. Additionally, the study explored immunogenicity, pharmacodynamics (PD), and biomarkers to identify patient populations most likely to benefit from treatment, thereby supporting dose selection and assessing potential activity.&lt;/p&gt;</t>
  </si>
  <si>
    <t>[{"id":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4.0, "type": "PWR_USED", "heading_path": ["5. Interpretation &amp; Conclusion"], "filename": "Mock_CSR Key messages_with_heading.docx"}, {"id": "doc::4877313e:layout::12:para::4", "content": "Study Rationale\n\n&lt;p style=\"margin-top: 6.15pt\"&gt;&lt;span style=\"font-size: 12pt\" class=\"Default Paragraph Font color:000000\"&gt;ABC-123 is intended for use in patients with Grade 2 boneitis.&lt;/span&gt;&lt;/p&gt;\n\n&lt;p style=\"margin-top: 5.9pt\"&gt;&lt;span style=\"font-size: 12pt\" class=\"Default Paragraph Font color:000000\"&gt;This Phase 1 study is intended to:&lt;/span&gt;&lt;/p&gt;\n\n&lt;p style=\"margin-top: 5.75pt\"&gt;&lt;span style=\"font-size: 12pt\" class=\"Default Paragraph Font color:000000\"&gt;establish safety, tolerability, and PK for up to 28 days of relevant exposure in the single ascending dose (SAD) study in healthy volunteers to support a subsequent repeat-dose exploratory efficacy study in participants with boneitis;&lt;/span&gt;&lt;/p&gt;\n\n&lt;p style=\"margin-top: 5.6pt\"&gt;&lt;span style=\"font-size: 12pt\" class=\"Default Paragraph Font color:000000\"&gt;obtain pharmacokinetic (PK), safety, and tolerability data in participants with boneitis;&lt;/span&gt;&lt;/p&gt;\n\n&lt;p style=\"margin-top: 5.9pt\"&gt;&lt;span style=\"font-size: 12pt\" class=\"Default Paragraph Font color:000000\"&gt;explore potential phenotypic, genotypic, and biochemical approaches to identify patients most likely to respond to ABC-123.&lt;/span&gt;&lt;/p&gt;", "index": "section@para", "score": 4.0, "type": "PWR_USED", "heading_path": [], "filename": "Mock_CSR_Protocol.docx"}, {"id": "doc::4877313e:layout::16:para::10", "content": "Scientific Rationale for Study Design", "index": "section@para", "score": 4.0, "type": "PWR_DROP", "heading_path": [], "filename": "Mock_CSR_Protocol.docx"}, {"id": "doc::fd2ccc75:layout::0:para::0", "content": "Clinical Study Report: Key Message", "index": "section@para", "score": 2.0, "type": "PWR_DROP", "heading_path": [], "filename": "Mock_CSR Key messages_with_heading.docx"}, {"id": "doc::fd2ccc75:layout::0:para::1", "content": "Document Title: Clinical Study Report", "index": "section@para", "score": 2.0, "type": "PWR_DROP", "heading_path": [], "filename": "Mock_CSR Key messages_with_heading.docx"},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"doc::fd2ccc75:layout::0:para::11", "content": "The secondary objective of this study:", "index": "section@para", "score": 2.0, "type": "PWR_DROP", "heading_path": ["1. Study Objective"], "filename": "Mock_CSR Key messages_with_heading.docx"}, {"id": "doc::fd2ccc75:layout::0:para::15", "content": "The exploratory objective of this study:", "index": "section@para", "score": 2.0, "type": "PWR_DROP", "heading_path": ["1. Study Objective"],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2.0, "type": "PWR_DROP", "heading_path": [], "filename": "Mock_CSR Key messages_with_heading.docx"}, {"id":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2.0, "type": "PWR_USED", "heading_path": [], "filename": "Mock_CSR Key messages_with_heading.docx"}]</t>
  </si>
  <si>
    <t>doc::7cd3e10f:layout::0:para::47::ph::0</t>
  </si>
  <si>
    <t>&lt;Benefit and Risk assessment&gt;</t>
  </si>
  <si>
    <t>Provide a structured benefit–risk overview (high-level summary) based on the study data. Use the subsections below to separately describe risks, potential benefits, and your overall benefit–risk conclusion.</t>
  </si>
  <si>
    <t>Retrieve detailed context on the benefit-risk assessment of ABC-123, focusing on risks, benefits, and overall conclusions from clinical and nonclinical data.</t>
  </si>
  <si>
    <t>Resolve the placeholder 'Benefit and Risk assessment' using the provided context, synthesizing risks, potential benefits, and overall conclusions into a structured summary specific to this paragraph's position and guidance.</t>
  </si>
  <si>
    <t>&lt;p&gt;The benefit-risk assessment for ABC-123 is based on nonclinical data and literature reports on similar therapies, as human studies have not been conducted yet. The potential benefits of participating in the ABC-123 clinical program include contributing to the development of therapies for unmet medical needs and receiving medical evaluations associated with study procedures. Risks primarily involve adverse reactions to the investigational medicinal product, discomfort from subcutaneous injections, and study procedures such as blood collection. Participants will be closely monitored for CNS-associated risks and other adverse effects. Overall, the favorable benefit-risk assessment is supported by prior safety data, lack of brain penetration, and absence of significant adverse findings in nonclinical studies, ensuring risks are minimized through monitoring and dose escalation during the study.&lt;/p&gt;</t>
  </si>
  <si>
    <t>[{"id":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6.0,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"PWR_USED", "heading_path": ["Benefit/Risk Assessment"], "filename": "Mock_CSR_Protocol.docx"}, {"id": "doc::4877313e:layout::13:para::2", "content": "Based on the available data and the participant population to be studied, the benefit-risk assessment is favorable for participation in this study.", "index": "section@para", "score": 6.0, "type": "PWR_USED", "heading_path": ["Benefit/Risk Assessment", "Overall Benefit: Risk Conclusion"],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"CNM_ADD",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4.0, "type": "PWR_USED", "heading_path": ["Benefit/Risk Assessment"], "filename": "Mock_CSR_Protocol.docx"}, {"id": "doc::4877313e:layout::12:para::25",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4.0, "type": "PWR_USED", "heading_path": ["Benefit/Risk Assessment"], "filename": "Mock_CSR_Protocol.docx"}, {"id":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4.0, "type": "PWR_USED", "heading_path": ["Benefit/Risk Assessment"], "filename": "Mock_CSR_Protocol.docx"}, {"id": "doc::4877313e:layout::13:para::1",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4.0, "type": "PWR_USED", "heading_path": ["Benefit/Risk Assessment", "Overall Benefit: Risk Conclusion"],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4.0, "type": "PWR_DROP", "heading_path": ["Dose Modification", "Dose Escalation and Stopping Criteria"],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t>
  </si>
  <si>
    <t>doc::7cd3e10f:layout::0:para::50::ph::0</t>
  </si>
  <si>
    <t>&lt;Risk assessment&gt;</t>
  </si>
  <si>
    <t>Summarize the risks identified in this study. Include the number and severity of treatment-emergent adverse events (TEAEs), serious adverse events (SAEs), and any discontinuations due to adverse events. Reference any known or theoretical risks based on preclinical data or the drug’s mechanism of action. Describe the risk mitigation measures used (e.g., monitoring, stopping rules). Conclude with a high-level summary of the safety profile.</t>
  </si>
  <si>
    <t>Retrieve detailed information on risks, adverse events, safety measures, and mitigation strategies related to the investigational drug ABC-123.</t>
  </si>
  <si>
    <t>Summarize the identified risks, adverse events, and mitigation measures for ABC-123, referencing nonclinical data and theoretical risks. Include monitoring strategies and conclude with a high-level safety profile summary, ensuring relevance to this paragraph's position focusing on risk assessment.</t>
  </si>
  <si>
    <t>&lt;p&gt;ABC-123 has not been studied in humans; therefore, the risk assessment is based on nonclinical data and reports on similar therapies. Known risks include discomfort from subcutaneous injections, adverse reactions to the investigational drug, and potential gastrointestinal adverse events such as nausea, diarrhea, and vomiting observed in similar therapies. Theoretical risks associated with CNS effects, such as amphibious jocularity and levitation, are considered unlikely due to ABC-123's peripheral receptor targeting. Participants will be closely monitored for adverse effects, including CNS-associated risks and other treatment-emergent adverse events (TEAEs). Risk mitigation measures include regular monitoring, stopping rules, and detailed assessments during scheduled visits. Overall, the safety profile of ABC-123 appears favorable based on preclinical studies and the mechanism of action.&lt;/p&gt;</t>
  </si>
  <si>
    <t>[{"id":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4.0,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"CNM_ADD",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4.0, "type": "PWR_USED", "heading_path": ["Benefit/Risk Assessment"], "filename": "Mock_CSR_Protocol.docx"}, {"id": "doc::4877313e:layout::13:para::2", "content": "Based on the available data and the participant population to be studied, the benefit-risk assessment is favorable for participation in this study.", "index": "section@para", "score": 4.0, "type": "CNM_ADD", "heading_path": ["Benefit/Risk Assessment", "Overall Benefit: Risk Conclusion"],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4.0, "type": "CNM_ADD", "heading_path": ["Dose Modification", "Dose Escalation and Stopping Criteria"],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2.0, "type": "CNM_ADD", "heading_path": ["6. Regulatory or Development Implications"], "filename": "Mock_CSR Key messages_with_heading.docx"},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"CNM_ADD", "heading_path": ["INTRODUCTION"], "filename": "Mock_CSR_Protocol.docx"}, {"id": "doc::4877313e:layout::12:para::11", "content": "ABC-123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"index": "section@para", "score": 2.0, "type": "CNM_ADD", "heading_path": ["Background"], "filename": "Mock_CSR_Protocol.docx"}]</t>
  </si>
  <si>
    <t>doc::7cd3e10f:layout::0:para::53::ph::0</t>
  </si>
  <si>
    <t>&lt;Benefit assessment&gt;</t>
  </si>
  <si>
    <t>Retrieve detailed information on the benefit assessment of ABC-123, focusing on advantages for participants and scientific justification.</t>
  </si>
  <si>
    <t>Summarize the benefit assessment of ABC-123, emphasizing its relevance to the clinical need, participant advantages, and scientific justification, as positioned after a discussion on the clinical need and potential treatment improvements.</t>
  </si>
  <si>
    <t>&lt;p&gt;The benefit assessment for ABC-123 highlights the potential advantages for participants, including contributing to the development of new therapies addressing areas of unmet need and receiving medical evaluations associated with study procedures. While this is a non-therapeutic study involving healthy volunteers and participants with boneitis, the anticipated benefits to medical and scientific knowledge justify the study's conduct.&lt;/p&gt;</t>
  </si>
  <si>
    <t>[{"id":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4.0,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"CNM_ADD", "heading_path": ["Benefit/Risk Assessment"], "filename": "Mock_CSR_Protocol.docx"}, {"id": "doc::4877313e:layout::12:para::25",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4.0, "type": "PWR_USED", "heading_path": ["Benefit/Risk Assessment"], "filename": "Mock_CSR_Protocol.docx"}, {"id": "doc::4877313e:layout::13:para::2", "content": "Based on the available data and the participant population to be studied, the benefit-risk assessment is favorable for participation in this study.", "index": "section@para", "score": 4.0, "type": "CNM_ADD", "heading_path": ["Benefit/Risk Assessment", "Overall Benefit: Risk Conclusion"],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"doc::4877313e:layout::12:para::19", "content": "More detailed information about the known and expected benefits and risks and reasonably expected adverse events (AEs) of ABC-123 may be found in and in the Investigator\u2019s Brochure.", "index": "section@para", "score": 2.0, "type": "CNM_ADD",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2.0, "type": "CNM_ADD", "heading_path": ["Benefit/Risk Assessment"], "filename": "Mock_CSR_Protocol.docx"}, {"id": "doc::4877313e:layout::12:para::26", "content": "This is a non-therapeutic study in healthy volunteers (SAD component) and participants with boneitis (repeat-dose component). Potential benefits for participants in the study may include:", "index": "section@para", "score": 2.0, "type": "CNM_ADD", "heading_path": ["Benefit/Risk Assessment", "Benefit Assessment"], "filename": "Mock_CSR_Protocol.docx"}, {"id":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2.0, "type": "PWR_USED", "heading_path": ["Benefit/Risk Assessment"], "filename": "Mock_CSR_Protocol.docx"}]</t>
  </si>
  <si>
    <t>doc::7cd3e10f:layout::0:para::56::ph::0</t>
  </si>
  <si>
    <t>&lt;Overall Benefit: Risk Conclusion&gt;</t>
  </si>
  <si>
    <t>Retrieve paragraphs discussing the benefit-risk assessment and conclusions about ABC-123 from clinical and nonclinical studies.</t>
  </si>
  <si>
    <t>Summarize the benefit-risk assessment for ABC-123, incorporating details about prior safety experience, nonclinical findings, and study justification. Include positional context about the study phase and justification for next steps.</t>
  </si>
  <si>
    <t>&lt;p&gt;The prior safety experience with blorp inductors, combined with nonclinical findings showing no brain penetration and no significant adverse effects in the 13-week monkey toxicology study, supports the continuation of this study. Identified risks associated with ABC-123 are justified by the anticipated benefits to medical and scientific knowledge, with minimized risks through careful monitoring and dose escalation. Based on the available data and the participant population, the benefit-risk assessment is favorable for proceeding with the study.&lt;/p&gt;</t>
  </si>
  <si>
    <t>[{"id":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8.0, "type": "PWR_USED", "heading_path": ["Benefit/Risk Assessment"], "filename": "Mock_CSR_Protocol.docx"}, {"id": "doc::fd2ccc75:layout::0:para::65", "content": "Overall conclusion:", "index": "section@para", "score": 4.0, "type": "CNM_ADD", "heading_path": ["4. Key Results"], "filename": "Mock_CSR Key messages_with_heading.docx"},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4.0, "type": "CNM_ADD",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"CNM_ADD", "heading_path": ["Benefit/Risk Assessment"],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"CNM_ADD", "heading_path": ["Benefit/Risk Assessment"], "filename": "Mock_CSR_Protocol.docx"}, {"id": "doc::4877313e:layout::13:para::1",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4.0, "type": "PWR_USED", "heading_path": ["Benefit/Risk Assessment", "Overall Benefit: Risk Conclusion"], "filename": "Mock_CSR_Protocol.docx"}, {"id": "doc::4877313e:layout::13:para::2", "content": "Based on the available data and the participant population to be studied, the benefit-risk assessment is favorable for participation in this study.", "index": "section@para", "score": 4.0, "type": "PWR_USED", "heading_path": ["Benefit/Risk Assessment", "Overall Benefit: Risk Conclusion"], "filename": "Mock_CSR_Protocol.docx"}, {"id": "doc::fd2ccc75:layout::0:para::38", "content": "To characterize the impact of ADA on AUC or impact on overall exposure of ABC-123 following single ascending doses and multiple dosing administration of ABC-123", "index": "section@para", "score": 2.0, "type": "PWR_DROP", "heading_path": ["3. Key Endpoints"],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t>
  </si>
  <si>
    <t>doc::7cd3e10f:layout::0:para::59::ph::0</t>
  </si>
  <si>
    <t>&lt;Protocol Number&gt;</t>
  </si>
  <si>
    <t>Retrieve information related to the protocol number, SKY-2000-101, ensuring accurate identification within clinical study documentation.</t>
  </si>
  <si>
    <t>Resolve the placeholder 'Protocol Number' based on its inline context surrounded by 'Source:' and 'Clinical Study Protocol, &lt;Version X.0&gt;'. Maintain continuity and ensure the replacement aligns with the identified protocol number 'SKY-2000-101' from the context.</t>
  </si>
  <si>
    <t>[{"id": "doc::4877313e:layout::0:para::2", "content": "Protocol Number: SKY-2000-101", "index": "section@para", "score": 4.0, "type": "PWR_USED", "heading_path": ["TITLE PAGE"], "filename": "Mock_CSR_Protocol.docx"},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"doc::fd2ccc75:layout::0:para::4", "content": "Protocol No.: SKY-2000-101", "index": "section@para", "score": 2.0, "type": "PWR_USED", "heading_path": ["Study Title:"],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"doc::4877313e:layout::0:para::12", "content": "Amendment Number: 2.0", "index": "section@para", "score": 2.0, "type": "PWR_DROP", "heading_path": ["TITLE PAGE"], "filename": "Mock_CSR_Protocol.docx"}]</t>
  </si>
  <si>
    <t>doc::7cd3e10f:layout::0:para::65::ph::0</t>
  </si>
  <si>
    <t>&lt;Version X.0&gt;</t>
  </si>
  <si>
    <t>Retrieve specific protocol details, including version and study code, related to clinical study documentation.</t>
  </si>
  <si>
    <t>Resolve the placeholder '&lt;Version X.0&gt;' specifically within the inline context of 'Protocol Number&gt; Clinical Study Protocol,' ensuring the version aligns with 'Final Version 2.0' as per protocol details in the context.</t>
  </si>
  <si>
    <t>Final Version 2.0</t>
  </si>
  <si>
    <t>[{"id": "doc::4877313e:layout::37:para::2",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"doc::4877313e:layout::45:para::2",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"doc::72df3a00:layout::20:para::4", "content": "SAP Part II (MAD)(superseded with this version)", "index": "section@para", "score": 2.0, "type": "PWR_DROP", "heading_path": ["STATISTICAL DELIVERABLES"], "filename": "Mock SAP _03Jun2026.docx"}, {"id": "doc::72df3a00:layout::20:para::5", "content": "TLF Part II (MAD)(superseded with this version)", "index": "section@para", "score": 2.0, "type": "PWR_DROP", "heading_path": ["STATISTICAL DELIVERABLES"], "filename": "Mock SAP _03Jun2026.docx"}, {"id": "doc::72df3a00:layout::21:para::1", "content": "All statistical analyses will be performed using SAS Version 9.4 (SAS institute, Cary, NC) and all PK parameters will be calculated by non-compartmental analysis (NCA) using the software Phoenix WinNonlin\u00ae version 8.1 or later (Certara, U.S.A.).", "index": "section@para", "score": 2.0, "type": "PWR_DROP", "heading_path": ["SOFTWARE"], "filename": "Mock SAP _03Jun2026.docx"}, {"id": "doc::72df3a00:layout::22:para::0", "content": "Protocol Version No: Final Version 2.0, 01MAR2023 Study Code: ST-4536", "index": "section@para", "score": 2.0, "type": "PWR_USED", "heading_path": ["SOFTWARE"], "filename": "Mock SAP _03Jun2026.docx"}, {"id": "doc::72df3a00:layout::28:para::1", "content": "Protocol Version No: Final Version 2.0, 01MAR2023 Study Code: ST-4536", "index": "section@para", "score": 2.0, "type": "PWR_USED", "heading_path": ["SOFTWARE"], "filename": "Mock SAP _03Jun2026.docx"}, {"id": "doc::72df3a00:layout::2:para::0", "content": "VERSION HISTORY\n\n&lt;p style=\"margin-top: 20.8pt\"&gt;&lt;span class=\"Default Paragraph Font font:Times New Roman\"&gt;This Statistical Analysis Plan (SAP) for study ST-4536 is based on the protocol dated 01MAR2023.&lt;/span&gt;&lt;/p&gt;\n\n&lt;table&gt;&lt;tr&gt;&lt;th&gt;&lt;p style=\"margin-top: 0.05pt\"&gt;&lt;span style=\"font-size: 10pt\" class=\"Default Paragraph Font font:Times New Roman\"&gt;&lt;strong&gt;SAP version&lt;/strong&gt;&lt;/span&gt;&lt;/p&gt;&lt;/th&gt;&lt;th&gt;&lt;p style=\"margin-top: 0.05pt\"&gt;&lt;span style=\"font-size: 10pt\" class=\"Default Paragraph Font font:Times New Roman\"&gt;&lt;strong&gt;Approval Date&lt;/strong&gt;&lt;/span&gt;&lt;/p&gt;&lt;/th&gt;&lt;th&gt;&lt;p style=\"margin-top: 0.05pt\"&gt;&lt;span style=\"font-size: 10pt\" class=\"Default Paragraph Font font:Times New Roman\"&gt;&lt;strong&gt;Changes&lt;/strong&gt;&lt;/span&gt;&lt;/p&gt;&lt;/th&gt;&lt;th&gt;&lt;p style=\"text-align: center; margin-top: 0.05pt\"&gt;&lt;span style=\"font-size: 10pt\" class=\"Default Paragraph Font font:Times New Roman\"&gt;&lt;strong&gt;Rationale&lt;/strong&gt;&lt;/span&gt;&lt;/p&gt;&lt;/th&gt;&lt;/tr&gt;&lt;tr&gt;&lt;td&gt;&lt;p style=\"margin-top: 0.05pt\"&gt;&lt;span style=\"font-size: 10pt\" class=\"Default Paragraph Font font:Times New Roman\"&gt;0.1&lt;/span&gt;&lt;/p&gt;&lt;/td&gt;&lt;td&gt;&lt;p style=\"text-align: center; margin-top: 0.05pt\"&gt;&lt;span style=\"font-size: 10pt\" class=\"Default Paragraph Font font:Times New Roman\"&gt;04MAR2023&lt;/span&gt;&lt;/p&gt;&lt;/td&gt;&lt;td&gt;&amp;nbsp;&lt;/td&gt;&lt;td&gt;&lt;p style=\"margin-top: 0.05pt\"&gt;&lt;span style=\"font-size: 10pt\" class=\"Default Paragraph Font font:Times New Roman\"&gt;Internal review&lt;/span&gt;&lt;/p&gt;&lt;/td&gt;&lt;/tr&gt;&lt;tr&gt;&lt;td&gt;&lt;p style=\"margin-top: 0.05pt\"&gt;&lt;span style=\"font-size: 10pt\" class=\"Default Paragraph Font font:Times New Roman\"&gt;0.2&lt;/span&gt;&lt;/p&gt;&lt;/td&gt;&lt;td&gt;&lt;p style=\"text-align: center; margin-top: 0.05pt\"&gt;&lt;span style=\"font-size: 10pt\" class=\"Default Paragraph Font font:Times New Roman\"&gt;11MAR2023&lt;/span&gt;&lt;/p&gt;&lt;/td&gt;&lt;td&gt;&amp;nbsp;&lt;/td&gt;&lt;td&gt;&lt;p style=\"margin-top: 0.05pt\"&gt;&lt;span style=\"font-size: 10pt\" class=\"Default Paragraph Font font:Times New Roman\"&gt;Sponsor review&lt;/span&gt;&lt;/p&gt;&lt;/td&gt;&lt;/tr&gt;&lt;tr&gt;&lt;td&gt;&lt;p style=\"margin-top: 0.3pt\"&gt;&lt;span style=\"font-size: 10pt\" class=\"Default Paragraph Font font:Times New Roman\"&gt;1.0&lt;/span&gt;&lt;/p&gt;&lt;/td&gt;&lt;td&gt;&amp;nbsp;&lt;/td&gt;&lt;td&gt;&amp;nbsp;&lt;/td&gt;&lt;td&gt;&lt;p style=\"margin-top: 0.3pt\"&gt;&lt;span style=\"font-size: 10pt\" class=\"Default Paragraph Font font:Times New Roman\"&gt;Original version&lt;/span&gt;&lt;/p&gt;&lt;/td&gt;&lt;/tr&gt;&lt;/table&gt;", "index": "section@para", "score": 2.0, "type": "PWR_DROP", "heading_path": [], "filename": "Mock SAP _03Jun2026.docx"}, {"id": "doc::72df3a00:layout::2:para::2", "content": "Table 1\tSAP Version History Summary", "index": "section@para", "score": 2.0, "type": "PWR_DROP", "heading_path": ["VERSION HISTORY"], "filename": "Mock SAP _03Jun2026.docx"}]</t>
  </si>
  <si>
    <t>doc::7cd3e10f:layout::0:para::65::ph::1</t>
  </si>
  <si>
    <t>&lt;Table Objectives and Endpoints&gt;</t>
  </si>
  <si>
    <t>Retrieve detailed information on 'Objectives and Endpoints' tables, focusing on study components SAD and MAD, and ensure alignment with clinical protocol context.</t>
  </si>
  <si>
    <t>Resolve the placeholder 'Table Objectives and Endpoints' by linking semantically matching captions from the context. Ensure that the resolution is specific to this placeholder's position and aligns with the descriptive title 'Objectives and Endpoints'.</t>
  </si>
  <si>
    <t>Objectives/Endpoints: The following objectives and endpoints will be evaluated in healthy participants during the SAD component of the study and in participants with boneitis in the repeat-dose component of the study.
&lt;table&gt;&lt;tr&gt;&lt;th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t>
  </si>
  <si>
    <t>Table</t>
  </si>
  <si>
    <t>[{"id": "doc::72df3a00:layout::4:para::2", "content": "Table 2\tStudy Objectives and Endpoints", "index": "section@para", "score": 6.0, "type": "PWR_DROP", "heading_path": ["CLINICAL STUDY DETAILS", "Clinical Study Objectives and Endpoints"], "filename": "Mock SAP _03Jun2026.docx"}, {"id": "doc::4877313e:layout::14:para::0", "content": "OBJECTIVES AND ENDPOINTS\n\n&lt;table&gt;&lt;tr&gt;&lt;th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event.&lt;/span&gt;&lt;/p&gt;&lt;/td&gt;&lt;/tr&gt;&lt;/table&gt;\n\n&lt;p style=\"margin-top: 4.45pt\"&gt;&lt;span style=\"font-size: 14pt\" class=\"Default Paragraph Font color:000000\"&gt;&lt;strong&gt;STUDY DESIGN&lt;/strong&gt;&lt;/span&gt;&lt;/p&gt;", "index": "section@para", "score": 4.0, "type": "CNM_ADD", "heading_path": [], "filename": "Mock_CSR_Protocol.docx"}, {"id": "doc::4877313e:layout::14:table::1::caption", "content": "Objectives/Endpoints: The following objectives and endpoints will be evaluated in healthy participants during the SAD component of the study and in participants with boneitis in the repeat-dose component of the study.", "index": "section@para", "score": 4.0, "type": "PWR_USED", "heading_path": ["OBJECTIVES AND ENDPOINTS"], "filename": "Mock_CSR_Protocol.docx"}, {"id": "doc::4877313e:layout::5:para::10", "content": "Objectives and Endpoints:\n\n&lt;table&gt;&lt;tr&gt;&lt;th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scores&lt;/span&gt;&lt;/p&gt;&lt;/td&gt;&lt;/tr&gt;&lt;/table&gt;\n\n&lt;p&gt;&lt;span style=\"font-size: 10pt\" class=\"Default Paragraph Font font:Times New Roman\"&gt;Abbreviations:&lt;/span&gt;&lt;span style=\"font-size: 11pt\" class=\"Default Paragraph Font font:Calibri\"&gt; &lt;/span&gt;&lt;span style=\"font-size: 10pt\" class=\"Default Paragraph Font font:Times New Roman\"&gt;ADA = antidrug antibodies; AE = adverse event.&lt;/span&gt;&lt;/p&gt;\n\n&lt;p style=\"margin-top: 4.5pt\"&gt;&lt;span style=\"font-size: 12pt\" class=\"Default Paragraph Font color:000000\"&gt;&lt;strong&gt;Disclosure Statement&lt;/strong&gt;&lt;/span&gt;&lt;span style=\"font-size: 12pt\" class=\"Default Paragraph Font color:000000\"&gt;: This is a Phase 1, double-blind, randomized, placebo-controlled study with a SAD escalation component to evaluate ABC-123 in healthy volunteers and a repeat-dose component to confirm repeat-dose safety, tolerability, pharmacokinetics, and immunogenicity in participants with boneitis.&lt;/span&gt;&lt;/p&gt;", "index": "section@para", "score": 4.0, "type": "CNM_ADD", "heading_path": ["Synopsis"], "filename": "Mock_CSR_Protocol.docx"}, {"id": "doc::4877313e:layout::5:table::11::caption", "content": "Objectives/Endpoints: The following objectives and endpoints will be evaluated in healthy participants during the SAD component of the study and in participants with boneitis in the repeat-dose component of the study.", "index": "section@para", "score": 4.0, "type": "PWR_USED", "heading_path": ["Synopsis", "Objectives and Endpoints:"], "filename": "Mock_CSR_Protocol.docx"}, {"id": "doc::72df3a00:layout::11:para::4", "content": "The primary endpoints have been described in the previous SAP\u2019s, ST-4536_SAP_v.10_11DEC2023- SAD, ST-4536_SAP_v.1.0_13FEB2023- MAD. The tables for Part II (MAD) (celecoxib) will be combined.", "index": "section@para", "score": 4.0, "type": "PWR_DROP", "heading_path": ["STATISTICAL METHODOLOGY", "Primary Endpoint(s) Analysis"],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4.0, "type": "PWR_DROP", "heading_path": ["INTRODUCTION"], "filename": "Mock SAP _03Jun2026.docx"}, {"id": "doc::72df3a00:layout::4:para::1", "content": "Clinical Study Objectives and Endpoints\n\n&lt;table&gt;&lt;tr&gt;&lt;th colspan=\"2\"&gt;&lt;p&gt;&lt;span style=\"font-size: 10pt\" class=\"Default Paragraph Font font:Times New Roman\"&gt;&lt;strong&gt;Objectives/Endpoints:\u00a0&lt;/strong&gt;&lt;/span&gt;&lt;span style=\"font-size: 10pt\" class=\"Default Paragraph Font font:Times New Roman\"&gt;The following\u00a0objectives\u00a0and endpoints will be evaluated in healthy participants during the SAD\u00a0component\u00a0of the study and in participants with\u00a0boneitis\u00a0in the repeat-dose\u00a0component\u00a0of the study.\u00a0&lt;/span&gt;&lt;/p&gt;&lt;/th&gt;&lt;/tr&gt;&lt;tr&gt;&lt;td&gt;&lt;p style=\"text-align: center\"&gt;&lt;span style=\"font-size: 10pt\" class=\"Default Paragraph Font font:Times New Roman\"&gt;&lt;strong&gt;Objectives&lt;/strong&gt;&lt;/span&gt;&lt;/p&gt;&lt;/td&gt;&lt;td&gt;&lt;p style=\"text-align: center\"&gt;&lt;span style=\"font-size: 10pt\" class=\"Default Paragraph Font font:Times New Roman\"&gt;&lt;strong&gt;Endpoints&lt;/strong&gt;&lt;/span&gt;&lt;/p&gt;&lt;/td&gt;&lt;/tr&gt;&lt;tr&gt;&lt;td&gt;&lt;p&gt;&lt;span style=\"font-size: 10pt\" class=\"Default Paragraph Font font:Times New Roman\"&gt;&lt;strong&gt;Primary&lt;/strong&gt;&lt;/span&gt;&lt;span style=\"font-size: 10pt\" class=\"Default Paragraph Font font:Times New Roman\"&gt;\u00a0&lt;/span&gt;&lt;/p&gt;&lt;/td&gt;&lt;td&gt;&amp;nbsp;&lt;/td&gt;&lt;/tr&gt;&lt;tr&gt;&lt;td&gt;&lt;p&gt;&lt;span style=\"font-size: 10pt\" class=\"Default Paragraph Font font:Times New Roman\"&gt;To assess the safety and tolerability after 4 weeks of exposure following single ascending doses of ABC-123\u00a0&lt;/span&gt;&lt;/p&gt;&lt;/td&gt;&lt;td&gt;&lt;p&gt;&lt;span style=\"font-size: 10pt\" class=\"Default Paragraph Font font:Times New Roman\"&gt;Number of participants with serious and other nonserious AEs\u00a0&lt;/span&gt;&lt;/p&gt;&lt;/td&gt;&lt;/tr&gt;&lt;tr&gt;&lt;td&gt;&lt;p&gt;&lt;span style=\"font-size: 10pt\" class=\"Default Paragraph Font font:Times New Roman\"&gt;&lt;strong&gt;Secondary&lt;/strong&gt;&lt;/span&gt;&lt;span style=\"font-size: 10pt\" class=\"Default Paragraph Font font:Times New Roman\"&gt;\u00a0&lt;/span&gt;&lt;/p&gt;&lt;/td&gt;&lt;td&gt;&amp;nbsp;&lt;/td&gt;&lt;/tr&gt;&lt;tr&gt;&lt;td&gt;&lt;p&gt;&lt;span style=\"font-size: 10pt\" class=\"Default Paragraph Font font:Times New Roman\"&gt;To assess the safety and tolerability following repeated doses over 4 weeks of ABC-123\u00a0&lt;/span&gt;&lt;/p&gt;&lt;/td&gt;&lt;td&gt;&lt;p&gt;&lt;span style=\"font-size: 10pt\" class=\"Default Paragraph Font font:Times New Roman\"&gt;Number of participants with serious and other nonserious AEs\u00a0&lt;/span&gt;&lt;/p&gt;&lt;/td&gt;&lt;/tr&gt;&lt;tr&gt;&lt;td&gt;&lt;p&gt;&lt;span style=\"font-size: 10pt\" class=\"Default Paragraph Font font:Times New Roman\"&gt;To characterize PK of ABC-123 following single ascending doses\u00a0&lt;/span&gt;&lt;/p&gt;&lt;/td&gt;&lt;td&gt;&lt;p&gt;&lt;span style=\"font-size: 10pt\" class=\"Default Paragraph Font font:Times New Roman\"&gt;Cmax\u00a0and AUClast\u00a0&lt;/span&gt;&lt;/p&gt;&lt;/td&gt;&lt;/tr&gt;&lt;tr&gt;&lt;td&gt;&lt;p&gt;&lt;span style=\"font-size: 10pt\" class=\"Default Paragraph Font font:Times New Roman\"&gt;To characterize the PK of ABC-123 following repeated doses\u00a0&lt;/span&gt;&lt;/p&gt;&lt;/td&gt;&lt;td&gt;&lt;p&gt;&lt;span style=\"font-size: 10pt\" class=\"Default Paragraph Font font:Times New Roman\"&gt;Cmax\u00a0and AUClast\u00a0&lt;/span&gt;&lt;/p&gt;&lt;/td&gt;&lt;/tr&gt;&lt;tr&gt;&lt;td&gt;&lt;p&gt;&lt;span style=\"font-size: 10pt\" class=\"Default Paragraph Font font:Times New Roman\"&gt;&lt;strong&gt;Exploratory&lt;/strong&gt;&lt;/span&gt;&lt;span style=\"font-size: 10pt\" class=\"Default Paragraph Font font:Times New Roman\"&gt;\u00a0&lt;/span&gt;&lt;/p&gt;&lt;/td&gt;&lt;td&gt;&amp;nbsp;&lt;/td&gt;&lt;/tr&gt;&lt;tr&gt;&lt;td&gt;&lt;p&gt;&lt;span style=\"font-size: 10pt\" class=\"Default Paragraph Font font:Times New Roman\"&gt;To explore\u00a0additional\u00a0PK characteristics of ABC-123 following single ascending doses\u00a0&lt;/span&gt;&lt;/p&gt;&lt;/td&gt;&lt;td&gt;&lt;p&gt;&lt;span style=\"font-size: 10pt\" class=\"Default Paragraph Font font:Times New Roman\"&gt;Tmax, Clast, Tlast, AUCinf, CL, V, and t1/2\u00a0&lt;/span&gt;&lt;/p&gt;&lt;/td&gt;&lt;/tr&gt;&lt;tr&gt;&lt;td&gt;&lt;p&gt;&lt;span style=\"font-size: 10pt\" class=\"Default Paragraph Font font:Times New Roman\"&gt;To explore\u00a0additional\u00a0PK characteristics of ABC-123\u00a0following repeated doses\u00a0&lt;/span&gt;&lt;/p&gt;&lt;/td&gt;&lt;td&gt;&lt;p&gt;&lt;span style=\"font-size: 10pt\" class=\"Default Paragraph Font font:Times New Roman\"&gt;Tmax, Clast, Tlast, AUCinf, CL, V, and t1/2\u00a0&lt;/span&gt;&lt;/p&gt;&lt;/td&gt;&lt;/tr&gt;&lt;tr&gt;&lt;td&gt;&lt;p&gt;&lt;span style=\"font-size: 10pt\" class=\"Default Paragraph Font font:Times New Roman\"&gt;To explore effects of ABC-123 on clinical laboratory assessments, 12-lead ECG, and vital signs following single ascending doses\u00a0&lt;/span&gt;&lt;/p&gt;&lt;/td&gt;&lt;td&gt;&lt;p&gt;&lt;span style=\"font-size: 10pt\" class=\"Default Paragraph Font font:Times New Roman\"&gt;Incidence of clinically significant changes in laboratory parameters, 12-lead ECG parameters, and vital signs measurements\u00a0&lt;/span&gt;&lt;/p&gt;&lt;/td&gt;&lt;/tr&gt;&lt;tr&gt;&lt;td&gt;&lt;p&gt;&lt;span style=\"font-size: 10pt\" class=\"Default Paragraph Font font:Times New Roman\"&gt;To explore effects of ABC-123 on clinical laboratory assessments, 12-lead ECG, and vital signs following repeated doses\u00a0&lt;/span&gt;&lt;/p&gt;&lt;/td&gt;&lt;td&gt;&lt;p&gt;&lt;span style=\"font-size: 10pt\" class=\"Default Paragraph Font font:Times New Roman\"&gt;Incidence of clinically significant changes in laboratory parameters, 12-lead ECG parameters, and vital signs measurements\u00a0&lt;/span&gt;&lt;/p&gt;&lt;/td&gt;&lt;/tr&gt;&lt;tr&gt;&lt;td&gt;&lt;p&gt;&lt;span style=\"font-size: 10pt\" class=\"Default Paragraph Font font:Times New Roman\"&gt;To explore the impact of ADA on the PK profile of ABC-123 following single ascending doses\u00a0&lt;/span&gt;&lt;/p&gt;&lt;/td&gt;&lt;td&gt;&lt;p&gt;&lt;span style=\"font-size: 10pt\" class=\"Default Paragraph Font font:Times New Roman\"&gt;Impact of ADA on AUC or impact on overall exposure of ABC-123\u00a0&lt;/span&gt;&lt;/p&gt;&lt;/td&gt;&lt;/tr&gt;&lt;tr&gt;&lt;td&gt;&lt;p&gt;&lt;span style=\"font-size: 10pt\" class=\"Default Paragraph Font font:Times New Roman\"&gt;To explore the impact of ADA on the PK profile of ABC-123 following repeated doses\u00a0&lt;/span&gt;&lt;/p&gt;&lt;/td&gt;&lt;td&gt;&lt;p&gt;&lt;span style=\"font-size: 10pt\" class=\"Default Paragraph Font font:Times New Roman\"&gt;Impact of ADA on AUC or impact on overall exposure of ABC-123\u00a0&lt;/span&gt;&lt;/p&gt;&lt;/td&gt;&lt;/tr&gt;&lt;tr&gt;&lt;td&gt;&lt;p&gt;&lt;span style=\"font-size: 10pt\" class=\"Default Paragraph Font font:Times New Roman\"&gt;To explore the effects on eating behavior in participants following single ascending doses of ABC-123\u00a0&lt;/span&gt;&lt;/p&gt;&lt;/td&gt;&lt;td&gt;&lt;p&gt;&lt;span style=\"font-size: 10pt\" class=\"Default Paragraph Font font:Times New Roman\"&gt;Hunger, satiety, and appetite VAS scores\u00a0&lt;/span&gt;&lt;/p&gt;&lt;/td&gt;&lt;/tr&gt;&lt;/table&gt;", "index": "section@para", "score": 4.0, "type": "PWR_DROP", "heading_path": ["CLINICAL STUDY DETAILS"],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"PWR_DROP", "heading_path": ["STATISTICAL AND ANALYTICAL PLANS", "Handling of Dropouts, Missing Data and Outliers"], "filename": "Mock SAP _03Jun2026.docx"}, {"id": "doc::72df3a00:layout::8:para::9", "content": "For the exploratory endpoints will a sensitivity approach be performed, i.e. for data which is missing will two set of tables be produced. The first one with all data included and other with data for subjects with complete data.", "index": "section@para", "score": 4.0, "type": "PWR_DROP", "heading_path": ["STATISTICAL AND ANALYTICAL PLANS", "Sensitivity analysis"], "filename": "Mock SAP _03Jun2026.docx"}]</t>
  </si>
  <si>
    <t>doc::7cd3e10f:layout::0:para::66::ph::0</t>
  </si>
  <si>
    <t>&lt;Insert Study Parts&gt;</t>
  </si>
  <si>
    <t>Retrieve information related to the study design, specifically the parts (SAD and MAD) and their descriptions.</t>
  </si>
  <si>
    <t>Resolve the placeholder '&lt;Insert Study Parts&gt;' using the context, ensuring inline continuity with the surrounding text: 'The schedule of assessments for [placeholder] are presented in Table 3.'</t>
  </si>
  <si>
    <t>Part I (SAD) and Part II (MAD)</t>
  </si>
  <si>
    <t>[{"id": "doc::72df3a00:layout::6:para::2", "content": "Study ST-4536 includes two parts: Part I (SAD) and Part II (MAD)(celecoxib).", "index": "section@para", "score": 4.0, "type": "PWR_USED", "heading_path": ["CLINICAL STUDY DETAILS", "Clinical Study Design"], "filename": "Mock SAP _03Jun2026.docx"}, {"id": "doc::72df3a00:layout::6:para::6", "content": "No statistical hypotheses have been made in any of the study parts.", "index": "section@para", "score": 4.0, "type": "CNM_ADD", "heading_path": ["CLINICAL STUDY DETAILS", "Statistical Hypotheses"], "filename": "Mock SAP _03Jun2026.docx"}, {"id": "doc::fd2ccc75:layout::0:para::0", "content": "Clinical Study Report: Key Message", "index": "section@para", "score": 2.0, "type": "PWR_DROP", "heading_path": [], "filename": "Mock_CSR Key messages_with_heading.docx"}, {"id": "doc::fd2ccc75:layout::0:para::1", "content": "Document Title: Clinical Study Report", "index": "section@para", "score": 2.0, "type": "PWR_DROP", "heading_path": [], "filename": "Mock_CSR Key messages_with_heading.docx"},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"doc::fd2ccc75:layout::0:para::11", "content": "The secondary objective of this study:", "index": "section@para", "score": 2.0, "type": "PWR_DROP", "heading_path": ["1. Study Objective"], "filename": "Mock_CSR Key messages_with_heading.docx"}, {"id": "doc::fd2ccc75:layout::0:para::15", "content": "The exploratory objective of this study:", "index": "section@para", "score": 2.0, "type": "PWR_DROP", "heading_path": ["1. Study Objective"],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2.0, "type": "PWR_DROP", "heading_path": [], "filename": "Mock_CSR Key messages_with_heading.docx"}, {"id":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2.0, "type": "PWR_DROP",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t>
  </si>
  <si>
    <t>doc::7cd3e10f:layout::0:para::69::ph::0</t>
  </si>
  <si>
    <t>&lt;Figure X&gt;</t>
  </si>
  <si>
    <t>Retrieve figures specifically related to dose proportionality based on AUC0-t and Cmax for initial doses, ensuring alignment with study schema presentation.</t>
  </si>
  <si>
    <t>Embed 'Figure 14.3.3.1.x' inline within the sentence 'The study schema is presented in &lt;Figure X&gt;.' maintaining the positional context for dose proportionality analysis.</t>
  </si>
  <si>
    <t>Figure 14.3.3.1.x</t>
  </si>
  <si>
    <t>[{"id": "doc::72df3a00:layout::52:para::0", "content": "Figure 14.3.3.1.x. Dose proportionality after a first dose based on AUC0-t and Cmax ([analysis set])", "index": "section@para", "score": 2.0, "type": "PWR_USED", "heading_path": ["STATISTICAL OUTPUT LAUOUT", "Tables"], "filename": "Mock SAP _03Jun2026.docx"}, {"id": "doc::72df3a00:layout::53:para::0", "content": "Figure 14.3.3.2.x. Dose proportionality after a last dose interval based on AUCss and Cmax ([analysis set])", "index": "section@para", "score": 2.0, "type": "PWR_DROP", "heading_path": ["STATISTICAL OUTPUT LAUOUT", "Tables"], "filename": "Mock SAP _03Jun2026.docx"}, {"id": "doc::72df3a00:layout::55:para::0", "content": "Figure 14.3.4.x. PK concentrations ([analysis set])", "index": "section@para", "score": 2.0, "type": "PWR_DROP", "heading_path": ["STATISTICAL OUTPUT LAUOUT", "Tables"], "filename": "Mock SAP _03Jun2026.docx"}, {"id": "doc::72df3a00:layout::55:para::2", "content": "*The figure will be based on geometric mean", "index": "section@para", "score": 2.0, "type": "PWR_DROP", "heading_path": ["STATISTICAL OUTPUT LAUOUT", "Tables"], "filename": "Mock SAP _03Jun2026.docx"}, {"id": "doc::72df3a00:layout::57:para::1", "content": "Figure 14.4.2.x. PGE2 levels Day 1 for all dose groups([analysis set])", "index": "section@para", "score": 2.0, "type": "PWR_DROP", "heading_path": ["STATISTICAL OUTPUT LAUOUT", "Tables"], "filename": "Mock SAP _03Jun2026.docx"}, {"id": "doc::72df3a00:layout::57:para::4", "content": "Figure 14.4.3.x. PGE2 levels Day 1 for all dose groups ([analysis set])", "index": "section@para", "score": 2.0, "type": "PWR_DROP", "heading_path": ["STATISTICAL OUTPUT LAUOUT", "Tables"], "filename": "Mock SAP _03Jun2026.docx"}, {"id": "doc::72df3a00:layout::59:para::1", "content": "Figure 14.4.5.x. PGE2 levels Day 1 and Day 10 MAD cohorts and Celecoxib ([analysis set])", "index": "section@para", "score": 2.0, "type": "PWR_DROP", "heading_path": ["STATISTICAL OUTPUT LAUOUT", "Tables"], "filename": "Mock SAP _03Jun2026.docx"}, {"id": "doc::72df3a00:layout::59:para::3", "content": "Figure 14.4.6.x. PGE2 levels Day 1 and Day 10 MAD cohorts and Celecoxib ([analysis set])", "index": "section@para", "score": 2.0, "type": "PWR_DROP", "heading_path": ["STATISTICAL OUTPUT LAUOUT", "Tables"], "filename": "Mock SAP _03Jun2026.docx"}, {"id": "doc::72df3a00:layout::61:para::1", "content": "Figure 14.5.2.x. AA metabolite levels Day 1 and Day 10 MAD cohorts and Celecoxib ([analysis set])", "index": "section@para", "score": 2.0, "type": "PWR_DROP", "heading_path": ["STATISTICAL OUTPUT LAUOUT", "Tables"], "filename": "Mock SAP _03Jun2026.docx"}, {"id": "doc::72df3a00:layout::61:para::3", "content": "Figure 14.5.3.x. AA metabolites levels Day 1 and Day 10 MAD cohorts and Celecoxib ([analysis set])", "index": "section@para", "score": 2.0, "type": "PWR_DROP", "heading_path": ["STATISTICAL OUTPUT LAUOUT", "Tables"], "filename": "Mock SAP _03Jun2026.docx"}]</t>
  </si>
  <si>
    <t>doc::7cd3e10f:layout::0:para::70::ph::0</t>
  </si>
  <si>
    <t>&lt;Date of Report&gt;</t>
  </si>
  <si>
    <t>Retrieve specific dates relevant to the document report or approval.</t>
  </si>
  <si>
    <t>Resolve the placeholder '&lt;Date of Report&gt;' using the identified approval date from the context, ensuring inline continuity with 'Page 1 of 30' preceding it.</t>
  </si>
  <si>
    <t>1 March 2023</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</si>
  <si>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"CNM_ADD", "heading_path": ["Measures to Minimize Bias: Randomization and Blinding"], "filename": "Mock_CSR_Protocol.docx"}, {"id": "doc::4877313e:layout::56:para::15", "content": "After obtaining the necessary signed informed consent from the pregnant female partner directly, the Investigator will record pregnancy information on the appropriate form and submit it to the Sponsor within 24 hours of learning of the partner\u2019s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"index": "section@para", "score": 4.0, "type": "CNM_ADD", "heading_path": ["Appendix 5: Contraceptive Guidance and Collection of Pregnancy Information", "Collection of Pregnancy Information"], "filename": "Mock_CSR_Protocol.docx"}, {"id": "doc::4877313e:layout::57:para::0", "content": "The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"index": "section@para", "score": 4.0, "type": "CNM_ADD", "heading_path": ["Appendix 5: Contraceptive Guidance and Collection of Pregnancy Information", "Female participants who become pregnant"], "filename": "Mock_CSR_Protocol.docx"}, {"id": "doc::fd2ccc75:layout::0:para::0", "content": "Clinical Study Report: Key Message", "index": "section@para", "score": 2.0, "type": "CNM_ADD", "heading_path": [], "filename": "Mock_CSR Key messages_with_heading.docx"}, {"id": "doc::fd2ccc75:layout::0:para::1", "content": "Document Title: Clinical Study Report", "index": "section@para", "score": 2.0, "type": "CNM_ADD", "heading_path": [], "filename": "Mock_CSR Key messages_with_heading.docx"}, {"id": "doc::fd2ccc75:layout::0:para::47", "content": "Ethnicity: 3 subjects identified as Hispanic or Latino, and 31 as Not Hispanic or Latino. 2 subjects in the Treatment group had ethnicity not reported.", "index": "section@para", "score": 2.0,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["5. Interpretation &amp; Conclusion"], "filename": "Mock_CSR Key messages_with_heading.docx"}, {"id": "doc::fd2ccc75:layout::0:para::8", "content": "Date: DD MM YYYY", "index": "section@para", "score": 2.0, "type": "CNM_ADD", "heading_path": ["Study Title:"], "filename": "Mock_CSR Key messages_with_heading.docx"}, {"id": "doc::4877313e:layout::0:para::13", "content": "Approval Date: 1 March 2023", "index": "section@para", "score": 2.0, "type": "PWR_USED", "heading_path": ["TITLE PAGE"], "filename": "Mock_CSR_Protocol.docx"}]</t>
  </si>
  <si>
    <t>doc::7cd3e10f:layout::1:footer::0::ph::0</t>
  </si>
  <si>
    <t>&lt;Table Schedule of Activities – Single Ascending Dose&gt;</t>
  </si>
  <si>
    <t>Retrieve details specifically related to the 'Table Schedule of Activities – Single Ascending Dose' placeholder, emphasizing semantic matches in table captions or structured table data.</t>
  </si>
  <si>
    <t>Resolve the placeholder 'Table Schedule of Activities – Single Ascending Dose' by identifying semantically matching table captions. Use the context caption 'Table 1: Schedule of Activities – Single Ascending Dose' and ensure the replacement is unique to this placeholder's position.</t>
  </si>
  <si>
    <t>Table 1: Schedule of Activities – Single Ascending Dose
&lt;table&gt;&lt;tr&gt;&lt;th&gt;&lt;p&gt;&lt;span style="font-size: 10pt" class="Default Paragraph Font color:000000"&gt;&lt;strong&gt;Study Procedures (Day)&lt;/strong&gt;&lt;/span&gt;&lt;/p&gt;&lt;/th&gt;&lt;th colspan="5"&gt;&amp;nbsp;&lt;/th&gt;&lt;th colspan="13"&gt;&lt;p style="text-align: center"&gt;&lt;span style="font-size: 10pt" class="Default Paragraph Font color:000000"&gt;&lt;strong&gt;In-Residence Period&lt;/strong&gt;&lt;/span&gt;&lt;/p&gt;&lt;/th&gt;&lt;th colspan="147"&gt;&lt;p style="text-align: center"&gt;&lt;span style="font-size: 10pt" class="Default Paragraph Font color:000000"&gt;&lt;strong&gt;Follow-up Period Cohorts 4+&lt;/strong&gt;&lt;/span&gt;&lt;/p&gt;&lt;/th&gt;&lt;/tr&gt;&lt;tr&gt;&lt;td&gt;&amp;nbsp;&lt;/td&gt;&lt;td colspan="5"&gt;&amp;nbsp;&lt;/td&gt;&lt;td colspan="13"&gt;&amp;nbsp;&lt;/td&gt;&lt;td colspan="138"&gt;&lt;p style="text-align: center"&gt;&lt;span style="font-size: 10pt" class="Default Paragraph Font color:000000"&gt;&lt;strong&gt;Follow-up Period Cohorts 1-3&lt;/strong&gt;&lt;/span&gt;&lt;/p&gt;&lt;/td&gt;&lt;td colspan="9"&gt;&amp;nbsp;&lt;/td&gt;&lt;/tr&gt;&lt;tr&gt;&lt;td&gt;&amp;nbsp;&lt;/td&gt;&lt;td colspan="5"&gt;&lt;p style="text-align: center"&gt;&lt;span style="font-size: 10pt" class="Default Paragraph Font color:000000"&gt;&lt;strong&gt;Screening&lt;/strong&gt;&lt;/span&gt;&lt;/p&gt;&lt;/td&gt;&lt;td colspan="13"&gt;&lt;p style="text-align: center"&gt;&lt;span style="font-size: 10pt" class="Default Paragraph Font color:000000"&gt;&lt;strong&gt;Day 1&lt;/strong&gt;&lt;/span&gt;&lt;/p&gt;&lt;/td&gt;&lt;td colspan="18"&gt;&lt;p style="text-align: center"&gt;&lt;span style="font-size: 10pt" class="Default Paragraph Font color:000000"&gt;&lt;strong&gt;Day 2&lt;/strong&gt;&lt;/span&gt;&lt;/p&gt;&lt;/td&gt;&lt;td colspan="13"&gt;&lt;p style="text-align: center"&gt;&lt;span style="font-size: 10pt" class="Default Paragraph Font color:000000"&gt;&lt;strong&gt;Day 3&lt;/strong&gt;&lt;/span&gt;&lt;/p&gt;&lt;/td&gt;&lt;td colspan="9"&gt;&lt;p style="text-align: center"&gt;&lt;span style="font-size: 10pt" class="Default Paragraph Font color:000000"&gt;&lt;strong&gt;Day 4&lt;/strong&gt;&lt;/span&gt;&lt;/p&gt;&lt;/td&gt;&lt;td colspan="10"&gt;&lt;p style="text-align: center"&gt;&lt;span style="font-size: 10pt" class="Default Paragraph Font color:000000"&gt;&lt;strong&gt;Day 5&lt;/strong&gt;&lt;/span&gt;&lt;/p&gt;&lt;/td&gt;&lt;td colspan="5"&gt;&lt;p style="text-align: center"&gt;&lt;span style="font-size: 10pt" class="Default Paragraph Font color:000000"&gt;&lt;strong&gt;Day 6&lt;/strong&gt;&lt;/span&gt;&lt;/p&gt;&lt;/td&gt;&lt;td colspan="5"&gt;&lt;p style="text-align: center"&gt;&lt;span style="font-size: 10pt" class="Default Paragraph Font color:000000"&gt;&lt;strong&gt;Day 7&lt;/strong&gt;&lt;/span&gt;&lt;/p&gt;&lt;/td&gt;&lt;td colspan="5"&gt;&lt;p style="text-align: center"&gt;&lt;span style="font-size: 10pt" class="Default Paragraph Font color:000000"&gt;&lt;strong&gt;Day 8&lt;/strong&gt;&lt;/span&gt;&lt;/p&gt;&lt;/td&gt;&lt;td colspan="6"&gt;&lt;p style="text-align: center"&gt;&lt;span style="font-size: 10pt" class="Default Paragraph Font color:000000"&gt;&lt;strong&gt;Day 9&lt;/strong&gt;&lt;/span&gt;&lt;/p&gt;&lt;/td&gt;&lt;td colspan="5"&gt;&lt;p style="text-align: center"&gt;&lt;span style="font-size: 10pt" class="Default Paragraph Font color:000000"&gt;&lt;strong&gt;Day 10&lt;/strong&gt;&lt;/span&gt;&lt;/p&gt;&lt;/td&gt;&lt;td colspan="6"&gt;&lt;p style="text-align: center"&gt;&lt;span style="font-size: 10pt" class="Default Paragraph Font color:000000"&gt;&lt;strong&gt;Day 11&lt;/strong&gt;&lt;/span&gt;&lt;/p&gt;&lt;/td&gt;&lt;td colspan="8"&gt;&lt;p style="text-align: center"&gt;&lt;span style="font-size: 10pt" class="Default Paragraph Font color:000000"&gt;&lt;strong&gt;Day 15&lt;/strong&gt;&lt;/span&gt;&lt;/p&gt;&lt;/td&gt;&lt;td colspan="5"&gt;&lt;p style="text-align: center"&gt;&lt;span style="font-size: 10pt" class="Default Paragraph Font color:000000"&gt;&lt;strong&gt;Day 22&lt;/strong&gt;&lt;/span&gt;&lt;/p&gt;&lt;/td&gt;&lt;td colspan="7"&gt;&lt;p style="text-align: center"&gt;&lt;span style="font-size: 10pt" class="Default Paragraph Font color:000000"&gt;&lt;strong&gt;Day 29&lt;/strong&gt;&lt;/span&gt;&lt;/p&gt;&lt;/td&gt;&lt;td colspan="35"&gt;&lt;p style="text-align: center"&gt;&lt;span style="font-size: 10pt" class="Default Paragraph Font color:000000"&gt;&lt;strong&gt;Day 43&lt;/strong&gt;&lt;/span&gt;&lt;/p&gt;&lt;/td&gt;&lt;td colspan="8"&gt;&lt;p style="text-align: center"&gt;&lt;span style="font-size: 10pt" class="Default Paragraph Font color:000000"&gt;&lt;strong&gt;Day 57&lt;/strong&gt;&lt;/span&gt;&lt;/p&gt;&lt;/td&gt;&lt;td colspan="2"&gt;&lt;p style="text-align: center"&gt;&lt;span style="font-size: 10pt" class="Default Paragraph Font color:000000"&gt;&lt;strong&gt;Follow-up / ED 71&lt;/strong&gt;&lt;/span&gt;&lt;/p&gt;&lt;/td&gt;&lt;/tr&gt;&lt;tr&gt;&lt;td&gt;&lt;p&gt;&lt;span style="font-size: 10pt" class="Default Paragraph Font color:000000"&gt;&lt;em&gt;&lt;strong&gt;Visit window (Days)&lt;/strong&gt;&lt;/em&gt;&lt;/span&gt;&lt;/p&gt;&lt;/td&gt;&lt;td colspan="8"&gt;&amp;nbsp;&lt;/td&gt;&lt;td colspan="6"&gt;&amp;nbsp;&lt;/td&gt;&lt;td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color:000000"&gt;Informed consent&lt;/span&gt;&lt;/p&gt;&lt;/td&gt;&lt;td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 style="margin-top: 0.2pt"&gt;&lt;span style="font-size: 10pt" class="Default Paragraph Font color:000000"&gt;Inclusion/exclusion criteria&lt;/span&gt;&lt;/p&gt;&lt;/td&gt;&lt;td colspan="5"&gt;&lt;p style="text-align: center; margin-top: 0.2pt"&gt;&lt;span style="font-size: 10pt" class="Default Paragraph Font color:000000"&gt;X&lt;/span&gt;&lt;/p&gt;&lt;/td&gt;&lt;td colspan="13"&gt;&lt;p style="text-align: center; margin-top: 0.2pt"&gt;&lt;span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color:000000"&gt;Demographic data&lt;/span&gt;&lt;/p&gt;&lt;/td&gt;&lt;td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color:000000"&gt;Medical history/current medical conditions&lt;/span&gt;&lt;/p&gt;&lt;/td&gt;&lt;td colspan="5"&gt;&lt;p style="text-align: center; margin-top: 5pt"&gt;&lt;span style="font-size: 10pt" class="Default Paragraph Font color:000000"&gt;X&lt;/span&gt;&lt;/p&gt;&lt;/td&gt;&lt;td colspan="13"&gt;&lt;p style="text-align: center; margin-top: 5pt"&gt;&lt;span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color:000000"&gt;Alcohol and drug screen&lt;/span&gt;&lt;/p&gt;&lt;/td&gt;&lt;td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colspan="5"&gt;&amp;nbsp;&lt;/td&gt;&lt;td colspan="4"&gt;&amp;nbsp;&lt;/td&gt;&lt;td colspan="4"&gt;&amp;nbsp;&lt;/td&gt;&lt;td colspan="4"&gt;&lt;p style="text-align: center"&gt;&lt;span style="font-size: 10pt" class="Default Paragraph Font color:000000"&gt;X&lt;/span&gt;&lt;/p&gt;&lt;/td&gt;&lt;td colspan="9"&gt;&amp;nbsp;&lt;/td&gt;&lt;td colspan="7"&gt;&lt;p&gt;&lt;span style="font-size: 10pt" class="Default Paragraph Font color:000000"&gt;X&lt;/span&gt;&lt;/p&gt;&lt;/td&gt;&lt;td colspan="5"&gt;&lt;p&gt;&lt;span style="font-size: 10pt" class="Default Paragraph Font color:000000"&gt;X&lt;/span&gt;&lt;/p&gt;&lt;/td&gt;&lt;td colspan="3"&gt;&lt;p&gt;&lt;span style="font-size: 10pt" class="Default Paragraph Font color:000000"&gt;X&lt;/span&gt;&lt;/p&gt;&lt;/td&gt;&lt;td colspan="50"&gt;&lt;p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color:000000"&gt;Serology&lt;/span&gt;&lt;/p&gt;&lt;/td&gt;&lt;td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color:000000"&gt;FSH test&lt;/span&gt;&lt;/p&gt;&lt;/td&gt;&lt;td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color:000000"&gt;Pregnancy testing (females only)&lt;/span&gt;&lt;/p&gt;&lt;/td&gt;&lt;td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colspan="3"&gt;&amp;nbsp;&lt;/td&gt;&lt;td&gt;&amp;nbsp;&lt;/td&gt;&lt;td&gt;&amp;nbsp;&lt;/td&gt;&lt;td colspan="6"&gt;&amp;nbsp;&lt;/td&gt;&lt;td colspan="42"&gt;&lt;p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color:000000"&gt;Height&lt;/span&gt;&lt;/p&gt;&lt;/td&gt;&lt;td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color:000000"&gt;X&lt;/span&gt;&lt;/p&gt;&lt;/td&gt;&lt;/tr&gt;&lt;tr&gt;&lt;td&gt;&lt;p&gt;&lt;span style="font-size: 10pt" class="Default Paragraph Font color:000000"&gt;Body weight&lt;/span&gt;&lt;/p&gt;&lt;/td&gt;&lt;td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 colspan="2"&gt;&lt;p&gt;&lt;span style="font-size: 10pt" class="Default Paragraph Font color:000000"&gt;Blood sample for DNA&lt;/span&gt;&lt;/p&gt;&lt;/td&gt;&lt;td&gt;&lt;p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 colspan="32"&gt;&amp;nbsp;&lt;/td&gt;&lt;/tr&gt;&lt;tr&gt;&lt;td colspan="2"&gt;&lt;p&gt;&lt;span style="font-size: 10pt" class="Default Paragraph Font color:000000"&gt;&lt;strong&gt;Study residency:&lt;/strong&gt;&lt;/span&gt;&lt;/p&gt;&lt;/td&gt;&lt;td colspan="10"&gt;&amp;nbsp;&lt;/td&gt;&lt;td colspan="9"&gt;&amp;nbsp;&lt;/td&gt;&lt;td colspan="7"&gt;&amp;nbsp;&lt;/td&gt;&lt;td colspan="8"&gt;&amp;nbsp;&lt;/td&gt;&lt;td colspan="6"&gt;&amp;nbsp;&lt;/td&gt;&lt;td&gt;&amp;nbsp;&lt;/td&gt;&lt;td colspan="13"&gt;&amp;nbsp;&lt;/td&gt;&lt;td colspan="14"&gt;&amp;nbsp;&lt;/td&gt;&lt;td colspan="5"&gt;&amp;nbsp;&lt;/td&gt;&lt;td colspan="5"&gt;&amp;nbsp;&lt;/td&gt;&lt;td colspan="14"&gt;&amp;nbsp;&lt;/td&gt;&lt;td colspan="23"&gt;&amp;nbsp;&lt;/td&gt;&lt;td colspan="8"&gt;&amp;nbsp;&lt;/td&gt;&lt;td colspan="2"&gt;&amp;nbsp;&lt;/td&gt;&lt;td colspan="6"&gt;&amp;nbsp;&lt;/td&gt;&lt;td colspan="2"&gt;&amp;nbsp;&lt;/td&gt;&lt;td colspan="4"&gt;&amp;nbsp;&lt;/td&gt;&lt;td colspan="31"&gt;&amp;nbsp;&lt;/td&gt;&lt;/tr&gt;&lt;tr&gt;&lt;td colspan="2"&gt;&lt;p&gt;&lt;span style="font-size: 10pt" class="Default Paragraph Font color:000000"&gt;Check-in&lt;/span&gt;&lt;/p&gt;&lt;/td&gt;&lt;td&gt;&lt;p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colspan="5"&gt;&amp;nbsp;&lt;/td&gt;&lt;td&gt;&amp;nbsp;&lt;/td&gt;&lt;/tr&gt;&lt;tr&gt;&lt;td colspan="2"&gt;&lt;p&gt;&lt;span style="font-size: 10pt" class="Default Paragraph Font color:000000"&gt;Check-out&lt;/span&gt;&lt;/p&gt;&lt;/td&gt;&lt;td colspan="2"&gt;&amp;nbsp;&lt;/td&gt;&lt;td&gt;&amp;nbsp;&lt;/td&gt;&lt;td colspan="9"&gt;&amp;nbsp;&lt;/td&gt;&lt;td colspan="9"&gt;&amp;nbsp;&lt;/td&gt;&lt;td colspan="8"&gt;&amp;nbsp;&lt;/td&gt;&lt;td colspan="49"&gt;&amp;nbsp;&lt;/td&gt;&lt;td colspan="3"&gt;&lt;p style="text-align: center"&gt;&lt;span style="font-size: 10pt" class="Default Paragraph Font color:000000"&gt;X&lt;/span&gt;&lt;/p&gt;&lt;/td&gt;&lt;td colspan="3"&gt;&amp;nbsp;&lt;/td&gt;&lt;td colspan="32"&gt;&amp;nbsp;&lt;/td&gt;&lt;td colspan="8"&gt;&amp;nbsp;&lt;/td&gt;&lt;td colspan="2"&gt;&amp;nbsp;&lt;/td&gt;&lt;td colspan="5"&gt;&amp;nbsp;&lt;/td&gt;&lt;td colspan="3"&gt;&amp;nbsp;&lt;/td&gt;&lt;td colspan="4"&gt;&amp;nbsp;&lt;/td&gt;&lt;/tr&gt;&lt;tr&gt;&lt;td colspan="2"&gt;&lt;p&gt;&lt;span style="font-size: 10pt" class="Default Paragraph Font color:000000"&gt;Nonresidential visit&lt;/span&gt;&lt;/p&gt;&lt;/td&gt;&lt;td colspan="6"&gt;&lt;p style="text-align: center"&gt;&lt;span style="font-size: 10pt" class="Default Paragraph Font color:000000"&gt;X&lt;/span&gt;&lt;/p&gt;&lt;/td&gt;&lt;td colspan="33"&gt;&amp;nbsp;&lt;/td&gt;&lt;td colspan="4"&gt;&amp;nbsp;&lt;/td&gt;&lt;td colspan="3"&gt;&amp;nbsp;&lt;/td&gt;&lt;td colspan="4"&gt;&amp;nbsp;&lt;/td&gt;&lt;td&gt;&amp;nbsp;&lt;/td&gt;&lt;td colspan="2"&gt;&amp;nbsp;&lt;/td&gt;&lt;td colspan="3"&gt;&amp;nbsp;&lt;/td&gt;&lt;td colspan="5"&gt;&amp;nbsp;&lt;/td&gt;&lt;td colspan="4"&gt;&amp;nbsp;&lt;/td&gt;&lt;td colspan="3"&gt;&amp;nbsp;&lt;/td&gt;&lt;td colspan="5"&gt;&lt;p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colspan="8"&gt;&lt;p style="text-align: center"&gt;&lt;span style="font-size: 10pt" class="Default Paragraph Font color:000000"&gt;X&lt;/span&gt;&lt;/p&gt;&lt;/td&gt;&lt;td colspan="5"&gt;&lt;p style="text-align: center"&gt;&lt;span style="font-size: 10pt" class="Default Paragraph Font color:000000"&gt;X&lt;/span&gt;&lt;/p&gt;&lt;/td&gt;&lt;td colspan="23"&gt;&lt;p style="text-align: center"&gt;&lt;span style="font-size: 10pt" class="Default Paragraph Font color:000000"&gt;X&lt;/span&gt;&lt;/p&gt;&lt;/td&gt;&lt;td colspan="27"&gt;&lt;p style="text-align: center"&gt;&lt;span style="font-size: 10pt" class="Default Paragraph Font color:000000"&gt;X&lt;/span&gt;&lt;/p&gt;&lt;/td&gt;&lt;/tr&gt;&lt;tr&gt;&lt;td colspan="7"&gt;&lt;p&gt;&lt;span style="font-size: 10pt" class="Default Paragraph Font color:000000"&gt;&lt;strong&gt;Study intervention administration:&lt;/strong&gt;&lt;/span&gt;&lt;/p&gt;&lt;/td&gt;&lt;td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color:000000"&gt;Randomization&lt;/span&gt;&lt;/p&gt;&lt;/td&gt;&lt;td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color:000000"&gt;ABC-123 or placebo&lt;/span&gt;&lt;/p&gt;&lt;/td&gt;&lt;td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color:000000"&gt;&lt;strong&gt;Pharmacokinetics:&lt;/strong&gt;&lt;/span&gt;&lt;/p&gt;&lt;/td&gt;&lt;td colspan="18"&gt;&amp;nbsp;&lt;/td&gt;&lt;td colspan="4"&gt;&amp;nbsp;&lt;/td&gt;&lt;td colspan="9"&gt;&amp;nbsp;&lt;/td&gt;&lt;td colspan="8"&gt;&amp;nbsp;&lt;/td&gt;&lt;td colspan="16"&gt;&amp;nbsp;&lt;/td&gt;&lt;td colspan="3"&gt;&amp;nbsp;&lt;/td&gt;&lt;td colspan="16"&gt;&amp;nbsp;&lt;/td&gt;&lt;td colspan="17"&gt;&amp;nbsp;&lt;/td&gt;&lt;td colspan="5"&gt;&amp;nbsp;&lt;/td&gt;&lt;td colspan="10"&gt;&amp;nbsp;&lt;/td&gt;&lt;td colspan="9"&gt;&amp;nbsp;&lt;/td&gt;&lt;td colspan="7"&gt;&amp;nbsp;&lt;/td&gt;&lt;td colspan="15"&gt;&amp;nbsp;&lt;/td&gt;&lt;td colspan="3"&gt;&amp;nbsp;&lt;/td&gt;&lt;td&gt;&amp;nbsp;&lt;/td&gt;&lt;td&gt;&amp;nbsp;&lt;/td&gt;&lt;td colspan="3"&gt;&amp;nbsp;&lt;/td&gt;&lt;td colspan="13"&gt;&amp;nbsp;&lt;/td&gt;&lt;/tr&gt;&lt;tr&gt;&lt;td colspan="7"&gt;&lt;p&gt;&lt;span style="font-size: 10pt" class="Default Paragraph Font color:000000"&gt;Serum PK sampling&lt;/span&gt;&lt;/p&gt;&lt;/td&gt;&lt;td colspan="3"&gt;&amp;nbsp;&lt;/td&gt;&lt;td colspan="3"&gt;&lt;p style="text-align: center"&gt;&lt;span style="font-size: 10pt" class="Default Paragraph Font color:000000"&gt;X&lt;/span&gt;&lt;/p&gt;&lt;/td&gt;&lt;td colspan="11"&gt;&lt;p style="text-align: center"&gt;&lt;span style="font-size: 10pt" class="Default Paragraph Font color:000000"&gt;X&lt;/span&gt;&lt;/p&gt;&lt;/td&gt;&lt;td colspan="11"&gt;&lt;p style="text-align: center"&gt;&lt;span style="font-size: 10pt" class="Default Paragraph Font color:000000"&gt;X&lt;/span&gt;&lt;/p&gt;&lt;/td&gt;&lt;td colspan="5"&gt;&lt;p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colspan="13"&gt;&lt;p style="text-align: center"&gt;&lt;span style="font-size: 10pt" class="Default Paragraph Font color:000000"&gt;X&lt;/span&gt;&lt;/p&gt;&lt;/td&gt;&lt;td colspan="4"&gt;&lt;p style="text-align: center"&gt;&lt;span style="font-size: 10pt" class="Default Paragraph Font color:000000"&gt;X&lt;/span&gt;&lt;/p&gt;&lt;/td&gt;&lt;td colspan="30"&gt;&lt;p style="text-align: center"&gt;&lt;span style="font-size: 10pt" class="Default Paragraph Font color:000000"&gt;X&lt;/span&gt;&lt;/p&gt;&lt;/td&gt;&lt;td colspan="6"&gt;&lt;p style="text-align: center"&gt;&lt;span style="font-size: 10pt" class="Default Paragraph Font color:000000"&gt;X&lt;/span&gt;&lt;/p&gt;&lt;/td&gt;&lt;td colspan="10"&gt;&lt;p style="text-align: center"&gt;&lt;span style="font-size: 10pt" class="Default Paragraph Font color:000000"&gt;X&lt;/span&gt;&lt;/p&gt;&lt;/td&gt;&lt;td colspan="11"&gt;&lt;p style="text-align: center"&gt;&lt;span style="font-size: 10pt" class="Default Paragraph Font color:000000"&gt;X&lt;/span&gt;&lt;/p&gt;&lt;/td&gt;&lt;td colspan="3"&gt;&lt;p style="text-align: center"&gt;&lt;span style="font-size: 10pt" class="Default Paragraph Font color:000000"&gt;X&lt;/span&gt;&lt;/p&gt;&lt;/td&gt;&lt;td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colspan="15"&gt;&lt;p style="text-align: center"&gt;&lt;span style="font-size: 10pt" class="Default Paragraph Font color:000000"&gt;X&lt;/span&gt;&lt;/p&gt;&lt;/td&gt;&lt;/tr&gt;&lt;tr&gt;&lt;td colspan="7"&gt;&lt;p&gt;&lt;span style="font-size: 10pt" class="Default Paragraph Font color:000000"&gt;&lt;strong&gt;Pharmacodynamics:&lt;/strong&gt;&lt;/span&gt;&lt;/p&gt;&lt;/td&gt;&lt;td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color:000000"&gt;Exploratory biomarkers&lt;/span&gt;&lt;/p&gt;&lt;/td&gt;&lt;td colspan="4"&gt;&lt;p style="text-align: center"&gt;&lt;span style="font-size: 10pt" class="Default Paragraph Font color:000000"&gt;X&lt;/span&gt;&lt;/p&gt;&lt;/td&gt;&lt;td colspan="6"&gt;&amp;nbsp;&lt;/td&gt;&lt;td colspan="8"&gt;&amp;nbsp;&lt;/td&gt;&lt;td colspan="5"&gt;&amp;nbsp;&lt;/td&gt;&lt;td colspan="9"&gt;&amp;nbsp;&lt;/td&gt;&lt;td colspan="8"&gt;&lt;p style="text-align: center"&gt;&lt;span style="font-size: 10pt" class="Default Paragraph Font color:000000"&gt;X&lt;/span&gt;&lt;/p&gt;&lt;/td&gt;&lt;td colspan="10"&gt;&lt;p style="text-align: center"&gt;&lt;span style="font-size: 10pt" class="Default Paragraph Font color:000000"&gt;X&lt;/span&gt;&lt;/p&gt;&lt;/td&gt;&lt;td colspan="41"&gt;&amp;nbsp;&lt;/td&gt;&lt;td colspan="5"&gt;&lt;p style="text-align: center"&gt;&lt;span style="font-size: 10pt" class="Default Paragraph Font color:000000"&gt;X&lt;/span&gt;&lt;/p&gt;&lt;/td&gt;&lt;td colspan="8"&gt;&amp;nbsp;&lt;/td&gt;&lt;td&gt;&amp;nbsp;&lt;/td&gt;&lt;td colspan="4"&gt;&amp;nbsp;&lt;/td&gt;&lt;/tr&gt;&lt;tr&gt;&lt;td colspan="7"&gt;&lt;p&gt;&lt;span style="font-size: 10pt" class="Default Paragraph Font color:000000"&gt;Fasting glucose, insulin, C-peptide, and free fatty acids for insulin resistance; adiponectin, leptin,&lt;/span&gt;&lt;/p&gt;&lt;p style="margin-top: 0.15pt"&gt;&lt;span style="font-size: 10pt" class="Default Paragraph Font color:000000"&gt;fasting lipid profile&lt;/span&gt;&lt;/p&gt;&lt;/td&gt;&lt;td colspan="64"&gt;&lt;p style="text-align: center"&gt;&lt;span style="font-size: 10pt" class="Default Paragraph Font color:000000"&gt;X&lt;/span&gt;&lt;/p&gt;&lt;/td&gt;&lt;td colspan="35"&gt;&lt;p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color:000000"&gt;X&lt;/span&gt;&lt;/p&gt;&lt;/td&gt;&lt;td&gt;&amp;nbsp;&lt;/td&gt;&lt;td colspan="8"&gt;&lt;p style="text-align: center"&gt;&lt;span style="font-size: 10pt" class="Default Paragraph Font color:000000"&gt;X&lt;/span&gt;&lt;/p&gt;&lt;/td&gt;&lt;td colspan="17"&gt;&amp;nbsp;&lt;/td&gt;&lt;td colspan="6"&gt;&amp;nbsp;&lt;/td&gt;&lt;td colspan="21"&gt;&amp;nbsp;&lt;/td&gt;&lt;/tr&gt;&lt;/table&gt;</t>
  </si>
  <si>
    <t>[{"id": "doc::4877313e:layout::8:para::1", "content": "Table 1: Schedule of Activities \u2013 Single Ascending Dose", "index": "table@full", "score": 12.0, "type": "PWR_USED", "heading_path": ["Schema", "Table 1: Schedule of Activities \u2013 Single Ascending Dose"], "filename": "Mock_CSR_Protocol.docx"}, {"id": "doc::fd2ccc75:layout::0:para::55", "content": "Single Ascending Dose (SAD) Study (Table 1):", "index": "section@para", "score": 8.0, "type": "PWR_DROP", "heading_path": ["4. Key Results"], "filename": "Mock_CSR Key messages_with_heading.docx"}, {"id": "doc::ac3b7b0b:layout::0:para::19", "content": "Table 14.2.5\tPD Biomarker Changes Following Single Ascending Dose (SAD) of ABC-123 and Placebo in Healthy Participants", "index": "section@para", "score": 8.0, "type": "PWR_DROP", "heading_path": [], "filename": "Mock_CSR _Tables_30Oct25.rtf"}, {"id": "doc::4877313e:layout::10:para::0", "content": "Table 2: Schedule of Activities \u2013 Repeat-Dose", "index": "section@para", "score": 8.0, "type": "PWR_DROP", "heading_path": ["Schema"], "filename": "Mock_CSR_Protocol.docx"},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"PWR_DROP", "heading_path": ["2. Study Design Overview"],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6.0, "type": "PWR_DROP",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6.0, "type": "PWR_DROP", "heading_path": ["3. Key Endpoints"], "filename": "Mock_CSR Key messages_with_heading.docx"}, {"id": "doc::fd2ccc75:layout::0:para::38", "content": "To characterize the impact of ADA on AUC or impact on overall exposure of ABC-123 following single ascending doses and multiple dosing administration of ABC-123", "index": "section@para", "score": 6.0, "type": "PWR_DROP", "heading_path": ["3. Key Endpoints"], "filename": "Mock_CSR Key messages_with_heading.docx"}, {"id": "doc::fd2ccc75:layout::0:para::54", "content": "The pharmacokinetic (PK) profiles of ABC-123 demonstrate dose-dependent increases in exposure following both single ascending doses and repeated-dose administration.", "index": "section@para", "score": 6.0, "type": "PWR_DROP", "heading_path": ["4. Key Results"], "filename": "Mock_CSR Key messages_with_heading.docx"}, {"id": "doc::ac3b7b0b:layout::0:para::13", "content": "Table 14.2.3 \tPharmacokinetic Parameters Following Single Ascending Doses of ABC-123", "index": "table@full", "score": 6.0, "type": "PWR_DROP", "heading_path": ["Table 14.2.3 \tPharmacokinetic Parameters Following Single Ascending Doses of ABC-123"], "filename": "Mock_CSR _Tables_30Oct25.rtf"}]</t>
  </si>
  <si>
    <t>doc::7cd3e10f:layout::1:para::0::ph::0</t>
  </si>
  <si>
    <t>&lt;Sponsor’s Name&gt;</t>
  </si>
  <si>
    <t>Retrieve information explicitly identifying the sponsor's name, particularly for inline mentions or contextual references.</t>
  </si>
  <si>
    <t>Resolve the placeholder 'Sponsor’s Name' using its inline context, specifically embedding the sponsor's name where it precedes 'Clinical Study Report'.</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</si>
  <si>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"CNM_ADD", "heading_path": ["4. Key Results"], "filename": "Mock_CSR Key messages_with_heading.docx"}, {"id": "doc::fd2ccc75:layout::0:para::7", "content": "Sponsor: Stendarr, Inc.", "index": "section@para", "score": 2.0, "type": "PWR_USED", "heading_path": ["Study Title:"], "filename": "Mock_CSR Key messages_with_heading.docx"}, {"id": "doc::4877313e:layout::0:para::14", "content": "Sponsor Signatory:", "index": "section@para", "score": 2.0, "type": "PWR_DROP", "heading_path": ["TITLE PAGE"], "filename": "Mock_CSR_Protocol.docx"}, {"id": "doc::4877313e:layout::0:para::6", "content": "Acronym: Not applicable Sponsor Name: Stendarr, Inc.", "index": "section@para", "score": 2.0, "type": "PWR_USED",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"PWR_DROP", "heading_path": ["Overall Design", "Single Ascending 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"PWR_DROP", "heading_path": ["Preparation/Handling/Storage/Accountability"],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2.0, "type": "PWR_DROP", "heading_path": ["Dose Modification", "Dose Escalation and Stopping Criteria"], "filename": "Mock_CSR_Protocol.docx"}]</t>
  </si>
  <si>
    <t>doc::7cd3e10f:layout::2:header::0::ph::0</t>
  </si>
  <si>
    <t>&lt;Study Design Justification&gt;</t>
  </si>
  <si>
    <t>Retrieve details about study design justification focusing on rationale, components, and objectives.</t>
  </si>
  <si>
    <t>Summarize the study design justification focusing on the double-blind, randomized, placebo-controlled approach, the SAD and MAD components, and the exploration of pharmacodynamic parameters as described in the context.</t>
  </si>
  <si>
    <t>&lt;p&gt;This study employs a double-blind, randomized, placebo-controlled design to evaluate the safety, tolerability, and pharmacokinetics of ABC-123. It includes two parts: single ascending dose (SAD) in healthy participants and multiple ascending dose (MAD) in participants with boneitis. The design aims to explore pharmacodynamic parameters and identify biomarkers for differential response, contributing to future dose selection and population targeting.&lt;/p&gt;</t>
  </si>
  <si>
    <t>[{"id":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4.0, "type": "PWR_USED", "heading_path": [], "filename": "Mock_CSR Key messages_with_heading.docx"}, {"id": "doc::4877313e:layout::15:para::0", "content": "STUDY DESIGN", "index": "section@para", "score": 4.0, "type": "CNM_ADD", "heading_path": ["OBJECTIVES AND ENDPOINTS"], "filename": "Mock_CSR_Protocol.docx"}, {"id": "doc::4877313e:layout::15:para::5", "content": "The SAD portion of the study is double-blind, randomized, placebo-controlled, single ascending dose design in up to 6 cohorts of healthy participants.", "index": "section@para", "score": 4.0, "type": "PWR_USED", "heading_path": ["Overall Design", "Single Ascending Dose"], "filename": "Mock_CSR_Protocol.docx"}, {"id": "doc::4877313e:layout::16:para::10", "content": "Scientific Rationale for Study Design", "index": "section@para", "score": 4.0, "type": "PWR_DROP", "heading_path": [], "filename": "Mock_CSR_Protocol.docx"}, {"id": "doc::4877313e:layout::16:para::4", "content": "The repeat-dose portion of the study is a double-blind, randomized, placebo-controlled design in 1 cohort of participants with boneitis.", "index": "section@para", "score": 4.0, "type": "PWR_USED", "heading_path": ["Overall Design", "Repeat-Dose"], "filename": "Mock_CSR_Protocol.docx"}, {"id": "doc::4877313e:layout::28:para::3", "content": "Adherence to the study design requirements, including those specified in the SoA, is essential and required for study conduct.", "index": "section@para", "score": 4.0, "type": "PWR_DROP", "heading_path": ["STUDY ASSESSMENTS AND PROCEDURES"],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"doc::4877313e:layout::36:para::8", "content": "Any amendments to the protocol will require IRB/IEC approval before implementation of changes made to the study design, except for changes necessary to eliminate an immediate hazard to study participants or changes to the PK sample timing.", "index": "section@para", "score": 4.0, "type": "PWR_DROP", "heading_path": ["Appendix 1: Regulatory, Ethical, and Study Oversight Considerations", "Regulatory and Ethical Considerations"], "filename": "Mock_CSR_Protocol.docx"}, {"id": "doc::4877313e:layout::44:para::8", "content": "Any amendments to the protocol will require IRB/IEC approval before implementation of changes made to the study design, except for changes necessary to eliminate an immediate hazard to study participants or changes to the PK sample timing.", "index": "section@para", "score": 4.0, "type": "PWR_DROP", "heading_path": ["Appendix 1: Regulatory, Ethical, and Study Oversight Considerations", "Regulatory and Ethical Considerations"], "filename": "Mock_CSR_Protocol.docx"}, {"id": "doc::72df3a00:layout::6:para::0", "content": "Clinical Study Design\n\n&lt;p style=\"margin-top: 12.2pt\"&gt;&lt;span class=\"Default Paragraph Font font:Times New Roman\"&gt;This is a FIH, double-blind, parallel-group, randomised, placebo-controlled study designed to evaluate the safety, tolerability, and PK of single and multiple ascending oral doses of ABC-123 in healthy subjects.&lt;/span&gt;&lt;/p&gt;\n\n&lt;p&gt;&lt;span class=\"Default Paragraph Font font:Times New Roman\"&gt;Study ST-4536 includes two parts: Part I (SAD) and Part II (MAD)(celecoxib).&lt;/span&gt;&lt;/p&gt;\n\n&lt;p&gt;&lt;span style=\"text-decoration: underline\" class=\"Default Paragraph Font font:Times New Roman\"&gt;Part I (single ascending dose [SAD]):&lt;/span&gt;&lt;span class=\"Default Paragraph Font font:Times New Roman\"&gt; safety, tolerability, and PK of single ascending oral doses of ABC-123 in healthy male and female subjects.&lt;/span&gt;&lt;/p&gt;\n\n&lt;p&gt;&lt;span style=\"text-decoration: underline\" class=\"Default Paragraph Font font:Times New Roman\"&gt;Part II (multiple ascending dose [MAD]):&lt;/span&gt;&lt;span class=\"Default Paragraph Font font:Times New Roman\"&gt; safety, tolerability, and PK of multiple ascending oral doses of ABC-123 in healthy male and female subjects during 10 days administration.&lt;/span&gt;&lt;/p&gt;", "index": "section@para", "score": 4.0, "type": "PWR_USED", "heading_path": ["CLINICAL STUDY DETAILS"], "filename": "Mock SAP _03Jun2026.docx"}]</t>
  </si>
  <si>
    <t>doc::7cd3e10f:layout::2:para::2::ph::0</t>
  </si>
  <si>
    <t>&lt;Dose Justification&gt;</t>
  </si>
  <si>
    <t>Retrieve detailed information about dose justification, including starting and maximum doses, toxicology study results, and pharmacological rationale for ABC-123.</t>
  </si>
  <si>
    <t>Summarize the dose justification for ABC-123, emphasizing toxicology study results, receptor occupancy, MABEL, NOAEL findings, and the rationale for selecting the starting dose of 5 mg SC injection.</t>
  </si>
  <si>
    <t>&lt;p&gt;The planned clinical starting dose for ABC-123 in healthy volunteers (HVs) is a single dose of 5 mg administered as a subcutaneous (SC) injection, with a maximum planned dose of 600 mg. This dosing strategy is underpinned by results from GLP toxicology studies, minimal cytokine change, and an anticipated 10% receptor occupancy at maximum serum concentration (Cmax). The minimal anticipated biological effect level (MABEL) was derived from the half-maximal inhibitory concentration (IC50) of ABC-123 for binding and inhibition of blorp induction. A 13-week GLP toxicology study in cynomolgus monkeys identified a no observed adverse effect level (NOAEL) of 300 mg/kg, corresponding to a human equivalent dose of 265.5 mg/kg. Using MRSD guidance, the maximum allowable starting dose is estimated at 26.5 mg/kg. The starting dose of 5 mg is significantly lower, ensuring comprehensive safety, pharmacokinetic (PK), and pharmacodynamic (PD) characterization.&lt;/p&gt;</t>
  </si>
  <si>
    <t>[{"id": "doc::4877313e:layout::17:para::0", "content": "Justification for Dose\n\n&lt;p style=\"margin-top: 6.15pt\"&gt;&lt;span style=\"font-size: 12pt\" class=\"Default Paragraph Font color:000000\"&gt;The planned clinical starting dose in healthy volunteers (HVs) is a single dose of 5 mg of ABC-123 administered as an SC injection. The planned maximum dose is 600 mg.&lt;/span&gt;&lt;/p&gt;\n\n&lt;p style=\"margin-top: 5.65pt\"&gt;&lt;span style=\"font-size: 12pt\" class=\"Default Paragraph Font color:000000\"&gt;The clinical starting dose is based on an integrated approach supported by the Good Laboratory Practice (GLP) toxicology study approach, the minimal cytokine change, expected 10% receptor occupancy (RO) attained at maximum observed serum concentration (C&lt;/span&gt;&lt;span style=\"font-size: 8pt\" class=\"Default Paragraph Font color:000000\"&gt;max&lt;/span&gt;&lt;span style=\"font-size: 12pt\" class=\"Default Paragraph Font color:000000\"&gt;), and utilizing the minimal anticipated biological effect level (MABEL) based on the half-maximal inhibitory concentration (IC&lt;/span&gt;&lt;span style=\"font-size: 8pt\" class=\"Default Paragraph Font color:000000\"&gt;50&lt;/span&gt;&lt;span style=\"font-size: 12pt\" class=\"Default Paragraph Font color:000000\"&gt;) of ABC-123 on binding and inhibition of blorp induction.&lt;/span&gt;&lt;/p&gt;\n\n&lt;p style=\"margin-top: 5.9pt\"&gt;&lt;span style=\"font-size: 12pt\" class=\"Default Paragraph Font color:000000\"&gt;The 13-week GLP toxicology study was conducted in cynomolgus monkey, as this is the most relevant species for evaluation based on in vitro cross-reactivity (study SKY-123_Nonclin_456). The no observed adverse effect level (NOAEL) in this study was 300 mg/kg. In addition, there is a 1.13-fold difference in binding of ABC-123 in monkey to human blorp; therefore, the human equivalent dose of the NOAEL is 265.5 mg/kg. Based on the maximum recommended starting dose (MRSD) guidance, a factor of 10 can be used to determine the maximum allowable starting dose, with an estimated maximum starting dose of 26.5 mg/kg of ABC-123.&lt;/span&gt;&lt;/p&gt;\n\n&lt;p style=\"margin-top: 5.8pt\"&gt;&lt;span style=\"font-size: 12pt\" class=\"Default Paragraph Font color:000000\"&gt;The planned starting dose of 5 mg given as a single SC injection in HVs is expected to be 318-fold lower than the dose supported by the GLP toxicology study. Starting at the dose of 5 mg will ensure full characterization of safety, PK, and PD of ABC-123.&lt;/span&gt;&lt;/p&gt;", "index": "section@para", "score": 4.0, "type": "PWR_USED", "heading_path": [], "filename": "Mock_CSR_Protocol.docx"},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["Study Title:"],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2.0, "type": "PWR_DROP", "heading_path": ["3. Key Endpoints"], "filename": "Mock_CSR Key messages_with_heading.docx"}, {"id": "doc::fd2ccc75:layout::0:para::35", "content": "To characterize the change from baseline in exploratory PD biomarker concentrations at specified post-dose time points.", "index": "section@para", "score": 2.0, "type": "PWR_DROP", "heading_path": ["3. Key Endpoints"], "filename": "Mock_CSR Key messages_with_heading.docx"}, {"id": "doc::fd2ccc75:layout::0:para::36", "content": "To characterize the change from baseline in exploratory safety biomarker values (e.g., troponin, CRP, etc.) at specified post-dose time points.", "index": "section@para", "score": 2.0, "type": "PWR_DROP",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2.0, "type": "PWR_DROP", "heading_path": ["3. Key Endpoints"], "filename": "Mock_CSR Key messages_with_heading.docx"}, {"id": "doc::fd2ccc75:layout::0:para::38", "content": "To characterize the impact of ADA on AUC or impact on overall exposure of ABC-123 following single ascending doses and multiple dosing administration of ABC-123", "index": "section@para", "score": 2.0, "type": "PWR_DROP", "heading_path": ["3. Key Endpoints"], "filename": "Mock_CSR Key messages_with_heading.docx"}, {"id": "doc::fd2ccc75:layout::0:para::54", "content": "The pharmacokinetic (PK) profiles of ABC-123 demonstrate dose-dependent increases in exposure following both single ascending doses and repeated-dose administration.", "index": "section@para", "score": 2.0, "type": "PWR_DROP", "heading_path": ["4. Key Results"], "filename": "Mock_CSR Key messages_with_heading.docx"}]</t>
  </si>
  <si>
    <t>doc::7cd3e10f:layout::2:para::4::ph::0</t>
  </si>
  <si>
    <t>&lt;Number list of inclusion criteria&gt;</t>
  </si>
  <si>
    <t>Retrieve detailed eligibility criteria for study participants, focusing on inclusion requirements.</t>
  </si>
  <si>
    <t>Resolve the placeholder '&lt;Number list of inclusion criteria&gt;' using the context provided specifically under the heading 'In order to be eligible to participate in this study, participants must have met all of the following criteria'. Format the resolved content as a numbered HTML list (&lt;ol&gt;&lt;li&gt;...&lt;/li&gt;&lt;/ol&gt;) with each criterion as a separate list item.</t>
  </si>
  <si>
    <t>&lt;ol&gt;&lt;li&gt;Understands study procedures and voluntarily provides written informed consent.&lt;/li&gt;&lt;li&gt;Willing and able to abide by the study restrictions, including the lifestyle considerations.&lt;/li&gt;&lt;li&gt;Willing and able to complete all study visits, in-residence requirements, and procedures.&lt;/li&gt;&lt;li&gt;18 to 65 years of age at the time of signing informed consent.&lt;/li&gt;&lt;li&gt;Body mass index (BMI) between 18.0 and 35.0 kg/m&lt;sup&gt;2&lt;/sup&gt;, inclusive, at Screening.&lt;/li&gt;&lt;li&gt;Female participants will be of non-childbearing potential.&lt;/li&gt;&lt;li&gt;Male participants will agree to use contraception while on study intervention and for at least 6 months after the last dose of study intervention.&lt;/li&gt;&lt;li&gt;SAD cohorts only: Participants must be in good health, determined by no clinically significant findings from medical history, physical examination, 12-lead ECG, vital signs measurements, and clinical laboratory evaluations.&lt;/li&gt;&lt;li&gt;Repeat-dose cohort only: boneitis treated with Zammoxin or myrnestristoate and in otherwise good health except for well-controlled conditions.&lt;/li&gt;&lt;/ol&gt;</t>
  </si>
  <si>
    <t>List</t>
  </si>
  <si>
    <t>[{"id":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4.0, "type": "CNM_ADD", "heading_path": ["STUDY POPULATION"], "filename": "Mock_CSR_Protocol.docx"}, {"id": "doc::4877313e:layout::18:para::3", "content": "Inclusion Criteria\n\n&lt;p style=\"margin-top: 6.4pt\"&gt;&lt;span style=\"font-size: 12pt\" class=\"Default Paragraph Font color:000000\"&gt;Understands study procedures and voluntarily provides written informed consent.&lt;/span&gt;&lt;/p&gt;\n\n&lt;p style=\"margin-top: 5.9pt\"&gt;&lt;span style=\"font-size: 12pt\" class=\"Default Paragraph Font color:000000\"&gt;Willing and able to abide by the study restrictions, including the lifestyle considerations in .&lt;/span&gt;&lt;/p&gt;\n\n&lt;p style=\"margin-top: 5.9pt\"&gt;&lt;span style=\"font-size: 12pt\" class=\"Default Paragraph Font color:000000\"&gt;Willing and able to complete all study visits, in-residence requirements, and procedures.&lt;/span&gt;&lt;/p&gt;\n\n&lt;p style=\"margin-top: 6.1pt\"&gt;&lt;span style=\"font-size: 12pt\" class=\"Default Paragraph Font color:000000\"&gt;18 to 65 years of age at the time of signing informed consent.&lt;/span&gt;&lt;/p&gt;\n\n&lt;p style=\"margin-top: 6.15pt\"&gt;&lt;span style=\"font-size: 12pt\" class=\"Default Paragraph Font color:000000\"&gt;Body mass index (BMI) between 18.0 and 35.0 kg/m&lt;/span&gt;&lt;span style=\"font-size: 12pt\" class=\"Default Paragraph Font color:000000\"&gt;&lt;sup&gt;2&lt;/sup&gt;&lt;/span&gt;&lt;span style=\"font-size: 12pt\" class=\"Default Paragraph Font color:000000\"&gt;, inclusive, at Screening.&lt;/span&gt;&lt;/p&gt;\n\n&lt;p style=\"margin-top: 6.1pt\"&gt;&lt;span style=\"font-size: 12pt\" class=\"Default Paragraph Font color:000000\"&gt;Female participants will be of non-childbearing potential (refer to &lt;/span&gt;&lt;span style=\"font-size: 12pt\" class=\"Default Paragraph Font color:0000FF\"&gt; &lt;/span&gt;&lt;span style=\"font-size: 12pt\" class=\"Default Paragraph Font color:000000\"&gt;[&lt;/span&gt;&lt;span style=\"font-size: 12pt\" class=\"Default Paragraph Font color:0000FF\"&gt;A&lt;/span&gt;&lt;span style=\"font-size: 12pt\" class=\"Default Paragraph Font color:000000\"&gt;] for definition of non-childbearing potential).&lt;/span&gt;&lt;/p&gt;\n\n&lt;p style=\"margin-top: 5.4pt\"&gt;&lt;span style=\"font-size: 12pt\" class=\"Default Paragraph Font color:000000\"&gt;Male participants will agree to use contraception while on study intervention and for at least 6 months after the last dose of study intervention.&lt;/span&gt;&lt;/p&gt;\n\n&lt;p style=\"margin-top: 5.65pt\"&gt;&lt;span style=\"font-size: 12pt\" class=\"Default Paragraph Font color:000000\"&gt;SAD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suspected.&lt;/span&gt;&lt;/p&gt;\n\n&lt;p style=\"margin-top: 5.55pt\"&gt;&lt;span style=\"font-size: 12pt\" class=\"Default Paragraph Font color:000000\"&gt;Repeat-dose cohort only: boneitis treated with Zammoxin or &lt;/span&gt;&lt;span class=\"Default Paragraph Font color:000000\"&gt;myrnestristoate &lt;/span&gt;&lt;span style=\"font-size: 12pt\" class=\"Default Paragraph Font color:000000\"&gt;and in otherwise good health except for well-controlled common conditions associated with boneitis, such as acid sweat or tonsillar invisibility. Clinical laboratory assessments may be repeated once at the Investigator\u2019s discretion if laboratory error is suspected.&lt;/span&gt;&lt;/p&gt;", "index": "section@para", "score": 4.0, "type": "PWR_USED", "heading_path": [], "filename": "Mock_CSR_Protocol.docx"}, {"id": "doc::72df3a00:layout::68:para::2", "content": "Listing 16.2.6.5. Serious adverse events, seriousness criteria (Full analysis set) Listing 16.2.7. ECG measurements (Full analysis set)", "index": "section@para", "score": 4.0, "type": "PWR_DROP", "heading_path": ["STATISTICAL OUTPUT LAUOUT", "Tables"],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"doc::4877313e:layout::0:para::12", "content": "Amendment Number: 2.0", "index": "section@para", "score": 2.0, "type": "PWR_DROP", "heading_path": ["TITLE PAGE"], "filename": "Mock_CSR_Protocol.docx"}]</t>
  </si>
  <si>
    <t>doc::7cd3e10f:layout::2:para::8::ph::0</t>
  </si>
  <si>
    <t>&lt;Number list of exclusion criteria&gt;</t>
  </si>
  <si>
    <t>Retrieve exclusion criteria details and ensure they are listed in an ordered format.</t>
  </si>
  <si>
    <t>Transform the placeholder 'Number list of exclusion criteria' into an ordered HTML list referencing the exclusion criteria provided in the paragraph flow context, ensuring each criterion is listed as a separate item.</t>
  </si>
  <si>
    <t>&lt;ol&gt;&lt;li&gt;History of, or treatment for, rock-joint, including clunge or brain wobbles within 5 years of the Screening visit.&lt;/li&gt;&lt;li&gt;History of spontaneous combustion.&lt;/li&gt;&lt;li&gt;Blood pressure &amp;gt;155 mmHg systolic or &amp;gt;95 mmHg diastolic.&lt;/li&gt;&lt;li&gt;Known heart disease or clinically significant abnormalities identified in the 12-lead ECG at Screening.&lt;/li&gt;&lt;li&gt;QT interval corrected for heart rate using Fridericia’s method (QTcF) &amp;gt;450 msec (males) or &amp;gt;470 msec (females) confirmed by calculating the mean of the original value and 2 repeats.&lt;/li&gt;&lt;li&gt;QRS duration &amp;gt;120 msec confirmed by calculating the mean of the original value and 2 repeats.&lt;/li&gt;&lt;li&gt;PR interval &amp;gt;220 msec confirmed by calculating the mean of the original value and 2 repeats.&lt;/li&gt;&lt;li&gt;Findings that would make corrected QT (QTc) measurements difficult or QTc data uninterpretable.&lt;/li&gt;&lt;li&gt;Family history of long QT syndrome.&lt;/li&gt;&lt;li&gt;Female participant with a positive pregnancy test or who is lactating at Screening.&lt;/li&gt;&lt;li&gt;History of alcoholism or drug/chemical abuse within 2 years prior to Screening.&lt;/li&gt;&lt;li&gt;Prior exposure to ABC-123 or any other blorp induction therapy.&lt;/li&gt;&lt;li&gt;Participation in a clinical study involving administration of an investigational drug (new chemical entity) in the past 30 days or 5 half-lives of last dose (whichever is longer) prior to first dosing.&lt;/li&gt;&lt;/ol&gt;</t>
  </si>
  <si>
    <t>[{"id": "doc::4877313e:layout::18:para::11",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4.0, "type": "PWR_DROP", "heading_path": ["Inclusion Criteria"], "filename": "Mock_CSR_Protocol.docx"}, {"id": "doc::4877313e:layout::18:para::13", "content": "Exclusion Criteria\n\n&lt;p style=\"margin-top: 4.85pt\"&gt;&lt;span style=\"font-size: 12pt\" class=\"Default Paragraph Font color:000000\"&gt;History of, or treatment for, rock-joint, including clunge or brain wobbles within 5 years of the Screening visit.&lt;/span&gt;&lt;/p&gt;\n\n&lt;p style=\"margin-top: 4.85pt\"&gt;&lt;span style=\"font-size: 12pt\" class=\"Default Paragraph Font color:000000\"&gt;History of spontaneous combustion.&lt;/span&gt;&lt;/p&gt;\n\n&lt;p style=\"margin-top: 6.15pt\"&gt;&lt;span style=\"font-size: 12pt\" class=\"Default Paragraph Font color:000000\"&gt;Blood pressure &amp;gt;155 mmHg systolic or &amp;gt;95 mmHg diastolic.&lt;/span&gt;&lt;/p&gt;\n\n&lt;p style=\"margin-top: 6.1pt\"&gt;&lt;span style=\"font-size: 12pt\" class=\"Default Paragraph Font color:000000\"&gt;Known heart disease or clinically significant abnormalities identified in the 12-lead ECG at Screening. Specific exclusion criteria are:&lt;/span&gt;&lt;/p&gt;\n\n&lt;p style=\"margin-top: 5.2pt\"&gt;&lt;span style=\"font-size: 12pt\" class=\"Default Paragraph Font color:000000\"&gt;QT interval corrected for heart rate using Fridericia\u2019s method (QTcF) &amp;gt;450 msec (males) or &amp;gt;470 msec (females) confirmed by calculating the mean of the original value and 2 repeats.&lt;/span&gt;&lt;/p&gt;\n\n&lt;p style=\"margin-top: 0.2pt\"&gt;&lt;span style=\"font-size: 12pt\" class=\"Default Paragraph Font color:000000\"&gt;QRS duration &amp;gt;120 msec confirmed by calculating the mean of the original value and 2 repeats.&lt;/span&gt;&lt;/p&gt;\n\n&lt;p style=\"margin-top: 0.3pt\"&gt;&lt;span style=\"font-size: 12pt\" class=\"Default Paragraph Font color:000000\"&gt;PR interval &amp;gt;220 msec confirmed by calculating the mean of the original value and 2 repeats.&lt;/span&gt;&lt;/p&gt;\n\n&lt;p style=\"margin-top: 0.3pt\"&gt;&lt;span style=\"font-size: 12pt\" class=\"Default Paragraph Font color:000000\"&gt;Findings that would make corrected QT (QTc) measurements difficult or QTc data uninterpretable.&lt;/span&gt;&lt;/p&gt;\n\n&lt;p style=\"margin-top: 0.15pt\"&gt;&lt;span style=\"font-size: 12pt\" class=\"Default Paragraph Font color:000000\"&gt;Family history of long QT syndrome.&lt;/span&gt;&lt;/p&gt;\n\n&lt;p style=\"margin-top: 6.35pt\"&gt;&lt;span style=\"font-size: 12pt\" class=\"Default Paragraph Font color:000000\"&gt;Female participant with a positive pregnancy test or who is lactating at Screening.&lt;/span&gt;&lt;/p&gt;\n\n&lt;p style=\"margin-top: 6.35pt\"&gt;&lt;span style=\"font-size: 12pt\" class=\"Default Paragraph Font color:000000\"&gt;History of alcoholism or drug/chemical abuse within 2 years prior to Screening.&lt;/span&gt;&lt;/p&gt;\n\n&lt;p style=\"margin-top: 5.9pt\"&gt;&lt;span style=\"font-size: 12pt\" class=\"Default Paragraph Font color:000000\"&gt;Prior exposure to ABC-123 or any other blorp induction therapy.&lt;/span&gt;&lt;/p&gt;\n\n&lt;p style=\"margin-top: 5.35pt\"&gt;&lt;span style=\"font-size: 12pt\" class=\"Default Paragraph Font color:000000\"&gt;Participation in a clinical study involving administration of an investigational drug (new chemical entity) in the past 30 days or 5 half-lives of last dose (whichever is longer) prior to first dosing.&lt;/span&gt;&lt;/p&gt;\n\n&lt;p style=\"margin-top: 5.35pt\"&gt;&lt;span style=\"font-size: 12pt\" class=\"Default Paragraph Font color:000000\"&gt;History of significant hypersensitivity, intolerance, or allergy to more than one class of drugs.&lt;/span&gt;&lt;/p&gt;\n\n&lt;p style=\"margin-top: 5.65pt\"&gt;&lt;span style=\"font-size: 12pt\" class=\"Default Paragraph Font color:000000\"&gt;Aspartate aminotransferase, alanine aminotransferase, or total bilirubin &amp;gt;2 \u00d7 upper limit of normal.&lt;/span&gt;&lt;/p&gt;\n\n&lt;p style=\"margin-top: 5.45pt\"&gt;&lt;span style=\"font-size: 12pt\" class=\"Default Paragraph Font color:000000\"&gt;Positive hepatitis panel and/or positive human immunodeficiency virus test. Participants whose results are compatible with prior immunization may be included.&lt;/span&gt;&lt;/p&gt;\n\n&lt;p style=\"margin-top: 5.35pt\"&gt;&lt;span style=\"font-size: 12pt\" class=\"Default Paragraph Font color:000000\"&gt;Have previously completed or withdrawn from this study. Alternates for prior cohorts who were not assigned to treatment and did not receive study intervention are considered eligible.&lt;/span&gt;&lt;/p&gt;\n\n&lt;p style=\"margin-top: 5.6pt\"&gt;&lt;span style=\"font-size: 12pt\" class=\"Default Paragraph Font color:000000\"&gt;SAD cohorts only: Fasting glucose &amp;gt;126 mg/dL.&lt;/span&gt;&lt;/p&gt;", "index": "section@para", "score": 4.0, "type": "PWR_USED", "heading_path": [], "filename": "Mock_CSR_Protocol.docx"}, {"id": "doc::4877313e:layout::18:para::17", "content": "Known heart disease or clinically significant abnormalities identified in the 12-lead ECG at Screening. Specific exclusion criteria are:", "index": "section@para", "score": 4.0, "type": "PWR_DROP", "heading_path": ["Exclusion Criteria"], "filename": "Mock_CSR_Protocol.docx"}, {"id":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4.0, "type": "PWR_DROP", "heading_path": ["STUDY POPULATION"], "filename": "Mock_CSR_Protocol.docx"}, {"id": "doc::72df3a00:layout::68:para::2", "content": "Listing 16.2.6.5. Serious adverse events, seriousness criteria (Full analysis set) Listing 16.2.7. ECG measurements (Full analysis set)", "index": "section@para", "score": 4.0, "type": "PWR_DROP", "heading_path": ["STATISTICAL OUTPUT LAUOUT", "Tables"],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t>
  </si>
  <si>
    <t>doc::7cd3e10f:layout::2:para::11::ph::0</t>
  </si>
  <si>
    <t>&lt;Removal of Patients from Therapy or Assessment&gt;</t>
  </si>
  <si>
    <t>Retrieve detailed information on patient removal during the ABC-123 clinical study, focusing on causes and statistics.</t>
  </si>
  <si>
    <t>Summarize the reasons and statistics for patient removal from therapy or assessment during the ABC-123 clinical study, referencing paragraph doc::fd2ccc75:layout::0:para::50.</t>
  </si>
  <si>
    <t>&lt;p&gt;During the clinical study of ABC-123, patient removal from therapy or assessment occurred for various reasons. Among the enrolled subjects, five individuals (13.9%) discontinued study treatment. This included three from the Treatment group (12.5%) and two from the Placebo group (16.7%). Discontinuation reasons were categorized as follows: adverse events (n=2, Treatment group), progressive disease (n=1, Treatment group), patient withdrawal of informed consent (n=1, Placebo group), and other reasons (n=1, Placebo group). These instances highlight the importance of monitoring patient progress and addressing challenges during clinical trials.&lt;/p&gt;</t>
  </si>
  <si>
    <t>[{"id":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"doc::72df3a00:layout::7:para::6", "content": "The Full Analysis Set (FAS) of each part will consist of all subjects/patients who have been randomised and received at least one dose of IMP and who have at least one post-baseline assessment of efficacy data.", "index": "section@para", "score": 4.0, "type": "PWR_DROP", "heading_path": ["STATISTICAL AND ANALYTICAL PLANS", "Definition of Analysis Sets"], "filename": "Mock SAP _03Jun2026.docx"},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"PWR_USED",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"PWR_DROP", "heading_path": ["4. Key Results"],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2.0, "type": "PWR_DROP", "heading_path": ["5. Interpretation &amp; Conclusion"], "filename": "Mock_CSR Key messages_with_heading.docx"},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"PWR_DROP", "heading_path": ["INTRODUCTION"], "filename": "Mock_CSR_Protocol.docx"}, {"id": "doc::4877313e:layout::12:para::11", "content": "ABC-123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"index": "section@para", "score": 2.0, "type": "PWR_DROP", "heading_path": ["Background"], "filename": "Mock_CSR_Protocol.docx"},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t>
  </si>
  <si>
    <t>doc::7cd3e10f:layout::2:para::13::ph::0</t>
  </si>
  <si>
    <t>&lt;Criteria for Discontinuation/Withdrawal From the Study&gt;</t>
  </si>
  <si>
    <t>Retrieve details about criteria for discontinuation or withdrawal from clinical studies, focusing on adverse events, disease progression, consent withdrawal, and procedural documentation.</t>
  </si>
  <si>
    <t>Summarize the criteria for discontinuation or withdrawal from the study, referencing reasons such as adverse events, progressive disease, informed consent withdrawal, and documentation requirements, as described in paragraphs discussing treatment and study discontinuation.</t>
  </si>
  <si>
    <t>&lt;p&gt;Participants may discontinue or withdraw from the study due to the following criteria: adverse events, progressive disease, withdrawal of informed consent, or other specified reasons. Additionally, deaths and loss to follow-up were identified as reasons for study discontinuation. Investigators must document the cause and details of discontinuation in the source documents and electronic case report forms, adhering to protocol requirements.&lt;/p&gt;</t>
  </si>
  <si>
    <t>[{"id":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"PWR_USED", "heading_path": ["4. Key Results"], "filename": "Mock_CSR Key messages_with_heading.docx"}, {"id": "doc::4877313e:layout::25:para::0", "content": "DISCONTINUATION OF STUDY INTERVENTION AND PARTICIPANT DISCONTINUATION/WITHDRAWAL", "index": "section@para", "score": 6.0, "type": "CNM_ADD", "heading_path": [],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"PWR_USED",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["5. Interpretation &amp; Conclusion"], "filename": "Mock_CSR Key messages_with_heading.docx"}, {"id":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4.0, "type": "PWR_DROP", "heading_path": ["STUDY POPULATION"],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"doc::4877313e:layout::24:para::5", "content": "The maximum tolerated dose is defined as the highest dose tested in the SAD component of the study at which dose escalation stopping criteria are not met and that is deemed safe with acceptable PK.", "index": "section@para", "score": 4.0, "type": "PWR_DROP", "heading_path": ["Dose Modification", "Maximum Tolerated Dose"], "filename": "Mock_CSR_Protocol.docx"}, {"id": "doc::4877313e:layout::25:para::1", "content": "Discontinuation of Study Intervention\n\n&lt;p style=\"margin-top: 6.15pt\"&gt;&lt;span style=\"font-size: 12pt\" class=\"Default Paragraph Font color:000000\"&gt;See the SoA (&lt;/span&gt;&lt;span style=\"font-size: 12pt\" class=\"Default Paragraph Font color:0000FF\"&gt;Section 1.3&lt;/span&gt;&lt;span style=\"font-size: 12pt\" class=\"Default Paragraph Font color:000000\"&gt;) for data to be collected at the time of intervention discontinuation and Follow-up and for any further evaluations that need to be completed.&lt;/span&gt;&lt;/p&gt;", "index": "section@para", "score": 4.0, "type": "PWR_DROP", "heading_path": [], "filename": "Mock_CSR_Protocol.docx"}]</t>
  </si>
  <si>
    <t>doc::7cd3e10f:layout::2:para::15::ph::0</t>
  </si>
  <si>
    <t>&lt;Lost to Follow-Up&gt;</t>
  </si>
  <si>
    <t>Retrieve detailed protocols and definitions related to participants lost to follow-up in clinical studies.</t>
  </si>
  <si>
    <t>Summarize the definition and procedural requirements for handling 'Lost to Follow-Up' participants, ensuring to include efforts for contact and documentation as described in the context.</t>
  </si>
  <si>
    <t>&lt;p&gt;A participant is considered lost to follow-up if they repeatedly fail to return for scheduled visits and cannot be contacted by the study site. The site must attempt to contact the participant to reschedule missed visits and ascertain their willingness to continue in the study. Efforts to regain contact should include three telephone calls and, if necessary, a certified letter to their last known address, with all attempts documented in the medical record.&lt;/p&gt;</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</si>
  <si>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"doc::4877313e:layout::27:para::1", "content": "Lost to Follow-up\n\n&lt;p style=\"margin-top: 6.15pt\"&gt;&lt;span style=\"font-size: 12pt\" class=\"Default Paragraph Font color:000000\"&gt;A participant will be considered lost to follow-up if he or she repeatedly fails to return for scheduled visits and is unable to be contacted by the study site.&lt;/span&gt;&lt;/p&gt;\n\n&lt;p style=\"margin-top: 5.45pt\"&gt;&lt;span style=\"font-size: 12pt\" class=\"Default Paragraph Font color:000000\"&gt;The following actions must be taken if a participant fails to return to the clinic for a required study visit:&lt;/span&gt;&lt;/p&gt;\n\n&lt;p style=\"margin-top: 5.2pt\"&gt;&lt;span style=\"font-size: 12pt\" class=\"Default Paragraph Font color:000000\"&gt;The site must attempt to contact the participant and reschedule the missed visit as soon as possible and counsel the participant on the importance of maintaining the assigned visit schedule and ascertain whether the participant wishes to and/or should continue in the study.&lt;/span&gt;&lt;/p&gt;\n\n&lt;p style=\"margin-top: 5.45pt\"&gt;&lt;span style=\"font-size: 12pt\" class=\"Default Paragraph Font color:000000\"&gt;Before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record.&lt;/span&gt;&lt;/p&gt;", "index": "section@para", "score": 4.0, "type": "PWR_USED", "heading_path": [], "filename": "Mock_CSR_Protocol.docx"}, {"id": "doc::4877313e:layout::27:para::2", "content": "A participant will be considered lost to follow-up if he or she repeatedly fails to return for scheduled visits and is unable to be contacted by the study site.", "index": "section@para", "score": 4.0, "type": "PWR_USED", "heading_path": ["Lost to Follow-up"], "filename": "Mock_CSR_Protocol.docx"}, {"id": "doc::4877313e:layout::27:para::5", "content": "Before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 "index": "section@para", "score": 4.0, "type": "PWR_USED", "heading_path": ["Lost to Follow-up"], "filename": "Mock_CSR_Protocol.docx"}, {"id": "doc::4877313e:layout::31:para::8", "content": "After the initial AE/SAE report, the Investigator is required to proactively follow each participant at subsequent visits/contacts. All SAEs will be followed until resolution, stabilization, the event is otherwise explained, or the participant is lost to follow-up (as defined in", "index": "section@para", "score": 4.0, "type": "PWR_DROP", "heading_path": ["Adverse Events and Serious Adverse Events", "Follow-up of AEs and SAEs"], "filename": "Mock_CSR_Protocol.docx"},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"doc::fd2ccc75:layout::0:para::12", "content": "To assess the safety and tolerability following repeated doses over 4 weeks of ABC-123", "index": "section@para", "score": 2.0, "type": "PWR_DROP", "heading_path": ["1. Study Objective"], "filename": "Mock_CSR Key messages_with_heading.docx"}, {"id": "doc::fd2ccc75:layout::0:para::13", "content": "To characterize PK of ABC-123 following single ascending doses", "index": "section@para", "score": 2.0, "type": "PWR_DROP", "heading_path": ["1. Study Objective"], "filename": "Mock_CSR Key messages_with_heading.docx"}, {"id": "doc::fd2ccc75:layout::0:para::14", "content": "To characterize the PK of ABC-123 following repeated doses", "index": "section@para", "score": 2.0, "type": "PWR_DROP", "heading_path": ["1. Study Objective"], "filename": "Mock_CSR Key messages_with_heading.docx"}, {"id": "doc::fd2ccc75:layout::0:para::16", "content": "To explore additional PK characteristics of ABC-123 following single ascending doses", "index": "section@para", "score": 2.0, "type": "PWR_DROP", "heading_path": ["1. Study Objective"], "filename": "Mock_CSR Key messages_with_heading.docx"}]</t>
  </si>
  <si>
    <t>doc::7cd3e10f:layout::2:para::17::ph::0</t>
  </si>
  <si>
    <t>&lt;Treatments Administered&gt;</t>
  </si>
  <si>
    <t>Retrieve detailed information about treatments administered, including study design specifics and pharmacodynamic outcomes.</t>
  </si>
  <si>
    <t>Summarize the treatments administered, emphasizing the study's design and the therapeutic effects observed in participants receiving ABC-123, ensuring unique contextual relevance to the placeholder's position.</t>
  </si>
  <si>
    <t>A total of 36 subjects were enrolled in the study: 24 in the Treatment group and 12 in the Placebo group. The study investigated the administration of ABC-123, which was given as single doses to healthy participants and multiple doses to participants with Grade 2 Boneitis. Pharmacodynamic analysis revealed significant biomarker changes in the treatment group, highlighting ABC-123's potential as a therapeutic agent.</t>
  </si>
  <si>
    <t>[{"id":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"doc::fd2ccc75:layout::0:para::43", "content": "A total of 36 subjects were enrolled: 24 in the Treatment group and 12 in the Placebo group.", "index": "section@para", "score": 2.0, "type": "PWR_USED",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"CNM_ADD",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"CNM_ADD", "heading_path": ["4. Key Results"],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"PWR_USED",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"CNM_ADD",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"PWR_USED",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"PWR_DROP", "heading_path": ["4. Key Results"], "filename": "Mock_CSR Key messages_with_heading.docx"}, {"id": "doc::ac3b7b0b:layout::0:para::30", "content": "Abbreviations: TEAE = treatment emergent adverse event", "index": "section@para", "score": 2.0, "type": "PWR_DROP", "heading_path": [], "filename": "Mock_CSR _Tables_30Oct25.rtf"}, {"id": "doc::ac3b7b0b:layout::0:para::5", "content": "a The FAS included all randomized participants who received at least one dose of the assigned study treatment (active drug or placebo).", "index": "section@para", "score": 2.0, "type": "PWR_DROP", "heading_path": [], "filename": "Mock_CSR _Tables_30Oct25.rtf"}]</t>
  </si>
  <si>
    <t>doc::7cd3e10f:layout::2:para::20::ph::0</t>
  </si>
  <si>
    <t>&lt;Investigational drug Name&gt;</t>
  </si>
  <si>
    <t>Retrieve details about the investigational drug 'ABC-123' and its associated study context.</t>
  </si>
  <si>
    <t>Resolve the placeholder 'Investigational drug Name' using inline context: preceding text 'ary of the Investigational drug product,' and succeeding text 'is presented in Table 4.' Ensure the replacement aligns with the investigational drug identified in the study.</t>
  </si>
  <si>
    <t>[{"id": "doc::fd2ccc75:layout::0:para::5", "content": "Study Drug: ABC-123", "index": "section@para", "score": 2.0, "type": "PWR_USED", "heading_path": ["Study Title:"],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["5. Interpretation &amp; Conclusion"], "filename": "Mock_CSR Key messages_with_heading.docx"}, {"id": "doc::ac3b7b0b:layout::0:para::25", "content": "Table 14.3.1:\tSummary of Study Drug Exposure (Safety Analysis Set)", "index": "section@para", "score": 2.0, "type": "PWR_DROP", "heading_path": [], "filename": "Mock_CSR _Tables_30Oct25.rtf"}, {"id": "doc::4877313e:layout::0:para::3", "content": "Compound: ABC-123", "index": "section@para", "score": 2.0, "type": "PWR_USED", "heading_path": ["TITLE PAGE"], "filename": "Mock_CSR_Protocol.docx"}, {"id": "doc::4877313e:layout::12:para::24", "content": "Participants will be monitored closely for the development of adverse effects that may result from study drug administration.", "index": "section@para", "score": 2.0, "type": "PWR_DROP", "heading_path": ["Benefit/Risk Assessment", "Risk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2.0, "type": "PWR_DROP", "heading_path": ["Exclusion Criteria"], "filename": "Mock_CSR_Protocol.docx"},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2.0, "type": "PWR_DROP", "heading_path": ["STATISTICAL OUTPUT LAUOUT", "Tables", "Table 14.1.5 Study drug administration ([analysis set])"], "filename": "Mock SAP _03Jun2026.docx"}]</t>
  </si>
  <si>
    <t>doc::7cd3e10f:layout::2:para::22::ph::0</t>
  </si>
  <si>
    <t>&lt;Name &gt;</t>
  </si>
  <si>
    <t>Search for details about 'Name' under the 'Investigational Plan / Treatments / Identity of Investigational Product(s)' heading, specifically in Table 4.</t>
  </si>
  <si>
    <t>Resolve the placeholder 'Name ' specifically for the cell context in Table 4 under the 'Investigational Plan / Treatments / Identity of Investigational Product(s)' heading, ensuring alignment with the column header 'Name' and the row label 'Name'.</t>
  </si>
  <si>
    <t>[{"id":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4.0, "type": "PWR_DROP", "heading_path": ["Dose Modification", "Dose Escalation and Stopping Criteria"],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4.0, "type": "PWR_DROP", "heading_path": ["Appendix 5: Contraceptive Guidance and Collection of Pregnancy Information", "Female participants who become pregnant"], "filename": "Mock_CSR_Protocol.docx"}, {"id": "doc::72df3a00:layout::11:para::4", "content": "The primary endpoints have been described in the previous SAP\u2019s, ST-4536_SAP_v.10_11DEC2023- SAD, ST-4536_SAP_v.1.0_13FEB2023- MAD. The tables for Part II (MAD) (celecoxib) will be combined.", "index": "section@para", "score": 4.0, "type": "PWR_DROP", "heading_path": ["STATISTICAL METHODOLOGY", "Primary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t>
  </si>
  <si>
    <t>doc::7cd3e10f:layout::2:table::24:row::0:cell::1::ph::0</t>
  </si>
  <si>
    <t>&lt;Dosage Formulation&gt;</t>
  </si>
  <si>
    <t>Retrieve details about the dosage formulation specifically for Table 4 under the 'Investigational Plan / Treatments / Identity of Investigational Product(s)' headings.</t>
  </si>
  <si>
    <t>Resolve the placeholder 'Dosage Formulation' for the cell located in Table 4, under the column 'Dosage Formulation', and the row 'Dosage Formulation', within the context of the 'Investigational Plan / Treatments / Identity of Investigational Product(s)' headings.</t>
  </si>
  <si>
    <t>[{"id":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"doc::4877313e:layout::32:para::7", "content": "The Sponsor does not recommend specific treatment for an overdose. In the event of an overdose, the Investigator should:", "index": "section@para", "score": 4.0, "type": "PWR_DROP", "heading_path": ["Treatment of Overdose"], "filename": "Mock_CSR_Protocol.docx"},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 {"id": "doc::fd2ccc75:layout::0:para::5", "content": "Study Drug: ABC-123", "index": "section@para", "score": 2.0, "type": "PWR_DROP", "heading_path": ["Study Title:"],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 {"id": "doc::fd2ccc75:layout::0:para::62", "content": "ABC-123 demonstrates clear pharmacodynamic activity related to glucose and lipid metabolism.", "index": "section@para", "score": 2.0,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"PWR_DROP", "heading_path": ["4. Key Results"], "filename": "Mock_CSR Key messages_with_heading.docx"}, {"id": "doc::ac3b7b0b:layout::0:para::0", "content": "Table 14.1.1: \tSummary of Participant Disposition  (Full Analysis Seta)", "index": "section@para", "score": 2.0, "type": "PWR_DROP",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t>
  </si>
  <si>
    <t>doc::7cd3e10f:layout::2:table::24:row::1:cell::1::ph::0</t>
  </si>
  <si>
    <t>&lt;Unit Dose strength (s)&gt;</t>
  </si>
  <si>
    <t>Retrieve specific details about the unit dose strength of the investigational drug as described in Table 4, under the heading 'Investigational Plan / Treatments / Identity of Investigational Product(s)'.</t>
  </si>
  <si>
    <t>Resolve the placeholder 'Unit Dose strength (s)' specifically for the cell in Table 4 under the 'Unit Dose strength (s)' column and row, within the context of the heading 'Investigational Plan / Treatments / Identity of Investigational Product(s)'.</t>
  </si>
  <si>
    <t>[{"id":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8.0, "type": "PWR_DROP", "heading_path": ["Dose Modification", "Dose Escalation and Stopping Criteria"],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["5. Interpretation &amp; Conclusion"], "filename": "Mock_CSR Key messages_with_heading.docx"},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6.0,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6.0,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6.0,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6.0,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6.0, "type": "PWR_DROP", "heading_path": ["STATISTICAL METHODOLOGY", "Tertiary/Exploratory Endpoint(s) Analysis"], "filename": "Mock SAP _03Jun2026.docx"},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6.0, "type": "PWR_DROP", "heading_path": ["Overall Design", "Repeat-Dose"],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6.0, "type": "PWR_DROP", "heading_path": ["Overall Design", "Repeat-Dose"],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6.0, "type": "PWR_DROP", "heading_path": ["Pharmacodynamic Assessments", "Exploratory Biomarkers"],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"doc::72df3a00:layout::8:para::0", "content": "group and visit where applicable. Subject data listings will be sorted by treatment, dose, subject and timing of assessments.", "index": "section@para", "score": 6.0, "type": "PWR_DROP", "heading_path": ["STATISTICAL AND ANALYTICAL PLANS", "Summary Statistics"], "filename": "Mock SAP _03Jun2026.docx"},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4.0, "type": "PWR_DROP", "heading_path": ["2. Study Design Overview"], "filename": "Mock_CSR Key messages_with_heading.docx"}, {"id": "doc::fd2ccc75:layout::0:para::55", "content": "Single Ascending Dose (SAD) Study (Table 1):", "index": "section@para", "score": 4.0, "type": "PWR_DROP", "heading_path": ["4. Key Results"], "filename": "Mock_CSR Key messages_with_heading.docx"}, {"id": "doc::fd2ccc75:layout::0:para::57", "content": "Repeated-Dose Administration (Table 2):", "index": "section@para", "score": 4.0, "type": "PWR_DROP", "heading_path": ["4. Key Results"], "filename": "Mock_CSR Key messages_with_heading.docx"}, {"id": "doc::ac3b7b0b:layout::0:para::16", "content": "&lt;table&gt;&lt;tr&gt;&lt;th&gt;&lt;p style=\"text-align: center; margin-top: 3.0pt; margin-bottom: 3.0pt\"&gt;&lt;span style=\"font-size: 12.0pt\"&gt;Dose&lt;/span&gt;&lt;/p&gt;&lt;p style=\"text-align: center; margin-top: 3.0pt; margin-bottom: 3.0pt\"&gt;&lt;span style=\"font-size: 12.0pt\"&gt;(mg, Q2W x 3 doses)&lt;/span&gt;&lt;/p&gt;&lt;/th&gt;&lt;th&gt;&lt;p style=\"text-align: center; margin-top: 3.0pt; margin-bottom: 3.0pt\"&gt;&lt;span style=\"font-size: 12.0pt\"&gt;N&lt;/span&gt;&lt;/p&gt;&lt;/th&gt;&lt;th&gt;&lt;p style=\"text-align: center; margin-top: 3.0pt; margin-bottom: 3.0pt\"&gt;&lt;span style=\"font-size: 12.0pt\"&gt;C&lt;/span&gt;&lt;span style=\"font-size: 12.0pt\"&gt;&lt;sub&gt;max,ss &lt;/sub&gt;&lt;/span&gt;&lt;span style=\"font-size: 12.0pt\"&gt;(ng/mL)&lt;/span&gt;&lt;/p&gt;&lt;/th&gt;&lt;th&gt;&lt;p style=\"text-align: center; margin-top: 3.0pt; margin-bottom: 3.0pt\"&gt;&lt;span style=\"font-size: 12.0pt\"&gt;C&lt;/span&gt;&lt;span style=\"font-size: 12.0pt\"&gt;&lt;sub&gt;min,ss &lt;/sub&gt;&lt;/span&gt;&lt;span style=\"font-size: 12.0pt\"&gt;(ng/mL)&lt;/span&gt;&lt;/p&gt;&lt;/th&gt;&lt;th&gt;&lt;p style=\"text-align: center; margin-top: 3.0pt; margin-bottom: 3.0pt\"&gt;&lt;span style=\"font-size: 12.0pt\"&gt;T&lt;/span&gt;&lt;span style=\"font-size: 12.0pt\"&gt;&lt;sub&gt;max,ss &lt;/sub&gt;&lt;/span&gt;&lt;span style=\"font-size: 12.0pt\"&gt;(hr)&lt;/span&gt;&lt;/p&gt;&lt;/th&gt;&lt;th&gt;&lt;p style=\"text-align: center; margin-top: 3.0pt; margin-bottom: 3.0pt\"&gt;&lt;span style=\"font-size: 12.0pt\"&gt;AUC&lt;/span&gt;&lt;span style=\"font-size: 12.0pt\"&gt;&lt;sub&gt;\u03c4 &lt;/sub&gt;&lt;/span&gt;&lt;span style=\"font-size: 12.0pt\"&gt;(ng\u00b7hr/mL)&lt;/span&gt;&lt;/p&gt;&lt;/th&gt;&lt;th&gt;&lt;p style=\"text-align: center; margin-top: 3.0pt; margin-bottom: 3.0pt\"&gt;&lt;span style=\"font-size: 12.0pt\"&gt;t&lt;/span&gt;&lt;span style=\"font-size: 12.0pt\"&gt;&lt;sub&gt;\u00bd&lt;/sub&gt;&lt;/span&gt;&lt;span style=\"font-size: 12.0pt\"&gt; &lt;/span&gt;&lt;/p&gt;&lt;p style=\"text-align: center; margin-top: 3.0pt; margin-bottom: 3.0pt\"&gt;&lt;span style=\"font-size: 12.0pt\"&gt;(hr)&lt;/span&gt;&lt;/p&gt;&lt;/th&gt;&lt;th&gt;&lt;p style=\"text-align: center; margin-top: 0.0pt; margin-bottom: 0.0pt\"&gt;&lt;span style=\"font-size: 12.0pt\"&gt;R&lt;/span&gt;&lt;span style=\"font-size: 12.0pt\"&gt;&lt;sub&gt;ac&lt;/sub&gt;&lt;/span&gt;&lt;/p&gt;&lt;/th&gt;&lt;th&gt;&lt;p style=\"text-align: center; margin-top: 3.0pt; margin-bottom: 3.0pt\"&gt;&lt;span style=\"font-size: 12.0pt\"&gt;CL/F (L/hr)&lt;/span&gt;&lt;/p&gt;&lt;/th&gt;&lt;/tr&gt;&lt;tr&gt;&lt;td&gt;&lt;p style=\"margin-top: 3.0pt; margin-bottom: 3.0pt\"&gt;&lt;span style=\"font-size: 12.0pt\"&gt;150&lt;/span&gt;&lt;/p&gt;&lt;/td&gt;&lt;td&gt;&lt;p style=\"margin-top: 3.0pt; margin-bottom: 3.0pt\"&gt;&lt;span style=\"font-size: 12.0pt\"&gt;30\u00a0&lt;/span&gt;&lt;/p&gt;&lt;/td&gt;&lt;td&gt;&lt;p style=\"margin-top: 3.0pt; margin-bottom: 3.0pt\"&gt;&lt;span style=\"font-size: 12.0pt\"&gt;850\u00a0&lt;/span&gt;&lt;/p&gt;&lt;/td&gt;&lt;td&gt;&lt;p style=\"margin-top: 3.0pt; margin-bottom: 3.0pt\"&gt;&lt;span style=\"font-size: 12.0pt\"&gt;250\u00a0&lt;/span&gt;&lt;/p&gt;&lt;/td&gt;&lt;td&gt;&lt;p style=\"margin-top: 3.0pt; margin-bottom: 3.0pt\"&gt;&lt;span style=\"font-size: 12.0pt\"&gt;4.0\u00a0&lt;/span&gt;&lt;/p&gt;&lt;/td&gt;&lt;td&gt;&lt;p style=\"margin-top: 3.0pt; margin-bottom: 3.0pt\"&gt;&lt;span style=\"font-size: 12.0pt\"&gt;8500\u00a0&lt;/span&gt;&lt;/p&gt;&lt;/td&gt;&lt;td&gt;&lt;p style=\"margin-top: 3.0pt; margin-bottom: 3.0pt\"&gt;&lt;span style=\"font-size: 12.0pt\"&gt;16.5\u00a0&lt;/span&gt;&lt;/p&gt;&lt;/td&gt;&lt;td&gt;&lt;p style=\"margin-top: 3.0pt; margin-bottom: 3.0pt\"&gt;&lt;span style=\"font-size: 12.0pt\"&gt;1.9\u00a0&lt;/span&gt;&lt;/p&gt;&lt;/td&gt;&lt;td&gt;&lt;p style=\"margin-top: 3.0pt; margin-bottom: 3.0pt\"&gt;&lt;span style=\"font-size: 12.0pt\"&gt;8.1\u00a0&lt;/span&gt;&lt;/p&gt;&lt;/td&gt;&lt;/tr&gt;&lt;/table&gt;", "index": "table@full", "score": 4.0, "type": "PWR_DROP", "heading_path": ["Table 14.2.4 \tPharmacokinetic Parameters of ABC-123 Following Repeated-Dose  Administration"], "filename": "Mock_CSR _Tables_30Oct25.rtf"}, {"id": "doc::ac3b7b0b:layout::0:para::19", "content": "Table 14.2.5\tPD Biomarker Changes Following Single Ascending Dose (SAD) of ABC-123 and Placebo in Healthy Participants", "index": "section@para", "score": 4.0, "type": "PWR_DROP", "heading_path": [], "filename": "Mock_CSR _Tables_30Oct25.rtf"}, {"id": "doc::ac3b7b0b:layout::0:para::22", "content": "Table 14.2.6\t PD Biomarker Changes Following Repeated Dose of ABC-123 and Placebo in Boneitis Participants",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"doc::4877313e:layout::10:para::0", "content": "Table 2: Schedule of Activities \u2013 Repeat-Dose", "index": "section@para", "score": 4.0, "type": "PWR_DROP", "heading_path": ["Schema"],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4.0, "type": "PWR_DROP", "heading_path": ["Overall Design"], "filename": "Mock_CSR_Protocol.docx"}, {"id": "doc::4877313e:layout::15:para::7", "content": "1 dose cohort only; participants will reside at the Clinical Research Unit (CRU) from Day 2 to Day 8. In each cohort, participants will receive a subcutaneous (SC) dose of ABC-123", "index": "section@para", "score": 4.0, "type": "PWR_DROP", "heading_path": ["Overall Design", "Single Ascending Dose"],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"PWR_DROP", "heading_path": ["Overall Design", "Single Ascending Dose"], "filename": "Mock_CSR_Protocol.docx"}, {"id": "doc::ac3b7b0b:layout::0:para::5", "content": "a The FAS included all randomized participants who received at least one dose of the assigned study treatment (active drug or placebo).",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 {"id":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4.0, "type": "PWR_DROP", "heading_path": ["Overall Design", "Single Ascending Dose"], "filename": "Mock_CSR_Protocol.docx"}]</t>
  </si>
  <si>
    <t>doc::7cd3e10f:layout::2:table::24:row::2:cell::1::ph::0</t>
  </si>
  <si>
    <t>&lt;Dose level&gt;</t>
  </si>
  <si>
    <t>Retrieve detailed data about 'Dose level' from Table 4 under the Investigational Plan and Treatments section.</t>
  </si>
  <si>
    <t>Resolve the placeholder 'Dose level' using the positional context from Table 4, including its caption and related headings for Investigational Plan and Treatments.</t>
  </si>
  <si>
    <t>[{"id":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8.0, "type": "PWR_DROP", "heading_path": ["STATISTICAL METHODOLOGY", "Tertiary/Exploratory Endpoint(s) Analysis"], "filename": "Mock SAP _03Jun2026.docx"},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["5. Interpretation &amp; Conclusion"], "filename": "Mock_CSR Key messages_with_heading.docx"},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6.0, "type": "PWR_DROP", "heading_path": ["Statistical Analyses", "Pharmacokinetic Analyses"],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6.0, "type": "PWR_DROP", "heading_path": ["Statistical Analyses", "Pharmacodynamic Analyses"], "filename": "Mock_CSR_Protocol.docx"},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6.0,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6.0,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6.0, "type": "PWR_DROP", "heading_path": ["STATISTICAL METHODOLOGY", "Tertiary/Exploratory Endpoint(s) Analysis"], "filename": "Mock SAP _03Jun2026.docx"}, {"id": "doc::72df3a00:layout::57:para::0", "content": "Table 14.4.1.2. P-values for pairwise comparisons between all dose groups for PGE2 levels Day 1([analysis set])", "index": "section@para", "score": 6.0, "type": "PWR_DROP", "heading_path": ["STATISTICAL OUTPUT LAUOUT", "Tables"], "filename": "Mock SAP _03Jun2026.docx"}, {"id": "doc::72df3a00:layout::59:para::0", "content": "Table 14.4.4.2. P-values for pairwise comparisons between all dose groups for PGE2 levels MAD cohorts and Celecoxib ([analysis set])", "index": "section@para", "score": 6.0, "type": "PWR_DROP", "heading_path": ["STATISTICAL OUTPUT LAUOUT", "Tables"], "filename": "Mock SAP _03Jun2026.docx"}, {"id": "doc::72df3a00:layout::63:para::0", "content": "Table 14.6.1.y. P-values for pairwise comparisons between all dose groups for ADMA/L-Arg and L-Arg levels", "index": "section@para", "score": 6.0, "type": "PWR_DROP", "heading_path": ["STATISTICAL OUTPUT LAUOUT", "Tables"], "filename": "Mock SAP _03Jun2026.docx"},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6.0, "type": "PWR_DROP", "heading_path": ["Overall Design", "Repeat-Dose"],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6.0,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6.0, "type": "PWR_DROP", "heading_path": ["Overall Design", "Repeat-Dose"],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"doc::fd2ccc75:layout::0:para::55", "content": "Single Ascending Dose (SAD) Study (Table 1):", "index": "section@para", "score": 4.0, "type": "PWR_DROP", "heading_path": ["4. Key Results"], "filename": "Mock_CSR Key messages_with_heading.docx"}, {"id": "doc::fd2ccc75:layout::0:para::57", "content": "Repeated-Dose Administration (Table 2):", "index": "section@para", "score": 4.0,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"doc::ac3b7b0b:layout::0:para::16", "content": "&lt;table&gt;&lt;tr&gt;&lt;th&gt;&lt;p style=\"text-align: center; margin-top: 3.0pt; margin-bottom: 3.0pt\"&gt;&lt;span style=\"font-size: 12.0pt\"&gt;Dose&lt;/span&gt;&lt;/p&gt;&lt;p style=\"text-align: center; margin-top: 3.0pt; margin-bottom: 3.0pt\"&gt;&lt;span style=\"font-size: 12.0pt\"&gt;(mg, Q2W x 3 doses)&lt;/span&gt;&lt;/p&gt;&lt;/th&gt;&lt;th&gt;&lt;p style=\"text-align: center; margin-top: 3.0pt; margin-bottom: 3.0pt\"&gt;&lt;span style=\"font-size: 12.0pt\"&gt;N&lt;/span&gt;&lt;/p&gt;&lt;/th&gt;&lt;th&gt;&lt;p style=\"text-align: center; margin-top: 3.0pt; margin-bottom: 3.0pt\"&gt;&lt;span style=\"font-size: 12.0pt\"&gt;C&lt;/span&gt;&lt;span style=\"font-size: 12.0pt\"&gt;&lt;sub&gt;max,ss &lt;/sub&gt;&lt;/span&gt;&lt;span style=\"font-size: 12.0pt\"&gt;(ng/mL)&lt;/span&gt;&lt;/p&gt;&lt;/th&gt;&lt;th&gt;&lt;p style=\"text-align: center; margin-top: 3.0pt; margin-bottom: 3.0pt\"&gt;&lt;span style=\"font-size: 12.0pt\"&gt;C&lt;/span&gt;&lt;span style=\"font-size: 12.0pt\"&gt;&lt;sub&gt;min,ss &lt;/sub&gt;&lt;/span&gt;&lt;span style=\"font-size: 12.0pt\"&gt;(ng/mL)&lt;/span&gt;&lt;/p&gt;&lt;/th&gt;&lt;th&gt;&lt;p style=\"text-align: center; margin-top: 3.0pt; margin-bottom: 3.0pt\"&gt;&lt;span style=\"font-size: 12.0pt\"&gt;T&lt;/span&gt;&lt;span style=\"font-size: 12.0pt\"&gt;&lt;sub&gt;max,ss &lt;/sub&gt;&lt;/span&gt;&lt;span style=\"font-size: 12.0pt\"&gt;(hr)&lt;/span&gt;&lt;/p&gt;&lt;/th&gt;&lt;th&gt;&lt;p style=\"text-align: center; margin-top: 3.0pt; margin-bottom: 3.0pt\"&gt;&lt;span style=\"font-size: 12.0pt\"&gt;AUC&lt;/span&gt;&lt;span style=\"font-size: 12.0pt\"&gt;&lt;sub&gt;\u03c4 &lt;/sub&gt;&lt;/span&gt;&lt;span style=\"font-size: 12.0pt\"&gt;(ng\u00b7hr/mL)&lt;/span&gt;&lt;/p&gt;&lt;/th&gt;&lt;th&gt;&lt;p style=\"text-align: center; margin-top: 3.0pt; margin-bottom: 3.0pt\"&gt;&lt;span style=\"font-size: 12.0pt\"&gt;t&lt;/span&gt;&lt;span style=\"font-size: 12.0pt\"&gt;&lt;sub&gt;\u00bd&lt;/sub&gt;&lt;/span&gt;&lt;span style=\"font-size: 12.0pt\"&gt; &lt;/span&gt;&lt;/p&gt;&lt;p style=\"text-align: center; margin-top: 3.0pt; margin-bottom: 3.0pt\"&gt;&lt;span style=\"font-size: 12.0pt\"&gt;(hr)&lt;/span&gt;&lt;/p&gt;&lt;/th&gt;&lt;th&gt;&lt;p style=\"text-align: center; margin-top: 0.0pt; margin-bottom: 0.0pt\"&gt;&lt;span style=\"font-size: 12.0pt\"&gt;R&lt;/span&gt;&lt;span style=\"font-size: 12.0pt\"&gt;&lt;sub&gt;ac&lt;/sub&gt;&lt;/span&gt;&lt;/p&gt;&lt;/th&gt;&lt;th&gt;&lt;p style=\"text-align: center; margin-top: 3.0pt; margin-bottom: 3.0pt\"&gt;&lt;span style=\"font-size: 12.0pt\"&gt;CL/F (L/hr)&lt;/span&gt;&lt;/p&gt;&lt;/th&gt;&lt;/tr&gt;&lt;tr&gt;&lt;td&gt;&lt;p style=\"margin-top: 3.0pt; margin-bottom: 3.0pt\"&gt;&lt;span style=\"font-size: 12.0pt\"&gt;150&lt;/span&gt;&lt;/p&gt;&lt;/td&gt;&lt;td&gt;&lt;p style=\"margin-top: 3.0pt; margin-bottom: 3.0pt\"&gt;&lt;span style=\"font-size: 12.0pt\"&gt;30\u00a0&lt;/span&gt;&lt;/p&gt;&lt;/td&gt;&lt;td&gt;&lt;p style=\"margin-top: 3.0pt; margin-bottom: 3.0pt\"&gt;&lt;span style=\"font-size: 12.0pt\"&gt;850\u00a0&lt;/span&gt;&lt;/p&gt;&lt;/td&gt;&lt;td&gt;&lt;p style=\"margin-top: 3.0pt; margin-bottom: 3.0pt\"&gt;&lt;span style=\"font-size: 12.0pt\"&gt;250\u00a0&lt;/span&gt;&lt;/p&gt;&lt;/td&gt;&lt;td&gt;&lt;p style=\"margin-top: 3.0pt; margin-bottom: 3.0pt\"&gt;&lt;span style=\"font-size: 12.0pt\"&gt;4.0\u00a0&lt;/span&gt;&lt;/p&gt;&lt;/td&gt;&lt;td&gt;&lt;p style=\"margin-top: 3.0pt; margin-bottom: 3.0pt\"&gt;&lt;span style=\"font-size: 12.0pt\"&gt;8500\u00a0&lt;/span&gt;&lt;/p&gt;&lt;/td&gt;&lt;td&gt;&lt;p style=\"margin-top: 3.0pt; margin-bottom: 3.0pt\"&gt;&lt;span style=\"font-size: 12.0pt\"&gt;16.5\u00a0&lt;/span&gt;&lt;/p&gt;&lt;/td&gt;&lt;td&gt;&lt;p style=\"margin-top: 3.0pt; margin-bottom: 3.0pt\"&gt;&lt;span style=\"font-size: 12.0pt\"&gt;1.9\u00a0&lt;/span&gt;&lt;/p&gt;&lt;/td&gt;&lt;td&gt;&lt;p style=\"margin-top: 3.0pt; margin-bottom: 3.0pt\"&gt;&lt;span style=\"font-size: 12.0pt\"&gt;8.1\u00a0&lt;/span&gt;&lt;/p&gt;&lt;/td&gt;&lt;/tr&gt;&lt;/table&gt;", "index": "table@full", "score": 4.0, "type": "PWR_DROP", "heading_path": ["Table 14.2.4 \tPharmacokinetic Parameters of ABC-123 Following Repeated-Dose  Administration"], "filename": "Mock_CSR _Tables_30Oct25.rtf"}, {"id": "doc::ac3b7b0b:layout::0:para::19", "content": "Table 14.2.5\tPD Biomarker Changes Following Single Ascending Dose (SAD) of ABC-123 and Placebo in Healthy Participants", "index": "section@para", "score": 4.0, "type": "PWR_DROP", "heading_path": [], "filename": "Mock_CSR _Tables_30Oct25.rtf"}, {"id": "doc::ac3b7b0b:layout::0:para::22", "content": "Table 14.2.6\t PD Biomarker Changes Following Repeated Dose of ABC-123 and Placebo in Boneitis Participants",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"doc::ac3b7b0b:layout::0:para::5", "content": "a The FAS included all randomized participants who received at least one dose of the assigned study treatment (active drug or placebo).", "index": "section@para", "score": 4.0, "type": "PWR_DROP", "heading_path": [], "filename": "Mock_CSR _Tables_30Oct25.rtf"}, {"id": "doc::4877313e:layout::10:para::0", "content": "Table 2: Schedule of Activities \u2013 Repeat-Dose", "index": "section@para", "score": 4.0, "type": "PWR_DROP", "heading_path": ["Schema"], "filename": "Mock_CSR_Protocol.docx"}, {"id": "doc::fd2ccc75:layout::0:para::18", "content": "To characterize dose-related changes in exploratory PD and safety biomarkers following single or multiple doses of ABC-123", "index": "section@para", "score": 4.0, "type": "PWR_DROP", "heading_path": ["1. Study Objective"], "filename": "Mock_CSR Key messages_with_heading.docx"}]</t>
  </si>
  <si>
    <t>doc::7cd3e10f:layout::2:table::24:row::3:cell::1::ph::0</t>
  </si>
  <si>
    <t>&lt;Route of Administration &gt;</t>
  </si>
  <si>
    <t>Retrieve details about the administration route for investigational drugs, particularly focusing on subcutaneous administration mentioned in relation to ABC-123 and placebo.</t>
  </si>
  <si>
    <t>Resolve the placeholder 'Route of Administration' by extracting details from the context, especially referencing the table caption 'Table 4 Investigational Drug', column header 'Route of Administration', and row label 'Route of Administration' under the parent headings 'Investigational Plan / Treatments / Identity of Investigational Product(s)'.</t>
  </si>
  <si>
    <t>Subcutaneous</t>
  </si>
  <si>
    <t>[{"id":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6.0, "type": "PWR_DROP", "heading_path": ["STATISTICAL OUTPUT LAUOUT", "Tables", "Table 14.1.5 Study drug administration ([analysis set])"],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6.0, "type": "CNM_ADD", "heading_path": ["INTRODUCTION"],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6.0, "type": "CNM_ADD", "heading_path": ["STATISTICAL AND ANALYTICAL PLANS", "Handling of Dropouts, Missing Data and Outliers"], "filename": "Mock SAP _03Jun2026.docx"}, {"id": "doc::fd2ccc75:layout::0:para::57", "content": "Repeated-Dose Administration (Table 2):",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"doc::ac3b7b0b:layout::0:para::16", "content": "&lt;table&gt;&lt;tr&gt;&lt;th&gt;&lt;p style=\"text-align: center; margin-top: 3.0pt; margin-bottom: 3.0pt\"&gt;&lt;span style=\"font-size: 12.0pt\"&gt;Dose&lt;/span&gt;&lt;/p&gt;&lt;p style=\"text-align: center; margin-top: 3.0pt; margin-bottom: 3.0pt\"&gt;&lt;span style=\"font-size: 12.0pt\"&gt;(mg, Q2W x 3 doses)&lt;/span&gt;&lt;/p&gt;&lt;/th&gt;&lt;th&gt;&lt;p style=\"text-align: center; margin-top: 3.0pt; margin-bottom: 3.0pt\"&gt;&lt;span style=\"font-size: 12.0pt\"&gt;N&lt;/span&gt;&lt;/p&gt;&lt;/th&gt;&lt;th&gt;&lt;p style=\"text-align: center; margin-top: 3.0pt; margin-bottom: 3.0pt\"&gt;&lt;span style=\"font-size: 12.0pt\"&gt;C&lt;/span&gt;&lt;span style=\"font-size: 12.0pt\"&gt;&lt;sub&gt;max,ss &lt;/sub&gt;&lt;/span&gt;&lt;span style=\"font-size: 12.0pt\"&gt;(ng/mL)&lt;/span&gt;&lt;/p&gt;&lt;/th&gt;&lt;th&gt;&lt;p style=\"text-align: center; margin-top: 3.0pt; margin-bottom: 3.0pt\"&gt;&lt;span style=\"font-size: 12.0pt\"&gt;C&lt;/span&gt;&lt;span style=\"font-size: 12.0pt\"&gt;&lt;sub&gt;min,ss &lt;/sub&gt;&lt;/span&gt;&lt;span style=\"font-size: 12.0pt\"&gt;(ng/mL)&lt;/span&gt;&lt;/p&gt;&lt;/th&gt;&lt;th&gt;&lt;p style=\"text-align: center; margin-top: 3.0pt; margin-bottom: 3.0pt\"&gt;&lt;span style=\"font-size: 12.0pt\"&gt;T&lt;/span&gt;&lt;span style=\"font-size: 12.0pt\"&gt;&lt;sub&gt;max,ss &lt;/sub&gt;&lt;/span&gt;&lt;span style=\"font-size: 12.0pt\"&gt;(hr)&lt;/span&gt;&lt;/p&gt;&lt;/th&gt;&lt;th&gt;&lt;p style=\"text-align: center; margin-top: 3.0pt; margin-bottom: 3.0pt\"&gt;&lt;span style=\"font-size: 12.0pt\"&gt;AUC&lt;/span&gt;&lt;span style=\"font-size: 12.0pt\"&gt;&lt;sub&gt;\u03c4 &lt;/sub&gt;&lt;/span&gt;&lt;span style=\"font-size: 12.0pt\"&gt;(ng\u00b7hr/mL)&lt;/span&gt;&lt;/p&gt;&lt;/th&gt;&lt;th&gt;&lt;p style=\"text-align: center; margin-top: 3.0pt; margin-bottom: 3.0pt\"&gt;&lt;span style=\"font-size: 12.0pt\"&gt;t&lt;/span&gt;&lt;span style=\"font-size: 12.0pt\"&gt;&lt;sub&gt;\u00bd&lt;/sub&gt;&lt;/span&gt;&lt;span style=\"font-size: 12.0pt\"&gt; &lt;/span&gt;&lt;/p&gt;&lt;p style=\"text-align: center; margin-top: 3.0pt; margin-bottom: 3.0pt\"&gt;&lt;span style=\"font-size: 12.0pt\"&gt;(hr)&lt;/span&gt;&lt;/p&gt;&lt;/th&gt;&lt;th&gt;&lt;p style=\"text-align: center; margin-top: 0.0pt; margin-bottom: 0.0pt\"&gt;&lt;span style=\"font-size: 12.0pt\"&gt;R&lt;/span&gt;&lt;span style=\"font-size: 12.0pt\"&gt;&lt;sub&gt;ac&lt;/sub&gt;&lt;/span&gt;&lt;/p&gt;&lt;/th&gt;&lt;th&gt;&lt;p style=\"text-align: center; margin-top: 3.0pt; margin-bottom: 3.0pt\"&gt;&lt;span style=\"font-size: 12.0pt\"&gt;CL/F (L/hr)&lt;/span&gt;&lt;/p&gt;&lt;/th&gt;&lt;/tr&gt;&lt;tr&gt;&lt;td&gt;&lt;p style=\"margin-top: 3.0pt; margin-bottom: 3.0pt\"&gt;&lt;span style=\"font-size: 12.0pt\"&gt;150&lt;/span&gt;&lt;/p&gt;&lt;/td&gt;&lt;td&gt;&lt;p style=\"margin-top: 3.0pt; margin-bottom: 3.0pt\"&gt;&lt;span style=\"font-size: 12.0pt\"&gt;30\u00a0&lt;/span&gt;&lt;/p&gt;&lt;/td&gt;&lt;td&gt;&lt;p style=\"margin-top: 3.0pt; margin-bottom: 3.0pt\"&gt;&lt;span style=\"font-size: 12.0pt\"&gt;850\u00a0&lt;/span&gt;&lt;/p&gt;&lt;/td&gt;&lt;td&gt;&lt;p style=\"margin-top: 3.0pt; margin-bottom: 3.0pt\"&gt;&lt;span style=\"font-size: 12.0pt\"&gt;250\u00a0&lt;/span&gt;&lt;/p&gt;&lt;/td&gt;&lt;td&gt;&lt;p style=\"margin-top: 3.0pt; margin-bottom: 3.0pt\"&gt;&lt;span style=\"font-size: 12.0pt\"&gt;4.0\u00a0&lt;/span&gt;&lt;/p&gt;&lt;/td&gt;&lt;td&gt;&lt;p style=\"margin-top: 3.0pt; margin-bottom: 3.0pt\"&gt;&lt;span style=\"font-size: 12.0pt\"&gt;8500\u00a0&lt;/span&gt;&lt;/p&gt;&lt;/td&gt;&lt;td&gt;&lt;p style=\"margin-top: 3.0pt; margin-bottom: 3.0pt\"&gt;&lt;span style=\"font-size: 12.0pt\"&gt;16.5\u00a0&lt;/span&gt;&lt;/p&gt;&lt;/td&gt;&lt;td&gt;&lt;p style=\"margin-top: 3.0pt; margin-bottom: 3.0pt\"&gt;&lt;span style=\"font-size: 12.0pt\"&gt;1.9\u00a0&lt;/span&gt;&lt;/p&gt;&lt;/td&gt;&lt;td&gt;&lt;p style=\"margin-top: 3.0pt; margin-bottom: 3.0pt\"&gt;&lt;span style=\"font-size: 12.0pt\"&gt;8.1\u00a0&lt;/span&gt;&lt;/p&gt;&lt;/td&gt;&lt;/tr&gt;&lt;/table&gt;", "index": "table@full", "score": 4.0, "type": "PWR_DROP", "heading_path": ["Table 14.2.4 \tPharmacokinetic Parameters of ABC-123 Following Repeated-Dose  Administration"], "filename": "Mock_CSR _Tables_30Oct25.rtf"},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"doc::4877313e:layout::12:para::24", "content": "Participants will be monitored closely for the development of adverse effects that may result from study drug administration.", "index": "section@para", "score": 4.0, "type": "PWR_DROP", "heading_path": ["Benefit/Risk Assessment", "Risk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4.0, "type": "PWR_DROP", "heading_path": ["Exclusion Criteria"],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"doc::4877313e:layout::21:para::2", "content": "Test Product: ABC-123 injection is supplied in a 2 mL vial containing 150 mg/mL ABC-123. Administration route: subcutaneous.", "index": "section@para", "score": 4.0, "type": "PWR_USED", "heading_path": ["STUDY INTERVENTION"], "filename": "Mock_CSR_Protocol.docx"}, {"id": "doc::4877313e:layout::21:para::6", "content": "Placebo Product: Matching placebo injection is supplied in a 2 mL vial. Administration route:  subcutaneous.", "index": "section@para", "score": 4.0, "type": "PWR_USED",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"CNM_ADD",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"CNM_ADD",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"CNM_ADD",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"CNM_ADD",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"CNM_ADD",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"CNM_ADD", "heading_path": ["STATISTICAL METHODOLOGY", "Tertiary/Exploratory Endpoint(s) Analysis"], "filename": "Mock SAP _03Jun2026.docx"}, {"id": "doc::fd2ccc75:layout::0:para::42", "content": "We have 1 Demographics Table [Refer Source: CSR_Mock Tables]", "index": "section@para", "score": 4.0, "type": "CNM_ADD", "heading_path": ["4. Key Results"], "filename": "Mock_CSR Key messages_with_heading.docx"}, {"id": "doc::fd2ccc75:layout::0:para::49", "content": "We have 1 Disposition Table [Refer Source: CSR_Mock Tables]", "index": "section@para", "score": 4.0, "type": "CNM_ADD", "heading_path": ["4. Key Results"], "filename": "Mock_CSR Key messages_with_heading.docx"}, {"id": "doc::fd2ccc75:layout::0:para::5", "content": "Study Drug: ABC-123", "index": "section@para", "score": 4.0, "type": "CNM_ADD", "heading_path": ["Study Title:"], "filename": "Mock_CSR Key messages_with_heading.docx"}, {"id": "doc::fd2ccc75:layout::0:para::53", "content": "We have 2 PK Tables [Refer Source: CSR_Mock Tables]", "index": "section@para", "score": 4.0, "type": "CNM_ADD", "heading_path": ["4. Key Results"], "filename": "Mock_CSR Key messages_with_heading.docx"}, {"id": "doc::fd2ccc75:layout::0:para::55", "content": "Single Ascending Dose (SAD) Study (Table 1):", "index": "section@para", "score": 4.0, "type": "CNM_ADD", "heading_path": ["4. Key Results"], "filename": "Mock_CSR Key messages_with_heading.docx"}, {"id": "doc::fd2ccc75:layout::0:para::61", "content": "We have 2 PD Tables [Refer Source: CSR_Mock Tables]", "index": "section@para", "score": 4.0, "type": "CNM_ADD", "heading_path": ["4. Key Results"], "filename": "Mock_CSR Key messages_with_heading.docx"}, {"id": "doc::ac3b7b0b:layout::0:para::0", "content": "Table 14.1.1: \tSummary of Participant Disposition  (Full Analysis Seta)", "index": "section@para", "score": 4.0, "type": "CNM_ADD",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  \tTermination of Study by the Sponsor&lt;/span&gt;&lt;/p&gt;&lt;/td&gt;&lt;td&gt;&lt;p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color:000000\"&gt;0&lt;/span&gt;&lt;/p&gt;&lt;/td&gt;&lt;/tr&gt;&lt;tr&gt;&lt;td&gt;&lt;p style=\"margin-top: 3.0pt; margin-bottom: 3.0pt\"&gt;&lt;span style=\"font-size: 10.0pt\" class=\"font:Times New Roman color:000000\"&gt;\tLost to Follow Up&lt;/span&gt;&lt;/p&gt;&lt;/td&gt;&lt;td&gt;&lt;p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color:000000\"&gt;\tDeath&lt;/span&gt;&lt;/p&gt;&lt;/td&gt;&lt;td&gt;&lt;p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color:000000\"&gt;3 (8.3)&lt;/span&gt;&lt;/p&gt;&lt;/td&gt;&lt;/tr&gt;&lt;tr&gt;&lt;td&gt;&lt;p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t>
  </si>
  <si>
    <t>doc::7cd3e10f:layout::2:table::24:row::4:cell::1::ph::0</t>
  </si>
  <si>
    <t>&lt;Number of injections and volume &gt;</t>
  </si>
  <si>
    <t>Retrieve detailed data related to 'Number of injections and volume' from Table 4 under the context of Investigational Plan / Treatments / Identity of Investigational Product(s).</t>
  </si>
  <si>
    <t>Resolve the placeholder 'Number of injections and volume' specifically within the context of Table 4, using its caption, column header, row label, and parent headings to ensure precise and context-aware output.</t>
  </si>
  <si>
    <t>[{"id":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8.0,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8.0, "type": "PWR_DROP", "heading_path": ["Overall Design", "Repeat-Dose"],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8.0, "type": "PWR_DROP", "heading_path": ["INTRODUCTION"],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8.0, "type": "PWR_DROP", "heading_path": ["INTRODUCTION"], "filename": "Mock SAP _03Jun2026.docx"},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"PWR_DROP", "heading_path": ["Benefit/Risk Assessment"], "filename": "Mock_CSR_Protocol.docx"},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6.0, "type": "PWR_DROP", "heading_path": ["STATISTICAL AND ANALYTICAL PLANS", "Summary Statistics"], "filename": "Mock SAP _03Jun2026.docx"},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"PWR_DROP", "heading_path": ["Overall Design", "Single Ascending 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6.0,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6.0, "type": "PWR_DROP", "heading_path": ["Appendix 1: Regulatory, Ethical, and Study Oversight Considerations", "Data Protection"],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4.0, "type": "PWR_DROP", "heading_path": [], "filename": "Mock_CSR _Tables_30Oct25.rtf"}, {"id": "doc::4877313e:layout::17:para::1", "content": "The planned clinical starting dose in healthy volunteers (HVs) is a single dose of 5 mg of ABC-123 administered as an SC injection. The planned maximum dose is 600 mg.", "index": "section@para", "score": 4.0, "type": "PWR_DROP", "heading_path": ["Justification for Dose"], "filename": "Mock_CSR_Protocol.docx"}, {"id": "doc::4877313e:layout::17:para::4", "content": "The planned starting dose of 5 mg given as a single SC injection in HVs is expected to be 318-fold lower than the dose supported by the GLP toxicology study. Starting at the dose of 5 mg will ensure full characterization of safety, PK, and PD of ABC-123.", "index": "section@para", "score": 4.0, "type": "PWR_DROP", "heading_path": ["Justification for Dose"],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"doc::fd2ccc75:layout::0:para::35", "content": "To characterize the change from baseline in exploratory PD biomarker concentrations at specified post-dose time points.", "index": "section@para", "score": 2.0, "type": "PWR_DROP", "heading_path": ["3. Key Endpoints"], "filename": "Mock_CSR Key messages_with_heading.docx"}, {"id": "doc::fd2ccc75:layout::0:para::36", "content": "To characterize the change from baseline in exploratory safety biomarker values (e.g., troponin, CRP, etc.) at specified post-dose time points.", "index": "section@para", "score": 2.0, "type": "PWR_DROP", "heading_path": ["3. Key Endpoints"], "filename": "Mock_CSR Key messages_with_heading.docx"}, {"id": "doc::fd2ccc75:layout::0:para::42", "content": "We have 1 Demographics Table [Refer Source: CSR_Mock Tables]",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t>
  </si>
  <si>
    <t>doc::7cd3e10f:layout::2:table::24:row::5:cell::1::ph::0</t>
  </si>
  <si>
    <t>&lt;Packaging and Labelling&gt;</t>
  </si>
  <si>
    <t>Search for specific details regarding 'Packaging and Labelling' within the investigational plan context, especially under treatments or identity of investigational products.</t>
  </si>
  <si>
    <t>Resolve the placeholder 'Packaging and Labelling' using the provided context, ensuring relevance to Table 4 under the 'Investigational Plan / Treatments / Identity of Investigational Product(s)' section.</t>
  </si>
  <si>
    <t>[{"id": "doc::72df3a00:layout::28:para::14", "content": "IMP\tInvestigational medicinal product", "index": "section@para", "score": 8.0, "type": "PWR_DROP", "heading_path": ["SUPPORTIVE DOCUMENTATION", "Appendix 1 \u2013 List of Abbreviations"],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"doc::4877313e:layout::31:para::9", "content": "Section 7.2). Further information on Follow-up procedures is provided in Section (Appendix 4).", "index": "section@para", "score": 4.0, "type": "PWR_DROP", "heading_path": ["Adverse Events and Serious Adverse Events", "Follow-up of AEs and SAEs"],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4.0, "type": "PWR_DROP", "heading_path": ["Dose Modification", "Dose Escalation and Stopping Criteria"], "filename": "Mock_CSR_Protocol.docx"}, {"id": "doc::4877313e:layout::25:para::2", "content": "See the SoA (Section 1.3) for data to be collected at the time of intervention discontinuation and Follow-up and for any further evaluations that need to be completed.", "index": "section@para", "score": 4.0, "type": "PWR_DROP", "heading_path": ["Discontinuation of Study Intervention"],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"doc::72df3a00:layout::8:para::0", "content": "group and visit where applicable. Subject data listings will be sorted by treatment, dose, subject and timing of assessments.", "index": "section@para", "score": 4.0, "type": "PWR_DROP", "heading_path": ["STATISTICAL AND ANALYTICAL PLANS", "Summary Statistics"], "filename": "Mock SAP _03Jun2026.docx"},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"doc::fd2ccc75:layout::0:para::46", "content": "Race: The majority of subjects were White (86.1%). Asian subjects accounted for 8.3%, and Other for 5.6%. No subjects identified as American Indian/Alaska Native, Black/African American, or Native Hawaiian/Other Pacific Islander. No race data were missing.", "index": "section@para", "score": 2.0, "type": "PWR_DROP", "heading_path": ["4. Key Results"], "filename": "Mock_CSR Key messages_with_heading.docx"}]</t>
  </si>
  <si>
    <t>doc::7cd3e10f:layout::2:table::24:row::6:cell::1::ph::0</t>
  </si>
  <si>
    <t>&lt;Lot Number&gt;</t>
  </si>
  <si>
    <t>Search for specific references to 'Lot Number' within the investigational drug context, particularly under 'Investigational Plan / Treatments / Identity of Investigational Product(s)' or related tables.</t>
  </si>
  <si>
    <t>Resolve the placeholder for 'Lot Number' based on its positional context: Table caption 'Table 4 Investigational Drug,' column header 'Lot Number,' row label 'Lot Number,' and parent headings 'Investigational Plan / Treatments / Identity of Investigational Product(s).' Ensure the instruction is unique to this placeholder's position.</t>
  </si>
  <si>
    <t>[{"id":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6.0, "type": "PWR_DROP", "heading_path": ["STATISTICAL AND ANALYTICAL PLANS", "Summary Statistics"], "filename": "Mock SAP _03Jun2026.docx"},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6.0, "type": "PWR_DROP", "heading_path": ["Appendix 5: Contraceptive Guidance and Collection of Pregnancy Information", "Female participants who become pregnant"],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"doc::72df3a00:layout::34:para::3", "content": "Percentages are based on the number of subjects in the treatment period included in the [analysis set]", "index": "section@para", "score": 4.0, "type": "PWR_DROP", "heading_path": ["STATISTICAL OUTPUT LAUOUT", "Tables"],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"doc::72df3a00:layout::37:para::3", "content": "Percentages are based on the number of subjects in the treatment period included in the [analysis set]. Adverse events that occurred during screening are omitted from summary.", "index": "section@para", "score": 4.0, "type": "PWR_DROP", "heading_path": ["STATISTICAL OUTPUT LAUOUT", "Tables"], "filename": "Mock SAP _03Jun2026.docx"},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4.0, "type": "PWR_DROP", "heading_path": ["INTRODUCTION"], "filename": "Mock_CSR_Protocol.docx"}, {"id": "doc::72df3a00:layout::38:para::3", "content": "Percentages are based on the number of subjects in the treatment period included in the [analysis set]", "index": "section@para", "score": 4.0, "type": "PWR_DROP", "heading_path": ["STATISTICAL OUTPUT LAUOUT", "Tables"],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"doc::72df3a00:layout::9:para::2", "content": "The number of subjects that entered the study, withdrawn subjects, completed subjects and the number of subjects at each visit will be summarised by treatment group.", "index": "section@para", "score": 4.0, "type": "PWR_DROP", "heading_path": ["SUBJECTS", "Subject Disposition"], "filename": "Mock SAP _03Jun2026.docx"},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4.0, "type": "PWR_DROP", "heading_path": ["Dose Modification", "Dose Escalation and Stopping Criteria"],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4.0, "type": "PWR_DROP", "heading_path": ["INTRODUCTION"],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t>
  </si>
  <si>
    <t>doc::7cd3e10f:layout::2:table::24:row::7:cell::1::ph::0</t>
  </si>
  <si>
    <t>&lt;Manufacturer&gt;</t>
  </si>
  <si>
    <t>Search for details about the manufacturer of the investigational drug under the specified headings and table context.</t>
  </si>
  <si>
    <t>Resolve the placeholder 'Manufacturer' based on its position in Table 4 under the column 'Manufacturer' and row 'Manufacturer', within the context of the investigational drug's identity as described under the headings Investigational Plan / Treatments / Identity of Investigational Product(s).</t>
  </si>
  <si>
    <t>[{"id":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"doc::4877313e:layout::31:para::9", "content": "Section 7.2). Further information on Follow-up procedures is provided in Section (Appendix 4).", "index": "section@para", "score": 4.0, "type": "PWR_DROP", "heading_path": ["Adverse Events and Serious Adverse Events", "Follow-up of AEs and SAEs"],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4.0, "type": "PWR_DROP", "heading_path": ["Appendix 5: Contraceptive Guidance and Collection of Pregnancy Information", "Female participants who become pregnant"],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 "content": "Study Drug: ABC-123", "index": "section@para", "score": 2.0, "type": "PWR_DROP", "heading_path": ["Study Title:"],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 {"id": "doc::ac3b7b0b:layout::0:para::0", "content": "Table 14.1.1: \tSummary of Participant Disposition  (Full Analysis Seta)", "index": "section@para", "score": 2.0, "type": "PWR_DROP",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  \tTermination of Study by the Sponsor&lt;/span&gt;&lt;/p&gt;&lt;/td&gt;&lt;td&gt;&lt;p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color:000000\"&gt;0&lt;/span&gt;&lt;/p&gt;&lt;/td&gt;&lt;/tr&gt;&lt;tr&gt;&lt;td&gt;&lt;p style=\"margin-top: 3.0pt; margin-bottom: 3.0pt\"&gt;&lt;span style=\"font-size: 10.0pt\" class=\"font:Times New Roman color:000000\"&gt;\tLost to Follow Up&lt;/span&gt;&lt;/p&gt;&lt;/td&gt;&lt;td&gt;&lt;p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color:000000\"&gt;\tDeath&lt;/span&gt;&lt;/p&gt;&lt;/td&gt;&lt;td&gt;&lt;p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color:000000\"&gt;3 (8.3)&lt;/span&gt;&lt;/p&gt;&lt;/td&gt;&lt;/tr&gt;&lt;tr&gt;&lt;td&gt;&lt;p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color:000000\"&gt;0&lt;/span&gt;&lt;/p&gt;&lt;/td&gt;&lt;/tr&gt;&lt;/table&gt;", "index"</t>
  </si>
  <si>
    <t>doc::7cd3e10f:layout::2:table::24:row::8:cell::1::ph::0</t>
  </si>
  <si>
    <t>&lt;Storage&gt;</t>
  </si>
  <si>
    <t>Retrieve detailed information regarding storage conditions or requirements for investigational medicinal products, specifically under Table 4 with the heading 'Investigational Drug' and column 'Storage'.</t>
  </si>
  <si>
    <t>Resolve the placeholder 'Storage' within the context of Table 4, specifically under the column header 'Storage' and row label 'Storage', as part of the Investigational Plan / Treatments / Identity of Investigational Product(s).</t>
  </si>
  <si>
    <t>[{"id":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"doc::4877313e:layout::22:para::3", "content": "Only participants enrolled in the study may receive study intervention and only authorized site staff may supply or administer study intervention. All study intervention must be stored in a secure, environmentally controlled, and monitored (manual or automated) \u2264 -60\u00b0C freezer in accordance with the labeled storage conditions with access limited to the Investigator and authorized site staff.", "index": "section@para", "score": 4.0, "type": "PWR_DROP", "heading_path": ["Preparation/Handling/Storage/Accountability"], "filename": "Mock_CSR_Protocol.docx"}, {"id": "doc::4877313e:layout::25:para::14", "content": "Reasons unrelated to medical condition (provide detail and review AE history with participant)", "index": "section@para", "score": 4.0, "type": "PWR_DROP", "heading_path": ["Discontinuation of Study Intervention", "Individual Participant Discontinuation"],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4.0, "type": "PWR_DROP", "heading_path": ["Safety Assessments", "Clinical Safety Laboratory Assessments"], "filename": "Mock_CSR_Protocol.docx"}, {"id": "doc::4877313e:layout::31:para::0", "content": "Medical occurrences that begin before signing of the ICF will be recorded in the Medical History/Current Medical Conditions section of the eCRF, not in the AE section. Any worsening of a medical occurrence after signing of the ICF is to be reported as an AE.", "index": "section@para", "score": 4.0, "type": "PWR_DROP", "heading_path": ["Adverse Events and Serious Adverse Events", "Time Period and Frequency for Collecting AE and SAE Information"],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 {"id": "doc::4877313e:layout::25:para::4", "content": "A participant may stop treatment at any time for any reason. Treatment discontinuations may be initiated by a participant due to scheduling difficulties, dissatisfaction with study requirements or treatment, or medical necessity due to AEs or other issues.", "index": "section@para", "score": 4.0, "type": "PWR_DROP", "heading_path": ["Discontinuation of Study Intervention", "Individual Participant Discontinuation"], "filename": "Mock_CSR_Protocol.docx"}, {"id": "doc::4877313e:layout::41:para::11", "content": "If a public health emergency is declared, each study will have a continuity plan that defines the mitigation strategy, including local or institutional requirements for COVID-19 (or other) testing.", "index": "section@para", "score": 4.0, "type": "PWR_DROP", "heading_path": ["Appendix 3: Guidelines for Public Health Emergencies, Including Infectious Disease Outbreaks"],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"doc::4877313e:layout::49:para::11", "content": "If a public health emergency is declared, each study will have a continuity plan that defines the mitigation strategy, including local or institutional requirements for COVID-19 (or other) testing.",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t>
  </si>
  <si>
    <t>doc::7cd3e10f:layout::2:table::24:row::9:cell::1::ph::0</t>
  </si>
  <si>
    <t>Retrieve precise protocol numbers and identifiers relevant to 'Protocol Number' placeholders within clinical study contexts.</t>
  </si>
  <si>
    <t>Resolve 'Protocol Number' placeholders specifically within inline textual contexts, ensuring positional continuity with preceding ('Source:') and succeeding ('Clinical Study Protocol, &lt;Version X.0&gt; (') elements.</t>
  </si>
  <si>
    <t>doc::7cd3e10f:layout::2:para::26::ph::0</t>
  </si>
  <si>
    <t>Retrieve the latest protocol version information for placeholder resolution, emphasizing inline continuity and semantic alignment with surrounding text.</t>
  </si>
  <si>
    <t>Resolve the placeholder '&lt;Version X.0&gt;' based on the inline position following 'Protocol Number&gt; Clinical Study Protocol,' and preceding '(Appendix 16.1.1); Certificate of Analys'. Use the protocol version details from the context provided.</t>
  </si>
  <si>
    <t>[{"id": "doc::4877313e:layout::37:para::2",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"doc::4877313e:layout::45:para::2",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"doc::72df3a00:layout::20:para::4", "content": "SAP Part II (MAD)(superseded with this version)", "index": "section@para", "score": 2.0, "type": "PWR_DROP", "heading_path": ["STATISTICAL DELIVERABLES"], "filename": "Mock SAP _03Jun2026.docx"}, {"id": "doc::72df3a00:layout::20:para::5", "content": "TLF Part II (MAD)(superseded with this version)", "index": "section@para", "score": 2.0, "type": "PWR_DROP", "heading_path": ["STATISTICAL DELIVERABLES"], "filename": "Mock SAP _03Jun2026.docx"}, {"id": "doc::72df3a00:layout::21:para::1", "content": "All statistical analyses will be performed using SAS Version 9.4 (SAS institute, Cary, NC) and all PK parameters will be calculated by non-compartmental analysis (NCA) using the software Phoenix WinNonlin\u00ae version 8.1 or later (Certara, U.S.A.).", "index": "section@para", "score": 2.0, "type": "PWR_DROP", "heading_path": ["SOFTWARE"], "filename": "Mock SAP _03Jun2026.docx"}, {"id": "doc::72df3a00:layout::22:para::0", "content": "Protocol Version No: Final Version 2.0, 01MAR2023 Study Code: ST-4536", "index": "section@para", "score": 2.0, "type": "PWR_USED", "heading_path": ["SOFTWARE"], "filename": "Mock SAP _03Jun2026.docx"}, {"id": "doc::72df3a00:layout::28:para::1", "content": "Protocol Version No: Final Version 2.0, 01MAR2023 Study Code: ST-4536", "index": "section@para", "score": 2.0, "type": "PWR_USED", "heading_path": ["SOFTWARE"], "filename": "Mock SAP _03Jun2026.docx"}, {"id": "doc::72df3a00:layout::2:para::0", "content": "VERSION HISTORY\n\n&lt;p style=\"margin-top: 20.8pt\"&gt;&lt;span class=\"Default Paragraph Font font:Times New Roman\"&gt;This Statistical Analysis Plan (SAP) for study ST-4536 is based on the protocol dated 01MAR2023.&lt;/span&gt;&lt;/p&gt;\n\n&lt;table&gt;&lt;tr&gt;&lt;th&gt;&lt;p style=\"margin-top: 0.05pt\"&gt;&lt;span style=\"font-size: 10pt\" class=\"Default Paragraph Font font:Times New Roman\"&gt;&lt;strong&gt;SAP version&lt;/strong&gt;&lt;/span&gt;&lt;/p&gt;&lt;/th&gt;&lt;th&gt;&lt;p style=\"margin-top: 0.05pt\"&gt;&lt;span style=\"font-size: 10pt\" class=\"Default Paragraph Font font:Times New Roman\"&gt;&lt;strong&gt;Approval Date&lt;/strong&gt;&lt;/span&gt;&lt;/p&gt;&lt;/th&gt;&lt;th&gt;&lt;p style=\"margin-top: 0.05pt\"&gt;&lt;span style=\"font-size: 10pt\" class=\"Default Paragraph Font font:Times New Roman\"&gt;&lt;strong&gt;Changes&lt;/strong&gt;&lt;/span&gt;&lt;/p&gt;&lt;/th&gt;&lt;th&gt;&lt;p style=\"text-align: center; margin-top: 0.05pt\"&gt;&lt;span style=\"font-size: 10pt\" class=\"Default Paragraph Font font:Times New Roman\"&gt;&lt;strong&gt;Rationale&lt;/strong&gt;&lt;/span&gt;&lt;/p&gt;&lt;/th&gt;&lt;/tr&gt;&lt;tr&gt;&lt;td&gt;&lt;p style=\"margin-top: 0.05pt\"&gt;&lt;span style=\"font-size: 10pt\" class=\"Default Paragraph Font font:Times New Roman\"&gt;0.1&lt;/span&gt;&lt;/p&gt;&lt;/td&gt;&lt;td&gt;&lt;p style=\"text-align: center; margin-top: 0.05pt\"&gt;&lt;span style=\"font-size: 10pt\" class=\"Default Paragraph Font font:Times New Roman\"&gt;04MAR2023&lt;/span&gt;&lt;/p&gt;&lt;/td&gt;&lt;td&gt;&amp;nbsp;&lt;/td&gt;&lt;td&gt;&lt;p style=\"margin-top: 0.05pt\"&gt;&lt;span style=\"font-size: 10pt\" class=\"Default Paragraph Font font:Times New Roman\"&gt;Internal review&lt;/span&gt;&lt;/p&gt;&lt;/td&gt;&lt;/tr&gt;&lt;tr&gt;&lt;td&gt;&lt;p style=\"margin-top: 0.05pt\"&gt;&lt;span style=\"font-size: 10pt\" class=\"Default Paragraph Font font:Times New Roman\"&gt;0.2&lt;/span&gt;&lt;/p&gt;&lt;/td&gt;&lt;td&gt;&lt;p style=\"text-align: center; margin-top: 0.05pt\"&gt;&lt;span style=\"font-size: 10pt\" class=\"Default Paragraph Font font:Times New Roman\"&gt;11MAR2023&lt;/span&gt;&lt;/p&gt;&lt;/td&gt;&lt;td&gt;&amp;nbsp;&lt;/td&gt;&lt;td&gt;&lt;p style=\"margin-top: 0.05pt\"&gt;&lt;span style=\"font-size: 10pt\" class=\"Default Paragraph Font font:Times New Roman\"&gt;Sponsor review&lt;/span&gt;&lt;/p&gt;&lt;/td&gt;&lt;/tr&gt;&lt;tr&gt;&lt;td&gt;&lt;p style=\"margin-top: 0.3pt\"&gt;&lt;span style=\"font-size: 10pt\" class=\"Default Paragraph Font font:Times New Roman\"&gt;1.0&lt;/span&gt;&lt;/p&gt;&lt;/td&gt;&lt;td&gt;&amp;nbsp;&lt;/td&gt;&lt;td&gt;&amp;nbsp;&lt;/td&gt;&lt;td&gt;&lt;p style=\"margin-top: 0.3pt\"&gt;&lt;span style=\"font-size: 10pt\" class=\"Default Paragraph Font font:Times New Roman\"&gt;Original version&lt;/span&gt;&lt;/p&gt;&lt;/td&gt;&lt;/tr&gt;&lt;/table&gt;", "index": "section@para", "score": 2.0, "type": "CNM_ADD", "heading_path": [], "filename": "Mock SAP _03Jun2026.docx"}, {"id": "doc::72df3a00:layout::2:para::2", "content": "Table 1\tSAP Version History Summary", "index": "section@para", "score": 2.0, "type": "CNM_ADD", "heading_path": ["VERSION HISTORY"], "filename": "Mock SAP _03Jun2026.docx"}]</t>
  </si>
  <si>
    <t>doc::7cd3e10f:layout::2:para::26::ph::1</t>
  </si>
  <si>
    <t>&lt;Method of Assigning Patients to Treatment Groups&gt;</t>
  </si>
  <si>
    <t>Retrieve information regarding the methodology used for assigning patients to treatment and placebo groups in clinical trials.</t>
  </si>
  <si>
    <t>Summarize the method of assigning patients to treatment groups based on the enrollment details provided in the study context, ensuring the explanation is concise and directly tied to the randomization process described.</t>
  </si>
  <si>
    <t>The study enrolled a total of 36 subjects, assigning 24 to the Treatment group and 12 to the Placebo group. Participants were randomized to their respective groups, ensuring a balanced distribution for comparative analysis.</t>
  </si>
  <si>
    <t>[{"id":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8.0,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6.0, "type": "PWR_DROP", "heading_path": ["4. Key Results"], "filename": "Mock_CSR Key messages_with_heading.docx"}, {"id": "doc::fd2ccc75:layout::0:para::43", "content": "A total of 36 subjects were enrolled: 24 in the Treatment group and 12 in the Placebo group.", "index": "section@para", "score": 4.0, "type": "PWR_USED",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4.0,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4.0,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"doc::ac3b7b0b:layout::0:para::5", "content": "a The FAS included all randomized participants who received at least one dose of the assigned study treatment (active drug or placebo).", "index": "section@para", "score": 4.0, "type": "CNM_ADD", "heading_path": [], "filename": "Mock_CSR _Tables_30Oct25.rtf"},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4.0, "type": "PWR_DROP", "heading_path": ["INTRODUCTION"], "filename": "Mock_CSR_Protocol.docx"}]</t>
  </si>
  <si>
    <t>doc::7cd3e10f:layout::2:para::28::ph::0</t>
  </si>
  <si>
    <t>&lt;Selection of Doses in the Study&gt;</t>
  </si>
  <si>
    <t>Retrieve details on dose selection criteria and decision-making processes for the study, particularly focusing on SAD phase increments and repeat-dose cohort adjustments.</t>
  </si>
  <si>
    <t>Summarize the selection criteria for doses in the study, emphasizing the SAD phase increments and repeat-dose cohort adjustments, ensuring the explanation aligns with the context provided in paragraph doc::4877313e:layout::16:para::1.</t>
  </si>
  <si>
    <t>The selection of doses in the study was guided by safety, tolerability, and pharmacokinetic data obtained during the single ascending dose (SAD) phase. Planned dose increments during the SAD phase did not exceed half-log increments, approximately 3.3-fold. For the repeat-dose cohort, the dose was set to not exceed 50% of a dose previously established as safe and well-tolerated in the single-dose cohort, accounting for anticipated accumulation. Sentinel dosing was deemed unnecessary for this part of the study.</t>
  </si>
  <si>
    <t>[{"id": "doc::fd2ccc75:layout::0:para::10", "content": "The primary objective of this clinical study was to assess the safety and tolerability after 4 weeks of exposure following single ascending doses of ABC-123", "index": "section@para", "score": 4.0,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4.0, "type": "PWR_DROP",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["Study Title:"],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["TITLE PAGE"], "filename": "Mock_CSR_Protocol.docx"},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4.0, "type": "PWR_DROP", "heading_path": ["Overall Design"],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"PWR_USED", "heading_path": ["Overall Design", "Single Ascending Dose"], "filename": "Mock_CSR_Protocol.docx"}, {"id": "doc::4877313e:layout::16:para::5", "content": "All screening tests establishing eligibility will be performed following informed consent and within 35 days prior to study intervention administration. Participants will reside at the CRU from Day 2 to Day 5 and Day 28 to Day 33 and will receive SC 150 mg ABC-123 (6\u00a0participants)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"index": "section@para", "score": 4.0, "type": "CNM_ADD", "heading_path": ["Overall Design", "Repeat-Dose"],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t>
  </si>
  <si>
    <t>doc::7cd3e10f:layout::2:para::30::ph::0</t>
  </si>
  <si>
    <t>&lt;Selection and Timing of Dose for Each Participant&gt;</t>
  </si>
  <si>
    <t>Retrieve information related to dose selection criteria and timing for participants, emphasizing the SAD phase and relevant pharmacokinetic safety data.</t>
  </si>
  <si>
    <t>Summarize the dose selection and timing criteria for each participant during the SAD phase, referencing safety and pharmacokinetic considerations detailed in the context.</t>
  </si>
  <si>
    <t>The selection and timing of doses for each participant were carefully determined based on clinical, laboratory safety, and pharmacokinetic data from previous cohorts. During the SAD phase, dose increments were restricted to half-log steps (approximately 3.3-fold) to ensure safety and tolerability while exploring the pharmacokinetic and pharmacodynamic profiles of ABC-123.</t>
  </si>
  <si>
    <t>[{"id":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"PWR_DROP", "heading_path": ["2. Study Design Overview"], "filename": "Mock_CSR Key messages_with_heading.docx"},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6.0, "type": "PWR_DROP", "heading_path": ["Overall Design"],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"PWR_USED", "heading_path": ["Overall Design", "Single Ascending Dose"],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["Study Title:"],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4.0, "type": "PWR_DROP",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 {"id": "doc::ac3b7b0b:layout::0:para::19", "content": "Table 14.2.5\tPD Biomarker Changes Following Single Ascending Dose (SAD) of ABC-123 and Placebo in Healthy Participants", "index": "section@para", "score": 4.0, "type": "PWR_DROP", "heading_path": [], "filename": "Mock_CSR _Tables_30Oct25.rtf"}]</t>
  </si>
  <si>
    <t>doc::7cd3e10f:layout::2:para::32::ph::0</t>
  </si>
  <si>
    <t>&lt;Blinding&gt;</t>
  </si>
  <si>
    <t>Retrieve detailed descriptions of blinding procedures, including randomization, unblinding conditions, and controls for maintaining study integrity.</t>
  </si>
  <si>
    <t>Summarize the blinding procedures described in the protocol, including the randomization process, unblinding criteria, and documentation requirements. Ensure the output is specific to this placeholder's focus on 'Blinding'.</t>
  </si>
  <si>
    <t>The study employs a double-blind, randomized, placebo-controlled design to ensure unbiased results. Blinding is maintained through a randomization schedule prepared by an unblinded statistician, and treatment assignments are unblinded only in emergencies where clinical management requires it. Any unblinding must be documented and reported to the Sponsor within 24 hours.</t>
  </si>
  <si>
    <t>[{"id":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["Study Title:"],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2.0, "type": "PWR_DROP", "heading_path": ["Overall Design", "Single Ascending Dose"], "filename": "Mock_CSR_Protocol.docx"}, {"id": "doc::4877313e:layout::15:para::5", "content": "The SAD portion of the study is double-blind, randomized, placebo-controlled, single ascending dose design in up to 6 cohorts of healthy participants.", "index": "section@para", "score": 2.0, "type": "PWR_DROP", "heading_path": ["Overall Design", "Single Ascending Dose"], "filename": "Mock_CSR_Protocol.docx"}, {"id": "doc::4877313e:layout::16:para::4", "content": "The repeat-dose portion of the study is a double-blind, randomized, placebo-controlled design in 1 cohort of participants with boneitis.", "index": "section@para", "score": 2.0, "type": "PWR_DROP", "heading_path": ["Overall Design", "Repeat-Dose"], "filename": "Mock_CSR_Protocol.docx"}, {"id": "doc::4877313e:layout::22:para::14", "content": "To maintain the blind, each participant will receive an assigned treatment (active or placebo) based on the randomization schedule prepared by the unblinded statistician.", "index": "section@para", "score": 2.0, "type": "PWR_USED",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"PWR_USED", "heading_path": ["Measures to Minimize Bias: Randomization and Blinding"], "filename": "Mock_CSR_Protocol.docx"}, {"id": "doc::4877313e:layout::22:para::8", "content": "The following controls will be employed to maintain the double-blind status of the study:", "index": "section@para", "score": 2.0, "type": "PWR_USED", "heading_path": ["Measures to Minimize Bias: Randomization and Blinding"], "filename": "Mock_CSR_Protocol.docx"}, {"id": "doc::4877313e:layout::5:para::13",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2.0, "type": "PWR_DROP", "heading_path": ["Synopsis", "Objectives and Endpoints:"],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["Synopsis"], "filename": "Mock_CSR_Protocol.docx"}]</t>
  </si>
  <si>
    <t>doc::7cd3e10f:layout::2:para::34::ph::0</t>
  </si>
  <si>
    <t>&lt;Prohibited Medication&gt;</t>
  </si>
  <si>
    <t>Retrieve details specifically about prohibited medications in the SAD cohorts, focusing on restrictions and allowed exceptions.</t>
  </si>
  <si>
    <t>Summarize prohibited medication information for SAD cohorts, ensuring the inclusion of restrictions, exceptions, and investigator discretion as outlined in the context.</t>
  </si>
  <si>
    <t>&lt;p&gt;For SAD cohorts, the use of any prescription or nonprescription medications, nutritional products including vitamins (except ongoing multivitamin supplements), minerals, and phytotherapeutic/herbal/plant-derived preparations is prohibited from Screening until the end of the study unless deemed acceptable by the Investigator. However, saline, lidocaine, or other medications required by study procedures are permitted at the Investigator’s discretion. Paracetamol/acetaminophen (2 g/day for up to 3 consecutive days) is allowed as needed.&lt;/p&gt;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</si>
  <si>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"PWR_USED", "heading_path": ["Lifestyle Considerations"],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"doc::4877313e:layout::22:para::20",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2.0, "type": "PWR_DROP", "heading_path": ["Concomitant Therapy"],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"PWR_DROP", "heading_path": ["Pharmacodynamic Assessments"], "filename": "Mock_CSR_Protocol.docx"}, {"id": "doc::4877313e:layout::41:para::8", "content": "Remote monitoring visits may be conducted if local or institutional guidelines prohibit on-site monitoring at clinical sites.", "index": "section@para", "score": 2.0, "type": "PWR_DROP", "heading_path": ["Appendix 3: Guidelines for Public Health Emergencies, Including Infectious Disease Outbreaks"], "filename": "Mock_CSR_Protocol.docx"}, {"id": "doc::4877313e:layout::49:para::8", "content": "Remote monitoring visits may be conducted if local or institutional guidelines prohibit on-site monitoring at clinical sites.", "index": "section@para", "score": 2.0, "type": "PWR_DROP", "heading_path": ["Appendix 3: Guidelines for Public Health Emergencies, Including Infectious Disease Outbreaks"], "filename": "Mock_CSR_Protocol.docx"}, {"id": "doc::72df3a00:layout::10:para::3", "content": "Prior and Concomitant Medications\n\n&lt;p style=\"margin-top: 12.15pt\"&gt;&lt;span class=\"Default Paragraph Font font:Times New Roman\"&gt;Prior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system.&lt;/span&gt;&lt;/p&gt;", "index": "section@para", "score": 2.0, "type": "PWR_DROP", "heading_path": ["TREATMENT INFORMATION AND EXTENT OF EXPOSURE"], "filename": "Mock SAP _03Jun2026.docx"},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2.0, "type": "PWR_DROP", "heading_path": ["TREATMENT INFORMATION AND EXTENT OF EXPOSURE", "Prior and Concomitant Medications"], "filename": "Mock SAP _03Jun2026.docx"}]</t>
  </si>
  <si>
    <t>doc::7cd3e10f:layout::2:para::37::ph::0</t>
  </si>
  <si>
    <t>&lt;Concomitant Medication&gt;</t>
  </si>
  <si>
    <t>Retrieve information on concomitant medication protocols, including documentation requirements and permissible medications during the study.</t>
  </si>
  <si>
    <t>Summarize the requirements for concomitant medication documentation during the study, including permissible medications and specific allowances, referencing details on administration and dosage.</t>
  </si>
  <si>
    <t>&lt;p&gt;Concomitant medications, including prescription and nonprescription drugs, vaccines, vitamins, and herbal supplements, must be recorded during the study. Documentation should include the reason for use, administration dates (start and end), and dosage details, including dose and frequency. Medications required for study procedures are permitted at the Investigator’s discretion, with specific allowances for paracetamol/acetaminophen (up to 2 g/day for three consecutive days).&lt;/p&gt;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</si>
  <si>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4.0, "type": "CNM_ADD",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"CNM_ADD", "heading_path": ["Overall Design", "Repeat-Dose"],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4.0, "type": "PWR_USED", "heading_path": ["Lifestyle Considerations"], "filename": "Mock_CSR_Protocol.docx"}, {"id": "doc::72df3a00:layout::10:para::3", "content": "Prior and Concomitant Medications\n\n&lt;p style=\"margin-top: 12.15pt\"&gt;&lt;span class=\"Default Paragraph Font font:Times New Roman\"&gt;Prior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system.&lt;/span&gt;&lt;/p&gt;", "index": "section@para", "score": 4.0, "type": "PWR_DROP", "heading_path": ["TREATMENT INFORMATION AND EXTENT OF EXPOSURE"], "filename": "Mock SAP _03Jun2026.docx"},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4.0, "type": "PWR_DROP", "heading_path": ["TREATMENT INFORMATION AND EXTENT OF EXPOSURE", "Prior and Concomitant Medications"], "filename": "Mock SAP _03Jun2026.docx"}, {"id": "doc::72df3a00:layout::35:para::0", "content": "Table 14.1.4 Concomitant medications ([analysis set])", "index": "section@para", "score": 4.0, "type": "PWR_DROP", "heading_path": ["STATISTICAL OUTPUT LAUOUT", "Tables"], "filename": "Mock SAP _03Jun2026.docx"}, {"id": "doc::72df3a00:layout::67:para::3", "content": "Listing 16.2.4.3 Adverse events as screening, part 1 (Full analysis set) Listing 16.2.4.4 Adverse events as screening, part 2 (Full analysis set) Listing 16.2.5.1 Prior and concomitant medications (Full analysis set) Listing 16.2.5.2. Exposure (Full analysis set)", "index": "section@para", "score": 4.0, "type": "PWR_DROP", "heading_path": ["STATISTICAL OUTPUT LAUOUT", "Tables"], "filename": "Mock SAP _03Jun2026.docx"},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"CNM_ADD", "heading_path": ["Lifestyle Considerations"], "filename": "Mock_CSR_Protocol.docx"}, {"id": "doc::4877313e:layout::22:para::19", "content": "Concomitant Therapy\n\n&lt;p style=\"margin-top: 6.15pt\"&gt;&lt;span style=\"font-size: 12pt\" class=\"Default Paragraph Font color:000000\"&gt;Any medication or vaccine (including over-the-counter or prescription medicines, vitamins, and/or herbal supplements, or other specific categories of interest) that the participant is receiving at the time of enrollment or receives during the study must be recorded along with:&lt;/span&gt;&lt;/p&gt;\n\n&lt;p style=\"margin-top: 5.2pt\"&gt;&lt;span style=\"font-size: 12pt\" class=\"Default Paragraph Font color:000000\"&gt;Reason for use&lt;/span&gt;&lt;/p&gt;\n\n&lt;p style=\"margin-top: 5.95pt\"&gt;&lt;span style=\"font-size: 12pt\" class=\"Default Paragraph Font color:000000\"&gt;Dates of administration including start and end dates&lt;/span&gt;&lt;/p&gt;\n\n&lt;p style=\"margin-top: 5.95pt\"&gt;&lt;span style=\"font-size: 12pt\" class=\"Default Paragraph Font color:000000\"&gt;Dosage information including dose and frequency&lt;/span&gt;&lt;/p&gt;", "index": "section@para", "score": 2.0, "type": "PWR_USED", "heading_path": [], "filename": "Mock_CSR_Protocol.docx"}, {"id": "doc::4877313e:layout::22:para::20",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2.0, "type": "CNM_ADD", "heading_path": ["Concomitant Therapy"], "filename": "Mock_CSR_Protocol.docx"}]</t>
  </si>
  <si>
    <t>doc::7cd3e10f:layout::2:para::39::ph::0</t>
  </si>
  <si>
    <t>&lt;Rescue Medication&gt;</t>
  </si>
  <si>
    <t>Search for detailed definitions or protocols related to rescue medication in the context of clinical studies, focusing on exclusions or specific applicability.</t>
  </si>
  <si>
    <t>Summarize the specific statement from section 6.5.1 indicating that 'Rescue Medication' is not applicable within the study framework.</t>
  </si>
  <si>
    <t>&lt;p&gt;Rescue medicine is not applicable in the context of this study.&lt;/p&gt;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</si>
  <si>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"doc::4877313e:layout::22:para::20",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2.0, "type": "PWR_DROP", "heading_path": ["Concomitant Therapy"], "filename": "Mock_CSR_Protocol.docx"}, {"id": "doc::4877313e:layout::23:para::0", "content": "6.5.1.\tRescue Medicine\n\n&lt;p style=\"margin-top: 6.35pt\"&gt;&lt;span style=\"font-size: 12pt\" class=\"Default Paragraph Font color:000000\"&gt;Not applicable.&lt;/span&gt;&lt;/p&gt;", "index": "section@para", "score": 2.0, "type": "PWR_USED", "heading_path": ["Concomitant Therapy"], "filename": "Mock_CSR_Protocol.docx"}, {"id": "doc::72df3a00:layout::10:para::3", "content": "Prior and Concomitant Medications\n\n&lt;p style=\"margin-top: 12.15pt\"&gt;&lt;span class=\"Default Paragraph Font font:Times New Roman\"&gt;Prior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system.&lt;/span&gt;&lt;/p&gt;", "index": "section@para", "score": 2.0, "type": "PWR_DROP", "heading_path": ["TREATMENT INFORMATION AND EXTENT OF EXPOSURE"], "filename": "Mock SAP _03Jun2026.docx"},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2.0, "type": "PWR_DROP", "heading_path": ["TREATMENT INFORMATION AND EXTENT OF EXPOSURE", "Prior and Concomitant Medications"], "filename": "Mock SAP _03Jun2026.docx"}, {"id": "doc::72df3a00:layout::35:para::0", "content": "Table 14.1.4 Concomitant medications ([analysis set])", "index": "section@para", "score": 2.0, "type": "PWR_DROP", "heading_path": ["STATISTICAL OUTPUT LAUOUT", "Tables"], "filename": "Mock SAP _03Jun2026.docx"}, {"id": "doc::72df3a00:layout::67:para::3", "content": "Listing 16.2.4.3 Adverse events as screening, part 1 (Full analysis set) Listing 16.2.4.4 Adverse events as screening, part 2 (Full analysis set) Listing 16.2.5.1 Prior and concomitant medications (Full analysis set) Listing 16.2.5.2. Exposure (Full analysis set)", "index": "section@para", "score": 2.0, "type": "PWR_DROP", "heading_path": ["STATISTICAL OUTPUT LAUOUT", "Tables"], "filename": "Mock SAP _03Jun2026.docx"}]</t>
  </si>
  <si>
    <t>doc::7cd3e10f:layout::2:para::41::ph::0</t>
  </si>
  <si>
    <t>&lt;Treatment Compliance&gt;</t>
  </si>
  <si>
    <t>Retrieve detailed information regarding treatment compliance, including statistics on ongoing participation and reasons for treatment discontinuation.</t>
  </si>
  <si>
    <t>Provide a summary of treatment compliance statistics, including enrollment numbers, ongoing participation percentages, and reasons for treatment discontinuation, emphasizing the Treatment group and Placebo group distinctions.</t>
  </si>
  <si>
    <t>A total of 36 subjects were enrolled in the study, divided into 24 in the Treatment group and 12 in the Placebo group. At the time of analysis, 31 subjects (86.1%) remained ongoing in the study and on treatment (87.5% in the Treatment group and 83.3% in the Placebo group). Five subjects (13.9%) discontinued study treatment, with reasons including adverse events, progressive disease, patient withdrawal of consent, and other reasons.</t>
  </si>
  <si>
    <t>[{"id":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"PWR_USED",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"PWR_DROP", "heading_path": ["5. Interpretation &amp; Conclusion"], "filename": "Mock_CSR Key messages_with_heading.docx"}, {"id": "doc::ac3b7b0b:layout::0:para::30", "content": "Abbreviations: TEAE = treatment emergent adverse event", "index": "section@para", "score": 2.0, "type": "PWR_DROP", "heading_path": [], "filename": "Mock_CSR _Tables_30Oct25.rtf"}, {"id": "doc::ac3b7b0b:layout::0:para::5", "content": "a The FAS included all randomized participants who received at least one dose of the assigned study treatment (active drug or placebo).", "index": "section@para", "score": 2.0, "type": "PWR_DROP", "heading_path": [], "filename": "Mock_CSR _Tables_30Oct25.rtf"}]</t>
  </si>
  <si>
    <t>doc::7cd3e10f:layout::2:para::43::ph::0</t>
  </si>
  <si>
    <t>&lt;Insert Applicable Restriction(s)&gt;</t>
  </si>
  <si>
    <t>Retrieve details about applicable restrictions, including regulatory, ethical, and procedural guidelines.</t>
  </si>
  <si>
    <t>Resolve the placeholder 'Insert Applicable Restriction(s)' by extracting restrictions from paragraphs discussing regulatory and procedural compliance, ensuring each restriction is listed as a separate bullet point.</t>
  </si>
  <si>
    <t>&lt;ul&gt;&lt;li&gt;Adherence to 21 Code of Federal Regulations (CFR) and ICH guidelines.&lt;/li&gt;&lt;li&gt;Compliance with IRB/IEC and European regulation 536/2014 for clinical studies.&lt;/li&gt;&lt;li&gt;Provision of financial disclosure as required by 21 CFR (US) or applicable local regulations.&lt;/li&gt;&lt;li&gt;Following International Conference on Harmonisation (ICH) Good Clinical Practice (GCP) Guidelines.&lt;/li&gt;&lt;/ul&gt;</t>
  </si>
  <si>
    <t>[{"id": "doc::4877313e:layout::0:para::6", "content": "Acronym: Not applicable Sponsor Name: Stendarr, Inc.", "index": "section@para", "score": 2.0, "type": "PWR_DROP", "heading_path": ["TITLE PAGE"], "filename": "Mock_CSR_Protocol.docx"}, {"id": "doc::4877313e:layout::23:para::1", "content": "Not applicable.", "index": "section@para", "score": 2.0, "type": "PWR_DROP", "heading_path": ["Concomitant Therapy", "6.5.1.\tRescue Medicine"], "filename": "Mock_CSR_Protocol.docx"}, {"id": "doc::4877313e:layout::23:table::7::caption", "content": "Toxicity Criteria for Stopping Dosing in Any Participant (as applicable) \u2013 Repeat Dose Dose Escalation Stopping Rules \u2013 Single Dose", "index": "section@para", "score": 2.0, "type": "PWR_DROP", "heading_path": ["Dose Modification", "Dose Escalation and Stopping Criteria"],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"PWR_DROP", "heading_path": ["Pharmacodynamic Assessments", "Exploratory Biomarkers"], "filename": "Mock_CSR_Protocol.docx"}, {"id": "doc::4877313e:layout::28:para::4", "content":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"index": "section@para", "score": 2.0, "type": "PWR_DROP", "heading_path": ["STUDY ASSESSMENTS AND PROCEDURES"], "filename": "Mock_CSR_Protocol.docx"}, {"id": "doc::4877313e:layout::29:para::24", "content": "All protocol-required laboratory assessments, as defined in Section  (Appendix 2), must be conducted in accordance with the SoA and any applicable Laboratory or Procedures Manual SoA.", "index": "section@para", "score": 2.0, "type": "PWR_DROP", "heading_path": ["Safety Assessments", "Clinical Safety Laboratory Assessments"], "filename": "Mock_CSR_Protocol.docx"},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"PWR_DROP", "heading_path": ["Statistical Analyses", "Pharmacokinetic Analyses"], "filename": "Mock_CSR_Protocol.docx"}, {"id": "doc::4877313e:layout::36:para::12", "content": "Providing oversight of the conduct of the study at the site and adherence to requirements of 21 Code of Federal Regulations (CFR), ICH guidelines, the IRB/IEC, European regulation 536/2014 for clinical studies (if applicable), and all other applicable local regulations", "index": "section@para", "score": 2.0, "type": "PWR_USED", "heading_path": ["Appendix 1: Regulatory, Ethical, and Study Oversight Considerations", "Regulatory and Ethical Considerations"], "filename": "Mock_CSR_Protocol.docx"}, {"id": "doc::4877313e:layout::36:para::14", "content": "The provision of financial disclosure in accordance with 21 CFR (US), or as applicable in the country to conduct, by applicable parties is required and will be addressed via a standalone agreement.", "index": "section@para", "score": 2.0, "type": "PWR_USED", "heading_path": ["Appendix 1: Regulatory, Ethical, and Study Oversight Considerations", "Financial Disclosure"], "filename": "Mock_CSR_Protocol.docx"}, {"id": "doc::4877313e:layout::36:para::5", "content": "Applicable International Conference on Harmonisation (ICH) Good Clinical Practice (GCP) Guidelines", "index": "section@para", "score": 2.0, "type": "PWR_USED", "heading_path": ["Appendix 1: Regulatory, Ethical, and Study Oversight Considerations", "Regulatory and Ethical Considerations"], "filename": "Mock_CSR_Protocol.docx"}]</t>
  </si>
  <si>
    <t>Heading</t>
  </si>
  <si>
    <t>doc::7cd3e10f:layout::2:para::45::ph::0</t>
  </si>
  <si>
    <t>&lt;Table X&gt;</t>
  </si>
  <si>
    <t>Retrieve inline table references matching the placeholder 'Table X' with positional context: 'e Schedule of Assessments is provided in ... .'</t>
  </si>
  <si>
    <t>Resolve 'Table X' to the appropriate table caption using semantic context and inline continuity with surrounding text 'e Schedule of Assessments is provided in ... .'</t>
  </si>
  <si>
    <t>Table 14.1.1</t>
  </si>
  <si>
    <t>[{"id": "doc::fd2ccc75:layout::0:para::42", "content": "We have 1 Demographics Table [Refer Source: CSR_Mock Tables]",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 {"id": "doc::ac3b7b0b:layout::0:para::0", "content": "Table 14.1.1: \tSummary of Participant Disposition  (Full Analysis Seta)", "index": "section@para", "score": 2.0, "type": "PWR_USED",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  \tTermination of Study by the Sponsor&lt;/span&gt;&lt;/p&gt;&lt;/td&gt;&lt;td&gt;&lt;p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color:000000\"&gt;0&lt;/span&gt;&lt;/p&gt;&lt;/td&gt;&lt;/tr&gt;&lt;tr&gt;&lt;td&gt;&lt;p style=\"margin-top: 3.0pt; margin-bottom: 3.0pt\"&gt;&lt;span style=\"font-size: 10.0pt\" class=\"font:Times New Roman color:000000\"&gt;\tLost to Follow Up&lt;/span&gt;&lt;/p&gt;&lt;/td&gt;&lt;td&gt;&lt;p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color:000000\"&gt;\tDeath&lt;/span&gt;&lt;/p&gt;&lt;/td&gt;&lt;td&gt;&lt;p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color:000000\"&gt;3 (8.3)&lt;/span&gt;&lt;/p&gt;&lt;/td&gt;&lt;/tr&gt;&lt;tr&gt;&lt;td&gt;&lt;p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color:000000\"&gt;0&lt;/span&gt;&lt;/p&gt;&lt;/td&gt;&lt;/tr&gt;&lt;/table&gt;", "index": "table@full", "score": 2.0, "type": "PWR_DROP", "heading_path": ["Tables (Mock)"], "filename": "Mock_CSR _Tables_30Oct25.rtf"}, {"id": "doc::ac3b7b0b:layout::0:para::10", "content": "Table 14.2.2: \tDemographics (Full Analysis Set)", "index": "section@para", "score": 2.0, "type": "PWR_DROP", "heading_path": [], "filename": "Mock_CSR _Tables_30Oct25.rtf"}, {"id": "doc::ac3b7b0b:layout::0:para::13", "content": "&lt;table&gt;&lt;tr&gt;&lt;th&gt;&lt;p style=\"text-align: center; margin-top: 3.0pt; margin-bottom: 3.0pt\"&gt;&lt;span style=\"font-size: 12.0pt\" class=\"font:Times New Roman\"&gt;&lt;strong&gt;Dose (mg)&lt;/strong&gt;&lt;/span&gt;&lt;/p&gt;&lt;/th&gt;&lt;th&gt;&lt;p style=\"text-align: center; margin-top: 3.0pt; margin-bottom: 3.0pt\"&gt;&lt;span style=\"font-size: 12.0pt\" class=\"font:Times New Roman\"&gt;&lt;strong&gt;N&lt;/strong&gt;&lt;/span&gt;&lt;/p&gt;&lt;/th&gt;&lt;th&gt;&lt;p style=\"text-align: center; margin-top: 3.0pt; margin-bottom: 3.0pt\"&gt;&lt;span style=\"font-size: 12.0pt\" class=\"font:Times New Roman\"&gt;&lt;strong&gt;C&lt;/strong&gt;&lt;/span&gt;&lt;span style=\"font-size: 12.0pt\" class=\"font:Times New Roman\"&gt;&lt;sub&gt;&lt;strong&gt;max &lt;/strong&gt;&lt;/sub&gt;&lt;/span&gt;&lt;span style=\"font-size: 12.0pt\" class=\"font:Times New Roman\"&gt;&lt;strong&gt;(ng/mL)&lt;/strong&gt;&lt;/span&gt;&lt;/p&gt;&lt;/th&gt;&lt;th&gt;&lt;p style=\"text-align: center; margin-top: 3.0pt; margin-bottom: 3.0pt\"&gt;&lt;span style=\"font-size: 12.0pt\" class=\"font:Times New Roman\"&gt;&lt;strong&gt;T&lt;/strong&gt;&lt;/span&gt;&lt;span style=\"font-size: 12.0pt\" class=\"font:Times New Roman\"&gt;&lt;sub&gt;&lt;strong&gt;max &lt;/strong&gt;&lt;/sub&gt;&lt;/span&gt;&lt;span style=\"font-size: 12.0pt\" class=\"font:Times New Roman\"&gt;&lt;strong&gt;(hr)&lt;/strong&gt;&lt;/span&gt;&lt;/p&gt;&lt;/th&gt;&lt;th&gt;&lt;p style=\"text-align: center; margin-top: 3.0pt; margin-bottom: 3.0pt\"&gt;&lt;span style=\"font-size: 12.0pt\" class=\"font:Times New Roman\"&gt;&lt;strong&gt;AUC&lt;/strong&gt;&lt;/span&gt;&lt;span style=\"font-size: 12.0pt\" class=\"font:Times New Roman\"&gt;&lt;sub&gt;&lt;strong&gt;0\u2013t &lt;/strong&gt;&lt;/sub&gt;&lt;/span&gt;&lt;span style=\"font-size: 12.0pt\" class=\"font:Times New Roman\"&gt;&lt;strong&gt;(ng\u00b7hr/mL)&lt;/strong&gt;&lt;/span&gt;&lt;/p&gt;&lt;/th&gt;&lt;th&gt;&lt;p style=\"text-align: center; margin-top: 3.0pt; margin-bottom: 3.0pt\"&gt;&lt;span style=\"font-size: 12.0pt\" class=\"font:Times New Roman\"&gt;&lt;strong&gt;AUC&lt;/strong&gt;&lt;/span&gt;&lt;span style=\"font-size: 12.0pt\" class=\"font:Times New Roman\"&gt;&lt;sub&gt;&lt;strong&gt;0\u2013\u221e&lt;/strong&gt;&lt;/sub&gt;&lt;/span&gt;&lt;span style=\"font-size: 12.0pt\" class=\"font:Times New Roman\"&gt;&lt;strong&gt; (ng\u00b7hr/mL)&lt;/strong&gt;&lt;/span&gt;&lt;/p&gt;&lt;/th&gt;&lt;th&gt;&lt;p style=\"text-align: center; margin-top: 3.0pt; margin-bottom: 3.0pt\"&gt;&lt;span style=\"font-size: 12.0pt\" class=\"font:Times New Roman\"&gt;&lt;strong&gt;t&lt;/strong&gt;&lt;/span&gt;&lt;span style=\"font-size: 12.0pt\" class=\"font:Times New Roman\"&gt;&lt;sub&gt;&lt;strong&gt;\u00bd &lt;/strong&gt;&lt;/sub&gt;&lt;/span&gt;&lt;span style=\"font-size: 12.0pt\" class=\"font:Times New Roman\"&gt;&lt;strong&gt;(hr)&lt;/strong&gt;&lt;/span&gt;&lt;/p&gt;&lt;/th&gt;&lt;th&gt;&lt;p style=\"text-align: center; margin-top: 3.0pt; margin-bottom: 3.0pt\"&gt;&lt;span style=\"font-size: 12.0pt\" class=\"font:Times New Roman\"&gt;&lt;strong&gt;CL/F (L/hr)&lt;/strong&gt;&lt;/span&gt;&lt;/p&gt;&lt;/th&gt;&lt;th&gt;&lt;p style=\"text-align: center; margin-top: 3.0pt; margin-bottom: 3.0pt\"&gt;&lt;span style=\"font-size: 12.0pt\" class=\"font:Times New Roman\"&gt;&lt;strong&gt;Vd/F (L)&lt;/strong&gt;&lt;/span&gt;&lt;/p&gt;&lt;/th&gt;&lt;/tr&gt;&lt;tr&gt;&lt;td&gt;&lt;p style=\"margin-top: 3.0pt; margin-bottom: 3.0pt\"&gt;&lt;span style=\"font-size: 12.0pt\" class=\"font:Times New Roman\"&gt;5\u00a0&lt;/span&gt;&lt;/p&gt;&lt;/td&gt;&lt;td&gt;&lt;p style=\"margin-top: 3.0pt; margin-bottom: 3.0pt\"&gt;&lt;span style=\"font-size: 12.0pt\" class=\"font:Times New Roman\"&gt;24\u00a0&lt;/span&gt;&lt;/p&gt;&lt;/td&gt;&lt;td&gt;&lt;p style=\"margin-top: 3.0pt; margin-bottom: 3.0pt\"&gt;&lt;span style=\"font-size: 12.0pt\" class=\"font:Times New Roman\"&gt;150\u00a0&lt;/span&gt;&lt;/p&gt;&lt;/td&gt;&lt;td&gt;&lt;p style=\"margin-top: 3.0pt; margin-bottom: 3.0pt\"&gt;&lt;span style=\"font-size: 12.0pt\" class=\"font:Times New Roman\"&gt;1.5\u00a0&lt;/span&gt;&lt;/p&gt;&lt;/td&gt;&lt;td&gt;&lt;p style=\"margin-top: 3.0pt; margin-bottom: 3.0pt\"&gt;&lt;span style=\"font-size: 12.0pt\" class=\"font:Times New Roman\"&gt;900\u00a0&lt;/span&gt;&lt;/p&gt;&lt;/td&gt;&lt;td&gt;&lt;p style=\"margin-top: 3.0pt; margin-bottom: 3.0pt\"&gt;&lt;span style=\"font-size: 12.0pt\" class=\"font:Times New Roman\"&gt;1050\u00a0&lt;/span&gt;&lt;/p&gt;&lt;/td&gt;&lt;td&gt;&lt;p style=\"margin-top: 3.0pt; margin-bottom: 3.0pt\"&gt;&lt;span style=\"font-size: 12.0pt\" class=\"font:Times New Roman\"&gt;5.2\u00a0&lt;/span&gt;&lt;/p&gt;&lt;/td&gt;&lt;td&gt;&lt;p style=\"margin-top: 3.0pt; margin-bottom: 3.0pt\"&gt;&lt;span style=\"font-size: 12.0pt\" class=\"font:Times New Roman\"&gt;12.5\u00a0&lt;/span&gt;&lt;/p&gt;&lt;/td&gt;&lt;td&gt;&lt;p style=\"margin-top: 3.0pt; margin-bottom: 3.0pt\"&gt;&lt;span style=\"font-size: 12.0pt\" class=\"font:Times New Roman\"&gt;35\u00a0&lt;/span&gt;&lt;/p&gt;&lt;/td&gt;&lt;/tr&gt;&lt;tr&gt;&lt;td&gt;&lt;p style=\"margin-top: 3.0pt; margin-bottom: 3.0pt\"&gt;&lt;span style=\"font-size: 12.0pt\" class=\"font:Times New Roman\"&gt;15\u00a0&lt;/span&gt;&lt;/p&gt;&lt;/td&gt;&lt;td&gt;&lt;p style=\"margin-top: 3.0pt; margin-bottom: 3.0pt\"&gt;&lt;span style=\"font-size: 12.0pt\" class=\"font:Times New Roman\"&gt;24\u00a0&lt;/span&gt;&lt;/p&gt;&lt;/td&gt;&lt;td&gt;&lt;p style=\"margin-top: 3.0pt; margin-bottom: 3.0pt\"&gt;&lt;span style=\"font-size: 12.0pt\" class=\"font:Times New Roman\"&gt;300\u00a0&lt;/span&gt;&lt;/p&gt;&lt;/td&gt;&lt;td&gt;&lt;p style=\"margin-top: 3.0pt; margin-bottom: 3.0pt\"&gt;&lt;span style=\"font-size: 12.0pt\" class=\"font:Times New Roman\"&gt;2.0\u00a0&lt;/span&gt;&lt;/p&gt;&lt;/td&gt;&lt;td&gt;&lt;p style=\"margin-top: 3.0pt; margin-bottom: 3.0pt\"&gt;&lt;span style=\"font-size: 12.0pt\" class=\"font:Times New Roman\"&gt;1800\u00a0&lt;/span&gt;&lt;/p&gt;&lt;/td&gt;&lt;td&gt;&lt;p style=\"margin-top: 3.0pt; margin-bottom: 3.0pt\"&gt;&lt;span style=\"font-size: 12.0pt\" class=\"font:Times New Roman\"&gt;2100\u00a0&lt;/span&gt;&lt;/p&gt;&lt;/td&gt;&lt;td&gt;&lt;p style=\"margin-top: 3.0pt; margin-bottom: 3.0pt\"&gt;&lt;span style=\"font-size: 12.0pt\" class=\"font:Times New Roman\"&gt;6.1\u00a0&lt;/span&gt;&lt;/p&gt;&lt;/td&gt;&lt;td&gt;&lt;p style=\"margin-top: 3.0pt; margin-bottom: 3.0pt\"&gt;&lt;span style=\"font-size: 12.0pt\" class=\"font:Times New Roman\"&gt;13.0\u00a0&lt;/span&gt;&lt;/p&gt;&lt;/td&gt;&lt;td&gt;&lt;p style=\"margin-top: 3.0pt; margin-bottom: 3.0pt\"&gt;&lt;span style=\"font-size: 12.0pt\" class=\"font:Times New Roman\"&gt;45\u00a0&lt;/span&gt;&lt;/p&gt;&lt;/td&gt;&lt;/tr&gt;&lt;tr&gt;&lt;td&gt;&lt;p style=\"margin-top: 3.0pt; margin-bottom: 3.0pt\"&gt;&lt;span style=\"font-size: 12.0pt\" class=\"font:Times New Roman\"&gt;50\u00a0&lt;/span&gt;&lt;/p&gt;&lt;/td&gt;&lt;td&gt;&lt;p style=\"margin-top: 3.0pt; margin-bottom: 3.0pt\"&gt;&lt;span style=\"font-size: 12.0pt\" class=\"font:Times New Roman\"&gt;24\u00a0&lt;/span&gt;&lt;/p&gt;&lt;/td&gt;&lt;td&gt;&lt;p style=\"margin-top: 3.0pt; margin-bottom: 3.0pt\"&gt;&lt;span style=\"font-size: 12.0pt\" class=\"font:Times New Roman\"&gt;500\u00a0&lt;/span&gt;&lt;/p&gt;&lt;/td&gt;&lt;td&gt;&lt;p style=\"margin-top: 3.0pt; margin-bottom: 3.0pt\"&gt;&lt;span style=\"font-size: 12.0pt\" class=\"font:Times New Roman\"&gt;2.5\u00a0&lt;/span&gt;&lt;/p&gt;&lt;/td&gt;&lt;td&gt;&lt;p style=\"margin-top: 3.0pt; margin-bottom: 3.0pt\"&gt;&lt;span style=\"font-size: 12.0pt\" class=\"font:Times New Roman\"&gt;2500\u00a0&lt;/span&gt;&lt;/p&gt;&lt;/td&gt;&lt;td&gt;&lt;p style=\"margin-top: 3.0pt; margin-bottom: 3.0pt\"&gt;&lt;span style=\"font-size: 12.0pt\" class=\"font:Times New Roman\"&gt;3000\u00a0&lt;/span&gt;&lt;/p&gt;&lt;/td&gt;&lt;td&gt;&lt;p style=\"margin-top: 3.0pt; margin-bottom: 3.0pt\"&gt;&lt;span style=\"font-size: 12.0pt\" class=\"font:Times New Roman\"&gt;6.5\u00a0&lt;/span&gt;&lt;/p&gt;&lt;/td&gt;&lt;td&gt;&lt;p style=\"margin-top: 3.0pt; margin-bottom: 3.0pt\"&gt;&lt;span style=\"font-size: 12.0pt\" class=\"font:Times New Roman\"&gt;12.8\u00a0&lt;/span&gt;&lt;/p&gt;&lt;/td&gt;&lt;td&gt;&lt;p style=\"margin-top: 3.0pt; margin-bottom: 3.0pt\"&gt;&lt;span style=\"font-size: 12.0pt\" class=\"font:Times New Roman\"&gt;60\u00a0&lt;/span&gt;&lt;/p&gt;&lt;/td&gt;&lt;/tr&gt;&lt;tr&gt;&lt;td&gt;&lt;p style=\"margin-top: 3.0pt; margin-bottom: 3.0pt\"&gt;&lt;span style=\"font-size: 12.0pt\" class=\"font:Times New Roman\"&gt;150&lt;/span&gt;&lt;/p&gt;&lt;/td&gt;&lt;td&gt;&lt;p style=\"margin-top: 3.0pt; margin-bottom: 3.0pt\"&gt;&lt;span style=\"font-size: 12.0pt\" class=\"font:Times New Roman\"&gt;24\u00a0&lt;/span&gt;&lt;/p&gt;&lt;/td&gt;&lt;td&gt;&lt;p style=\"margin-top: 3.0pt; margin-bottom: 3.0pt\"&gt;&lt;span style=\"font-size: 12.0pt\" class=\"font:Times New Roman\"&gt;900\u00a0&lt;/span&gt;&lt;/p&gt;&lt;/td&gt;&lt;td&gt;&lt;p style=\"margin-top: 3.0pt; margin-bottom: 3.0pt\"&gt;&lt;span style=\"font-size: 12.0pt\" class=\"font:Times New Roman\"&gt;3.0\u00a0&lt;/span&gt;&lt;/p&gt;&lt;/td&gt;&lt;td&gt;&lt;p style=\"margin-top: 3.0pt; margin-bottom: 3.0pt\"&gt;&lt;span style=\"font-size: 12.0pt\" class=\"font:Times New Roman\"&gt;4500\u00a0&lt;/span&gt;&lt;/p&gt;&lt;/td&gt;&lt;td&gt;&lt;p style=\"margin-top: 3.0pt; margin-bottom: 3.0pt\"&gt;&lt;span style=\"font-size: 12.0pt\" class=\"font:Times New Roman\"&gt;5200\u00a0&lt;/span&gt;&lt;/p&gt;&lt;/td&gt;&lt;td&gt;&lt;p style=\"margin-top: 3.0pt; margin-bottom: 3.0pt\"&gt;&lt;span style=\"font-size: 12.0pt\" class=\"font:Times New Roman\"&gt;7.0\u00a0&lt;/span&gt;&lt;/p&gt;&lt;/td&gt;&lt;td&gt;&lt;p style=\"margin-top: 3.0pt; margin-bottom: 3.0pt\"&gt;&lt;span style=\"font-size: 12.0pt\" class=\"font:Times New Roman\"&gt;13.2\u00a0&lt;/span&gt;&lt;/p&gt;&lt;/td&gt;&lt;td&gt;&lt;p style=\"margin-top: 3.0pt; margin-bottom: 3.0pt\"&gt;&lt;span style=\"font-size: 12.0pt\" class=\"font:Times New Roman\"&gt;70\u00a0&lt;/span&gt;&lt;/p&gt;&lt;/td&gt;&lt;/tr&gt;&lt;/table&gt;", "index": "table@full", "score": 2.0, "type": "PWR_DROP", "heading_path": ["Table 14.2.3 \tPharmacokinetic Parameters Following Single Ascending Doses of ABC-123"], "filename": "Mock_CSR _Tables_30Oct25.rtf"}]</t>
  </si>
  <si>
    <t>doc::7cd3e10f:layout::2:para::47::ph::0</t>
  </si>
  <si>
    <t>&lt;Informed Consent&gt;</t>
  </si>
  <si>
    <t>Retrieve detailed information regarding the informed consent process, focusing on participant rights, documentation requirements, and compliance with regulatory standards.</t>
  </si>
  <si>
    <t>Summarize the informed consent process, emphasizing voluntary participation, compliance with regulations (21 CFR 50, ICH guidelines, HIPAA, IRB/IEC standards), documentation in medical records, and requirements for re-consent and providing copies to participants.</t>
  </si>
  <si>
    <t>&lt;p&gt;Participants must be informed that their participation is voluntary. They or their legally authorized representative are required to sign a statement of informed consent that complies with 21 CFR 50, local regulations, ICH guidelines, and HIPAA requirements, where applicable, as well as the IRB/IEC or study center standards. The medical record must document that written informed consent was obtained prior to study enrollment, including the date of consent. The authorized person obtaining consent must also sign the ICF. During the study, participants must be re-consented with the latest version of the ICF(s), and a copy must be provided to them or their legally authorized representative.&lt;/p&gt;</t>
  </si>
  <si>
    <t>[{"id": "doc::4877313e:layout::33:para::10", "content": "Abbreviations: ICF = informed consent form; PD = pharmacodynamic; PK = pharmacokinetic.", "index": "section@para", "score": 4.0, "type": "CNM_ADD", "heading_path": ["Populations for Analyses"], "filename": "Mock_CSR_Protocol.docx"}, {"id": "doc::4877313e:layout::36:para::15", "content": "Informed Consent Process\n\n&lt;p style=\"margin-top: 4.5pt\"&gt;&lt;span style=\"font-size: 12pt\" class=\"Default Paragraph Font color:000000\"&gt;Participants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center.&lt;/span&gt;&lt;/p&gt;\n\n&lt;p style=\"margin-top: 5.25pt\"&gt;&lt;span style=\"font-size: 12pt\" class=\"Default Paragraph Font color:000000\"&gt;The medical record must include a statement that written informed consent was obtained before the participant was enrolled in the study and the date the written consent was obtained. The authorized person obtaining the informed consent must also sign the ICF.&lt;/span&gt;&lt;/p&gt;\n\n&lt;p style=\"margin-top: 5.65pt\"&gt;&lt;span style=\"font-size: 12pt\" class=\"Default Paragraph Font color:000000\"&gt;Participants must be re-consented to the most current version of the ICF(s) during their participation in the study.&lt;/span&gt;&lt;/p&gt;\n\n&lt;p style=\"margin-top: 5.5pt\"&gt;&lt;span style=\"font-size: 12pt\" class=\"Default Paragraph Font color:000000\"&gt;A copy of the ICF(s) must be provided to the participant or the participant\u2019s legally authorized representative.&lt;/span&gt;&lt;/p&gt;", "index": "section@para", "score": 4.0, "type": "PWR_USED", "heading_path": ["Appendix 1: Regulatory, Ethical, and Study Oversight Considerations"], "filename": "Mock_CSR_Protocol.docx"}, {"id": "doc::4877313e:layout::37:para::0", "content":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"index": "section@para", "score": 4.0, "type": "PWR_DROP", "heading_path": ["Appendix 1: Regulatory, Ethical, and Study Oversight Considerations", "Informed Consent Process"],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"doc::4877313e:layout::44:para::15", "content": "Informed Consent Process\n\n&lt;p style=\"margin-top: 4.5pt\"&gt;&lt;span style=\"font-size: 12pt\" class=\"Default Paragraph Font color:000000\"&gt;Participants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center.&lt;/span&gt;&lt;/p&gt;\n\n&lt;p style=\"margin-top: 5.25pt\"&gt;&lt;span style=\"font-size: 12pt\" class=\"Default Paragraph Font color:000000\"&gt;The medical record must include a statement that written informed consent was obtained before the participant was enrolled in the study and the date the written consent was obtained. The authorized person obtaining the informed consent must also sign the ICF.&lt;/span&gt;&lt;/p&gt;\n\n&lt;p style=\"margin-top: 5.65pt\"&gt;&lt;span style=\"font-size: 12pt\" class=\"Default Paragraph Font color:000000\"&gt;Participants must be re-consented to the most current version of the ICF(s) during their participation in the study.&lt;/span&gt;&lt;/p&gt;\n\n&lt;p style=\"margin-top: 5.5pt\"&gt;&lt;span style=\"font-size: 12pt\" class=\"Default Paragraph Font color:000000\"&gt;A copy of the ICF(s) must be provided to the participant or the participant\u2019s legally authorized representative.&lt;/span&gt;&lt;/p&gt;", "index": "section@para", "score": 4.0, "type": "PWR_USED", "heading_path": ["Appendix 1: Regulatory, Ethical, and Study Oversight Considerations"], "filename": "Mock_CSR_Protocol.docx"}, {"id": "doc::4877313e:layout::45:para::0", "content":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"index": "section@para", "score": 4.0, "type": "PWR_DROP", "heading_path": ["Appendix 1: Regulatory, Ethical, and Study Oversight Considerations", "Informed Consent Process"],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2.0, "type": "PWR_DROP", "heading_path": ["5. Interpretation &amp; Conclusion"], "filename": "Mock_CSR Key messages_with_heading.docx"}]</t>
  </si>
  <si>
    <t>doc::7cd3e10f:layout::2:para::49::ph::0</t>
  </si>
  <si>
    <t>&lt;Demographics&gt;</t>
  </si>
  <si>
    <t>Retrieve context related to demographic descriptions, baseline characteristics, and SAP references for Part II studies.</t>
  </si>
  <si>
    <t>Summarize demographic details using the SAP references ST-4536SAP_v.10_11DEC2023-SAD and ST-4536SAP_v.10_13FEB2023-MAD, emphasizing the combination of tables for Part II (MAD) studies involving celecoxib.</t>
  </si>
  <si>
    <t>&lt;p&gt;The baseline characteristics and demographics have been previously described in the SAP documents ST-4536SAP_v.10_11DEC2023-SAD and ST-4536SAP_v.10_13FEB2023-MAD. For Part II (MAD) involving celecoxib, the tables will be combined to provide a comprehensive overview.&lt;/p&gt;</t>
  </si>
  <si>
    <t>[{"id": "doc::fd2ccc75:layout::0:para::41", "content": "Demographics:", "index": "section@para", "score": 2.0, "type": "PWR_DROP", "heading_path": ["4. Key Results"], "filename": "Mock_CSR Key messages_with_heading.docx"}, {"id": "doc::fd2ccc75:layout::0:para::42", "content": "We have 1 Demographics Table [Refer Source: CSR_Mock Tables]", "index": "section@para", "score": 2.0, "type": "PWR_DROP", "heading_path": ["4. Key Results"], "filename": "Mock_CSR Key messages_with_heading.docx"}, {"id": "doc::ac3b7b0b:layout::0:para::10", "content": "Table 14.2.2: \tDemographics (Full Analysis Set)", "index": "section@para", "score": 2.0, "type": "PWR_DROP", "heading_path": [], "filename": "Mock_CSR _Tables_30Oct25.rtf"}, {"id": "doc::72df3a00:layout::29:para::2", "content": "Table 14.1.1 Baseline characteristics and demographics ([analysis set])", "index": "section@para", "score": 2.0, "type": "PWR_DROP", "heading_path": ["STATISTICAL OUTPUT LAUOUT", "Tables"], "filename": "Mock SAP _03Jun2026.docx"}, {"id": "doc::72df3a00:layout::30:para::1", "content": "[STUDYID] Summarised demographics data. Data based on the [analysis set].", "index": "section@para", "score": 2.0, "type": "PWR_DROP", "heading_path": ["STATISTICAL OUTPUT LAUOUT", "Tables"], "filename": "Mock SAP _03Jun2026.docx"}, {"id": "doc::72df3a00:layout::9:para::3", "content": "Baseline Characteristics and Demographics\n\n&lt;p style=\"margin-top: 12.15pt\"&gt;&lt;span class=\"Default Paragraph Font font:Times New Roman\"&gt;The baseline characteristics and demographics have been described in the previous SAP\u2019s, ST-4536SAP_v.10_11DEC2023- SAD, ST-4536SAP_v.10_13FEB2023- MAD. The tables for Part II (MAD) (celecoxib) will be combined.&lt;/span&gt;&lt;/p&gt;", "index": "section@para", "score": 2.0, "type": "PWR_USED", "heading_path": ["SUBJECTS"], "filename": "Mock SAP _03Jun2026.docx"}, {"id": "doc::72df3a00:layout::9:para::4", "content": "The baseline characteristics and demographics have been described in the previous SAP\u2019s, ST-4536SAP_v.10_11DEC2023- SAD, ST-4536SAP_v.10_13FEB2023- MAD. The tables for Part II (MAD) (celecoxib) will be combined.", "index": "section@para", "score": 2.0, "type": "PWR_USED", "heading_path": ["SUBJECTS", "Baseline Characteristics and Demographics"], "filename": "Mock SAP _03Jun2026.docx"}]</t>
  </si>
  <si>
    <t>doc::7cd3e10f:layout::2:para::51::ph::0</t>
  </si>
  <si>
    <t>&lt;Medical and Medication History&gt;</t>
  </si>
  <si>
    <t>Retrieve detailed documentation standards for medical and medication history recording, focusing on eCRF guidelines and AE reporting.</t>
  </si>
  <si>
    <t>Summarize the procedural guidelines for recording medical and medication history, emphasizing the distinction between pre-ICF and post-ICF medical occurrences as outlined in the source context.</t>
  </si>
  <si>
    <t>Documentation of medical and medication history can be derived from the review of the participant’s medical records, medical examination, or medical history interview conducted by site personnel. Medical occurrences prior to the signing of the informed consent form (ICF) are recorded under Medical History/Current Medical Conditions in the electronic Case Report Form (eCRF). Any worsening of these conditions post-ICF signing is reported as adverse events (AE).</t>
  </si>
  <si>
    <t>[{"id": "doc::4877313e:layout::18:para::11",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4.0, "type": "CNM_ADD", "heading_path": ["Inclusion Criteria"], "filename": "Mock_CSR_Protocol.docx"}, {"id": "doc::4877313e:layout::25:para::14", "content": "Reasons unrelated to medical condition (provide detail and review AE history with participant)", "index": "section@para", "score": 4.0, "type": "CNM_ADD", "heading_path": ["Discontinuation of Study Intervention", "Individual Participant Discontinuation"], "filename": "Mock_CSR_Protocol.docx"}, {"id": "doc::4877313e:layout::31:para::0", "content": "Medical occurrences that begin before signing of the ICF will be recorded in the Medical History/Current Medical Conditions section of the eCRF, not in the AE section. Any worsening of a medical occurrence after signing of the ICF is to be reported as an AE.", "index": "section@para", "score": 4.0, "type": "PWR_USED", "heading_path": ["Adverse Events and Serious Adverse Events", "Time Period and Frequency for Collecting AE and SAE Information"], "filename": "Mock_CSR_Protocol.docx"}, {"id": "doc::4877313e:layout::53:para::12", "content": "Note: Documentation can come from the site personnel\u2019s: review of the participant\u2019s medical records, medical examination, or medical history interview.", "index": "section@para", "score": 4.0, "type": "PWR_USED", "heading_path": ["Appendix 5: Contraceptive Guidance and Collection of Pregnancy Information", "Women in the following categories are not considered WOCBP"], "filename": "Mock_CSR_Protocol.docx"}, {"id": "doc::4877313e:layout::55:para::12", "content": "Note: Documentation can come from the site personnel\u2019s: review of the participant\u2019s medical records, medical examination, or medical history interview.", "index": "section@para", "score": 4.0, "type": "CNM_ADD", "heading_path": ["Appendix 5: Contraceptive Guidance and Collection of Pregnancy Information", "Women in the following categories are not considered WOCBP"], "filename": "Mock_CSR_Protocol.docx"}, {"id": "doc::72df3a00:layout::34:para::0", "content": "Table 14.1.3. Medical history events by system organ class and preferred term ([analysis set])", "index": "section@para", "score": 4.0, "type": "PWR_DROP", "heading_path": ["STATISTICAL OUTPUT LAUOUT", "Tables"], "filename": "Mock SAP _03Jun2026.docx"}, {"id": "doc::72df3a00:layout::34:para::4", "content": "[STUDYID] Medical history events by system organ class and preferred term, [analysis set], SAS program: mh_summary_by_soc_and_pt.sas. Run by: [USERNAME], [USER EMAIL] [TIMESTAMP]", "index": "section@para", "score": 4.0, "type": "PWR_DROP", "heading_path": ["STATISTICAL OUTPUT LAUOUT", "Tables"], "filename": "Mock SAP _03Jun2026.docx"}, {"id": "doc::72df3a00:layout::67:para::2", "content": "Listing 16.2.3.3 Non-eligible subjects (All subjects) Listing 16.2.4.1. Demography (Full analysis set) Listing 16.2.4.2. Medical history (Full analysis set)", "index": "section@para", "score": 4.0, "type": "PWR_DROP", "heading_path": ["STATISTICAL OUTPUT LAUOUT", "Tables"], "filename": "Mock SAP _03Jun2026.docx"},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"CNM_ADD", "heading_path": ["INTRODUCTION"],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"CNM_ADD", "heading_path": ["Benefit/Risk Assessment"], "filename": "Mock_CSR_Protocol.docx"}]</t>
  </si>
  <si>
    <t>doc::7cd3e10f:layout::2:para::53::ph::0</t>
  </si>
  <si>
    <t>&lt;Sampling Collection and Processing&gt;</t>
  </si>
  <si>
    <t>Retrieve information specifically about the procedures for collecting and processing samples, including PK and biomarker details.</t>
  </si>
  <si>
    <t>Resolve the placeholder 'Sampling Collection and Processing' using context paragraphs related to sample collection and processing, ensuring the output reflects the procedural details and references positional identifiers like the Schedule of Activities and Trial Master File.</t>
  </si>
  <si>
    <t>&lt;p&gt;Blood samples for pharmacokinetics (PK) and biomarkers will be collected by venipuncture or cannulation at the times indicated in the Schedule of Activities (SoA). Up to three additional blood samples may be taken from each participant per treatment period. Any changes to the scheduled times of PK assessments will be agreed upon with the Sponsor and documented in the Trial Master File (TMF). Procedures for collection, processing, and shipping of PK blood samples will be detailed in a separate document.&lt;/p&gt;</t>
  </si>
  <si>
    <t>[{"id": "doc::4877313e:layout::28:para::10", "content": "Procedures for collection, processing, and shipping of PK blood samples will be detailed in a separate document.", "index": "section@para", "score": 6.0, "type": "PWR_USED", "heading_path": ["Pharmacokinetic Assessments", "Sample Collection and Processing"], "filename": "Mock_CSR_Protocol.docx"}, {"id": "doc::4877313e:layout::28:para::8", "content": "Sample Collection and Processing\n\n&lt;p style=\"margin-top: 6.35pt\"&gt;&lt;span style=\"font-size: 12pt\" class=\"Default Paragraph Font color:000000\"&gt;Blood samples for PK and biomarkers will be collected by venipuncture or cannulation at the times indicated in the SoA (&lt;/span&gt;&lt;span style=\"font-size: 12pt\" class=\"Default Paragraph Font color:0000FF\"&gt;Section 1.3&lt;/span&gt;&lt;span style=\"font-size: 12pt\" class=\"Default Paragraph Font color:000000\"&gt;)&lt;/span&gt;&lt;span style=\"font-size: 12pt\" class=\"Default Paragraph Font color:0000FF\"&gt;. &lt;/span&gt;&lt;span style=\"font-size: 12pt\" class=\"Default Paragraph Font color:000000\"&gt;Furthermore, up to 3 additional blood samples may be taken from each participant per treatment period. Any changes to the scheduled times of PK assessments will be agreed with the Sponsor and documented in the Trial Master File (TMF).&lt;/span&gt;&lt;/p&gt;\n\n&lt;p style=\"margin-top: 5.65pt\"&gt;&lt;span style=\"font-size: 12pt\" class=\"Default Paragraph Font color:000000\"&gt;Procedures for collection, processing, and shipping of PK blood samples will be detailed in a separate document.&lt;/span&gt;&lt;/p&gt;", "index": "section@para", "score": 6.0, "type": "PWR_USED", "heading_path": ["Pharmacokinetic Assessments"],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"doc::4877313e:layout::57:para::8", "content": "Laboratory tests to be collected include: ALT, AST, total bilirubin, direct and indirect bilirubin, alkaline phosphatase, gamma glutamyltransferase, creatine phosphokinase, international normalized ratio, and serum PK sample. A liver ultrasound should be performed, and collection of blood for acetaminophen toxicity and viral causes of hepatitis should be collected if appropriate.", "index": "section@para", "score": 4.0, "type": "PWR_DROP", "heading_path": ["Appendix 6: Liver Safety: Suggested Actions and Follow-up Assessments"],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"doc::4877313e:layout::26:para::12", "content": "If a participant withdraws from the study, he/she may request destruction of any samples taken and not tested, and the Investigator must document this in the site study records.", "index": "section@para", "score": 2.0,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"PWR_DROP", "heading_path": ["Pharmacodynamic Assessments", "Exploratory Biomarkers"], "filename": "Mock_CSR_Protocol.docx"}]</t>
  </si>
  <si>
    <t>doc::7cd3e10f:layout::2:para::56::ph::0</t>
  </si>
  <si>
    <t>&lt;Analytical Methodology&gt;</t>
  </si>
  <si>
    <t>Retrieve information specific to the analytical methodology, particularly details about the determination of serum concentrations of ABC-123.</t>
  </si>
  <si>
    <t>Embed the analytical methodology details, specifically the validated procedures for determining serum concentrations of ABC-123, as described in the authoritative context paragraphs.</t>
  </si>
  <si>
    <t>&lt;p&gt;Serum concentrations of ABC-123 will be determined using validated analytical procedures. Specifics of the analytical methods will be provided in separate documents.&lt;/p&gt;</t>
  </si>
  <si>
    <t>[{"id": "doc::4877313e:layout::28:para::11", "content": "Analytical Methodology\n\n&lt;p style=\"margin-top: 6.35pt\"&gt;&lt;span style=\"font-size: 12pt\" class=\"Default Paragraph Font color:000000\"&gt;Serum concentrations of ABC-123 will be determined using validated analytical procedures. Specifics of the analytical methods will be provided in separate documents.&lt;/span&gt;&lt;/p&gt;", "index": "section@para", "score": 4.0, "type": "PWR_USED", "heading_path": ["Pharmacokinetic Assessments"], "filename": "Mock_CSR_Protocol.docx"}, {"id": "doc::4877313e:layout::28:para::12", "content": "Serum concentrations of ABC-123 will be determined using validated analytical procedures. Specifics of the analytical methods will be provided in separate documents.", "index": "section@para", "score": 2.0, "type": "PWR_USED", "heading_path": ["Pharmacokinetic Assessments", "Analytical Methodology"],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"PWR_DROP", "heading_path": ["Statistical Analyses", "Safety Analysis"], "filename": "Mock_CSR_Protocol.docx"}, {"id": "doc::4877313e:layout::38:para::1", "content":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"index": "section@para", "score": 2.0, "type": "PWR_DROP", "heading_path": ["Appendix 1: Regulatory, Ethical, and Study Oversight Considerations", "Data Quality Assurance"], "filename": "Mock_CSR_Protocol.docx"}, {"id": "doc::4877313e:layout::46:para::1", "content":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"index": "section@para", "score": 2.0, "type": "PWR_DROP", "heading_path": ["Appendix 1: Regulatory, Ethical, and Study Oversight Considerations", "Data Quality Assurance"], "filename": "Mock_CSR_Protocol.docx"}, {"id": "doc::72df3a00:layout::11:para::0", "content": "STATISTICAL METHODOLOGY\n\n&lt;p style=\"margin-top: 6.2pt\"&gt;&lt;span class=\"Default Paragraph Font font:Times New Roman\"&gt;All parameters will be presented by treatment group and visit using summary statistics. Additional statistical analyses are specified below.&lt;/span&gt;&lt;/p&gt;", "index": "section@para", "score": 2.0, "type": "PWR_DROP", "heading_path": [], "filename": "Mock SAP _03Jun2026.docx"}, {"id": "doc::72df3a00:layout::7:para::0", "content": "STATISTICAL AND ANALYTICAL PLANS", "index": "section@para", "score": 2.0, "type": "PWR_DROP", "heading_path": [], "filename": "Mock SAP _03Jun2026.docx"}]</t>
  </si>
  <si>
    <t>doc::7cd3e10f:layout::2:para::58::ph::0</t>
  </si>
  <si>
    <t>&lt;Pharmacodynamic Assessments&gt;</t>
  </si>
  <si>
    <t>Retrieve detailed descriptions of pharmacodynamic assessments, including biomarker analysis methods and observed effects of ABC-123 on metabolic parameters.</t>
  </si>
  <si>
    <t>Summarize the pharmacodynamic assessments, emphasizing the collection of biomarker samples, observed metabolic changes, and therapeutic implications of ABC-123. Ensure the summary reflects the specific findings and context provided, particularly the effects on Boneitis patients and healthy volunteers.</t>
  </si>
  <si>
    <t>&lt;p&gt;The pharmacodynamic assessments conducted in the study aim to evaluate the effects of ABC-123 on biomarkers and metabolic parameters. Biomarker samples, including whole blood, serum, and plasma, will be collected from participants to monitor baseline and post-treatment responses, inform dose selection, and potentially characterize the mechanism of action of ABC-123. Analysis results have shown that ABC-123 influences glucose and lipid metabolism, with notable biomarker changes observed in healthy volunteers and Boneitis patients. These include reductions in fasting glucose, insulin, leptin, and C-peptide levels, alongside increases in adiponectin, with more pronounced effects in Boneitis patients. These findings support the therapeutic potential of ABC-123 in addressing metabolic dysfunctions associated with Boneitis.&lt;/p&gt;</t>
  </si>
  <si>
    <t>[{"id": "doc::4877313e:layout::28:para::13", "content": "Pharmacodynamic Assessments\n\n&lt;p style=\"margin-top: 6.15pt\"&gt;&lt;span style=\"font-size: 12pt\" class=\"Default Paragraph Font color:000000\"&gt;This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designee.&lt;/span&gt;&lt;/p&gt;", "index": "section@para", "score": 4.0, "type": "PWR_USED", "heading_path": [], "filename": "Mock_CSR_Protocol.docx"}, {"id": "doc::fd2ccc75:layout::0:para::19", "content": "To explore effects of ABC-123 on clinical laboratory assessments, 12-lead ECG, and vital signs following single ascending doses", "index": "section@para", "score": 2.0, "type": "CNM_ADD", "heading_path": ["1. Study Objective"], "filename": "Mock_CSR Key messages_with_heading.docx"}, {"id": "doc::fd2ccc75:layout::0:para::20", "content": "To explore effects of ABC-123 on clinical laboratory assessments, 12-lead ECG, and vital signs following repeated doses", "index": "section@para", "score": 2.0, "type": "CNM_ADD", "heading_path": ["1. Study Objective"], "filename": "Mock_CSR Key messages_with_heading.docx"}, {"id": "doc::fd2ccc75:layout::0:para::60", "content": "Pharmacodynamics:", "index": "section@para", "score": 2.0, "type": "CNM_ADD", "heading_path": ["4. Key Results"], "filename": "Mock_CSR Key messages_with_heading.docx"}, {"id": "doc::fd2ccc75:layout::0:para::62", "content": "ABC-123 demonstrates clear pharmacodynamic activity related to glucose and lipid metabolism.", "index": "section@para", "score": 2.0, "type": "CNM_ADD",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"PWR_USED", "heading_path": ["4. Key Results"],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2.0, "type": "PWR_USED", "heading_path": ["5. Interpretation &amp; Conclusion"],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2.0, "type": "CNM_ADD", "heading_path": ["5. Interpretation &amp; Conclusion"], "filename": "Mock_CSR Key messages_with_heading.docx"},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t>
  </si>
  <si>
    <t>doc::7cd3e10f:layout::2:para::60::ph::0</t>
  </si>
  <si>
    <t>&lt;Exploratory Biomarkers&gt;</t>
  </si>
  <si>
    <t>Retrieve details specifically about exploratory biomarkers, including sampling methods, timing adjustments, and documentation processes.</t>
  </si>
  <si>
    <t>Summarize the information related to exploratory biomarker assessments, including timing adjustments and documentation, using the context from paragraphs doc::4877313e:layout::28:para::15 and doc::4877313e:layout::28:para::16.</t>
  </si>
  <si>
    <t>&lt;p&gt;Blood sampling will be conducted for analysis of exploratory pharmacodynamic (PD) and safety biomarkers. The timings of all PD assessments to be performed during the study are indicated in the Schedule of Assessments (SoA) and may be subject to change based on the ongoing review of the data. Furthermore, up to three additional blood samples may be taken from each participant per treatment period, where applicable. Any changes to the scheduled times of PD assessments will be agreed upon with the Sponsor and documented in the Trial Master File (TMF).&lt;/p&gt;</t>
  </si>
  <si>
    <t>[{"id": "doc::fd2ccc75:layout::0:para::18", "content": "To characterize dose-related changes in exploratory PD and safety biomarkers following single or multiple doses of ABC-123", "index": "section@para", "score": 4.0, "type": "PWR_DROP", "heading_path": ["1. Study Objective"], "filename": "Mock_CSR Key messages_with_heading.docx"}, {"id": "doc::fd2ccc75:layout::0:para::35", "content": "To characterize the change from baseline in exploratory PD biomarker concentrations at specified post-dose time points.", "index": "section@para", "score": 4.0, "type": "PWR_DROP", "heading_path": ["3. Key Endpoints"], "filename": "Mock_CSR Key messages_with_heading.docx"}, {"id": "doc::fd2ccc75:layout::0:para::36", "content": "To characterize the change from baseline in exploratory safety biomarker values (e.g., troponin, CRP, etc.) at specified post-dose time points.", "index": "section@para", "score": 4.0, "type": "PWR_DROP", "heading_path": ["3. Key Endpoints"],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4.0, "type": "PWR_DROP", "heading_path": ["5. Interpretation &amp; Conclusion"], "filename": "Mock_CSR Key messages_with_heading.docx"},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"PWR_DROP", "heading_path": ["Measures to Minimize Bias: Randomization and Blinding"], "filename": "Mock_CSR_Protocol.docx"}, {"id": "doc::4877313e:layout::28:para::15", "content": "Exploratory Biomarkers\n\n&lt;p style=\"margin-top: 6.35pt\"&gt;&lt;span style=\"font-size: 12pt\" class=\"Default Paragraph Font color:000000\"&gt;Blood sampling will be conducted for analysis of exploratory PD and safety biomarkers. The timings of all PD assessments to be performed during the study are indicated in the SoA (&lt;/span&gt;&lt;span style=\"font-size: 12pt\" class=\"Default Paragraph Font color:0000FF\"&gt;S&lt;/span&gt;&lt;span style=\"font-size: 12pt\" class=\"Default Paragraph Font color:000000\"&gt;)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TMF.&lt;/span&gt;&lt;/p&gt;", "index": "section@para", "score": 4.0, "type": "PWR_USED",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"PWR_USED", "heading_path": ["Pharmacodynamic Assessments", "Exploratory Biomarkers"], "filename": "Mock_CSR_Protocol.docx"}, {"id": "doc::72df3a00:layout::19:para::4", "content": "The future exploratory analyses of biomarkers and ABC-123 metabolites will not be included in the SAP, may be analysed in the future.", "index": "section@para", "score": 4.0, "type": "PWR_DROP", "heading_path": ["CHANGES FROM THE CSP"], "filename": "Mock SAP _03Jun2026.docx"}, {"id": "doc::fd2ccc75:layout::0:para::15", "content": "The exploratory objective of this study:",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t>
  </si>
  <si>
    <t>doc::7cd3e10f:layout::2:para::62::ph::0</t>
  </si>
  <si>
    <t>&lt;Immunogenicity Assessment&gt;</t>
  </si>
  <si>
    <t>Retrieve detailed information about immunogenicity assessments related to ABC-123, particularly focusing on serum sample collection, antibody screening, and storage protocols.</t>
  </si>
  <si>
    <t>Resolve 'Immunogenicity Assessment' placeholder by summarizing serum sample collection methods, antibody testing procedures, and storage protocols as described under the heading 'Immunogenicity Assessments' in the context provided.</t>
  </si>
  <si>
    <t>&lt;p&gt;Antibodies to ABC-123 will be evaluated in serum samples collected from all participants according to the Schedule of Assessments (SoA). Serum samples will also be collected at the final visit from participants who discontinued study intervention or were withdrawn from the study, and these samples will be tested by the Sponsor or Sponsor's designee. Serum samples will be screened for antibodies binding to ABC-123, with the titer of confirmed positive samples reported. Additional analyses may verify the stability of antibodies to ABC-123 or further characterize its immunogenicity. Detection and characterization of antibodies will be performed using a validated assay method, potentially including evaluations of neutralizing activity. Samples may be stored for at least three years following the last participant's last visit to enable further analysis.&lt;/p&gt;</t>
  </si>
  <si>
    <t>[{"id": "doc::4877313e:layout::28:para::17", "content": "Immunogenicity Assessments\n\n&lt;p style=\"margin-top: 6.15pt\"&gt;&lt;span style=\"font-size: 12pt\" class=\"Default Paragraph Font color:000000\"&gt;Antibodies to ABC-123 will be evaluated in serum samples collected from all participants according to the SoA (&lt;/span&gt;&lt;span style=\"font-size: 12pt\" class=\"Default Paragraph Font color:0000FF\"&gt;Section 1.3&lt;/span&gt;&lt;span style=\"font-size: 12pt\" class=\"Default Paragraph Font color:000000\"&gt;). Additionally, serum samples should also be collected at the final visit from participants who discontinued study intervention or were withdrawn from the study. These samples will be tested by the Sponsor or Sponsor&amp;#x27;s designee.&lt;/span&gt;&lt;/p&gt;\n\n&lt;p style=\"margin-top: 5.85pt\"&gt;&lt;span style=\"font-size: 12pt\" class=\"Default Paragraph Font color:000000\"&gt;Serum samples will be screened for antibodies binding to ABC-123, and the titer of confirmed positive samples will be reported. Other analyses may be performed to verify the stability of antibodies to ABC-123 and/or further characterize the immunogenicity of ABC-123.&lt;/span&gt;&lt;/p&gt;\n\n&lt;p style=\"margin-top: 5.8pt\"&gt;&lt;span style=\"font-size: 12pt\" class=\"Default Paragraph Font color:000000\"&gt;The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ABC-123.&lt;/span&gt;&lt;/p&gt;", "index": "section@para", "score": 4.0, "type": "PWR_USED", "heading_path": [],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2.0, "type": "PWR_DROP", "heading_path": ["Benefit/Risk Assessment"], "filename": "Mock_CSR_Protocol.docx"}, {"id": "doc::4877313e:layout::12:para::25",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2.0, "type": "PWR_DROP", "heading_path": ["Benefit/Risk Assessment"], "filename": "Mock_CSR_Protocol.docx"}, {"id": "doc::4877313e:layout::13:para::2", "content": "Based on the available data and the participant population to be studied, the benefit-risk assessment is favorable for participation in this study.", "index": "section@para", "score": 2.0, "type": "PWR_DROP", "heading_path": ["Benefit/Risk Assessment", "Overall Benefit: Risk Conclusion"], "filename": "Mock_CSR_Protocol.docx"}, {"id":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"PWR_DROP", "heading_path": ["Overall Design", "Single Ascending Dose"], "filename": "Mock_CSR_Protocol.docx"}]</t>
  </si>
  <si>
    <t>doc::7cd3e10f:layout::2:para::64::ph::0</t>
  </si>
  <si>
    <t>&lt;Pharmacogenomics&gt;</t>
  </si>
  <si>
    <t>Retrieve context related to pharmacogenomics, genetic analysis, and associated procedures described in clinical studies.</t>
  </si>
  <si>
    <t>Integrate the detailed description of pharmacogenomics from the context, including its application, confidentiality measures, and storage conditions, ensuring the output aligns with the placeholder's positional identifier 'Pharmacogenomics'.</t>
  </si>
  <si>
    <t>&lt;p&gt;Where local laws and regulations allow, a blood sample will be collected for genetic analysis as outlined in the Schedule of Activities (SoA) and described under the main Informed Consent Form (ICF). This sample may be used to investigate the impact of genetic variation on the safety, efficacy, absorption, distribution, metabolism, and excretion (ADME) of ABC-123 and similar therapies. Additionally, it aims to further the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To ensure participant confidentiality, samples will be coded and identified by a participant identification number, stored in a secure location chosen by the Sponsor, and kept for a maximum of 30 years, until they are exhausted, or until the Sponsor requests their destruction, whichever occurs sooner.&lt;/p&gt;</t>
  </si>
  <si>
    <t>[{"id": "doc::4877313e:layout::28:para::21", "content": "Pharmacogenomics\n\n&lt;p style=\"margin-top: 6.2pt\"&gt;&lt;span style=\"font-size: 12pt\" class=\"Default Paragraph Font color:000000\"&gt;Where local laws and regulations allow, a blood sample will be collected for genetic analysis, as outlined in the SoA () and described under the main ICF.&lt;/span&gt;&lt;/p&gt;\n\n&lt;p style=\"margin-top: 5.35pt\"&gt;&lt;span style=\"font-size: 12pt\" class=\"Default Paragraph Font color:000000\"&gt;This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Investigator.&lt;/span&gt;&lt;/p&gt;\n\n&lt;p style=\"margin-top: 5.7pt\"&gt;&lt;span style=\"font-size: 12pt\" class=\"Default Paragraph Font color:000000\"&gt;To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sooner.&lt;/span&gt;&lt;/p&gt;", "index": "section@para", "score": 2.0, "type": "PWR_USED", "heading_path": [], "filename": "Mock_CSR_Protocol.docx"}]</t>
  </si>
  <si>
    <t>doc::7cd3e10f:layout::2:para::66::ph::0</t>
  </si>
  <si>
    <t>&lt;Safety Assessments&gt;</t>
  </si>
  <si>
    <t>Retrieve documents elaborating on safety assessment protocols, including pre-dose and post-dose procedures, as well as timing and eCRF recording requirements.</t>
  </si>
  <si>
    <t>Summarize the safety assessment procedures, ensuring inclusion of timing details and sequence of pre-dose and post-dose activities as described in the context.</t>
  </si>
  <si>
    <t>&lt;p&gt;Safety assessments will be conducted at planned time points as outlined in the Schedule of Activities (SoA). These assessments include procedures such as ECG, vital signs monitoring, blood sampling, and other necessary evaluations, both pre-dose and post-dose. Efforts will be made to perform these procedures as close to the nominal times as possible, with actual times recorded in the electronic case report form (eCRF).&lt;/p&gt;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</si>
  <si>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4.0,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"doc::4877313e:layout::28:para::25", "content": "Safety Assessments\n\n&lt;p style=\"margin-top: 6.4pt\"&gt;&lt;span style=\"font-size: 12pt\" class=\"Default Paragraph Font color:000000\"&gt;Planned time points for all safety assessments are provided in the SoA.&lt;/span&gt;&lt;/p&gt;\n\n&lt;p style=\"margin-top: 5.9pt\"&gt;&lt;span style=\"font-size: 12pt\" class=\"Default Paragraph Font color:000000\"&gt;Every effort will be made to schedule and perform the procedures as closely as possible to the nominal time, considering appropriate conditions, practical restrictions, and the other procedures to be performed at the same time point. Actual times are to be recorded in the eCRF.&lt;/span&gt;&lt;/p&gt;\n\n&lt;p style=\"margin-top: 11.35pt\"&gt;&lt;span style=\"font-size: 12pt\" class=\"Default Paragraph Font color:000000\"&gt;The suggested order of assessments of pre-dose procedures is as follows:&lt;/span&gt;&lt;/p&gt;\n\n&lt;p style=\"margin-top: 5.9pt\"&gt;&lt;span style=\"font-size: 12pt\" class=\"Default Paragraph Font color:000000\"&gt;ECG&lt;/span&gt;&lt;/p&gt;\n\n&lt;p style=\"margin-top: 5.95pt\"&gt;&lt;span style=\"font-size: 12pt\" class=\"Default Paragraph Font color:000000\"&gt;Vital signs&lt;/span&gt;&lt;/p&gt;\n\n&lt;p style=\"margin-top: 5.95pt\"&gt;&lt;span style=\"font-size: 12pt\" class=\"Default Paragraph Font color:000000\"&gt;Blood samples&lt;/span&gt;&lt;/p&gt;\n\n&lt;p style=\"margin-top: 5.95pt\"&gt;&lt;span style=\"font-size: 12pt\" class=\"Default Paragraph Font color:000000\"&gt;Any other procedures&lt;/span&gt;&lt;/p&gt;\n\n&lt;p style=\"margin-top: 5.95pt\"&gt;&lt;span style=\"font-size: 12pt\" class=\"Default Paragraph Font color:000000\"&gt;Dosing&lt;/span&gt;&lt;/p&gt;\n\n&lt;p style=\"margin-top: 6.35pt\"&gt;&lt;span style=\"font-size: 12pt\" class=\"Default Paragraph Font color:000000\"&gt;The suggested order of assessments of post-dose procedures is as follows:&lt;/span&gt;&lt;/p&gt;\n\n&lt;p style=\"margin-top: 5.95pt\"&gt;&lt;span style=\"font-size: 12pt\" class=\"Default Paragraph Font color:000000\"&gt;ECG&lt;/span&gt;&lt;/p&gt;\n\n&lt;p style=\"margin-top: 5.95pt\"&gt;&lt;span style=\"font-size: 12pt\" class=\"Default Paragraph Font color:000000\"&gt;Vital signs&lt;/span&gt;&lt;/p&gt;\n\n&lt;p style=\"margin-top: 4.5pt\"&gt;&lt;span style=\"font-size: 12pt\" class=\"Default Paragraph Font color:000000\"&gt;Any other procedures&lt;/span&gt;&lt;/p&gt;", "index": "section@para", "score": 4.0, "type": "PWR_USED", "heading_path": [], "filename": "Mock_CSR_Protocol.docx"}, {"id": "doc::4877313e:layout::28:para::26", "content": "Planned time points for all safety assessments are provided in the SoA.", "index": "section@para", "score": 4.0, "type": "PWR_DROP", "heading_path": ["Safety Assessments"], "filename": "Mock_CSR_Protocol.docx"}, {"id": "doc::4877313e:layout::29:para::19", "content": "Clinical Safety Laboratory Assessments\n\n&lt;p style=\"margin-top: 6pt\"&gt;&lt;span style=\"font-size: 12pt\" class=\"Default Paragraph Font color:000000\"&gt;See &lt;/span&gt;&lt;span style=\"font-size: 12pt\" class=\"Default Paragraph Font color:0000FF\"&gt;S&lt;/span&gt;&lt;span style=\"font-size: 12pt\" class=\"Default Paragraph Font color:000000\"&gt;) for the list of clinical laboratory tests to be performed and the SoA for the timing and frequency.&lt;/span&gt;&lt;/p&gt;\n\n&lt;p style=\"margin-top: 5.7pt\"&gt;&lt;span style=\"font-size: 12pt\" class=\"Default Paragraph Font color:000000\"&gt;The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condition.&lt;/span&gt;&lt;/p&gt;\n\n&lt;p style=\"margin-top: 5.1pt\"&gt;&lt;span style=\"font-size: 12pt\" class=\"Default Paragraph Font color:000000\"&gt;All laboratory tests with values considered clinically significantly abnormal during participation in the study or within 10 weeks after the last dose of study intervention should be repeated until the values return to normal or baseline or are no longer considered clinically significant by the Investigator or Medical Monitor.&lt;/span&gt;&lt;/p&gt;\n\n&lt;p style=\"margin-top: 5.45pt\"&gt;&lt;span style=\"font-size: 12pt\" class=\"Default Paragraph Font color:000000\"&gt;If such values do not return to normal/baseline within a period of time judged reasonable by the Investigator, the etiology should be identified, and the Sponsor notified.&lt;/span&gt;&lt;/p&gt;\n\n&lt;p style=\"margin-top: 5.55pt\"&gt;&lt;span style=\"font-size: 12pt\" class=\"Default Paragraph Font color:000000\"&gt;All protocol-required laboratory assessments, as defined in Section &lt;/span&gt;&lt;span style=\"font-size: 12pt\" class=\"Default Paragraph Font color:0000FF\"&gt; &lt;/span&gt;&lt;span style=\"font-size: 12pt\" class=\"Default Paragraph Font color:000000\"&gt;(Appendix 2), must be conducted in accordance with the SoA and any applicable Laboratory or Procedures Manual SoA.&lt;/span&gt;&lt;/p&gt;", "index": "section@para", "score": 4.0, "type": "PWR_DROP", "heading_path": ["Safety Assessments"], "filename": "Mock_CSR_Protocol.docx"}, {"id": "doc::4877313e:layout::33:para::6",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4.0, "type": "PWR_DROP", "heading_path": ["Sample Size Determination"], "filename": "Mock_CSR_Protocol.docx"}, {"id": "doc::4877313e:layout::57:para::4", "content": "Appendix 6: Liver Safety: Suggested Actions and Follow-up Assessments\n\n&lt;p style=\"margin-top: 6.15pt\"&gt;&lt;span style=\"font-size: 12pt\" class=\"Default Paragraph Font color:000000\"&gt;Elevations of liver enzymes (eg, alanine aminotransferase [ALT] and aspartate aminotransferase [AST]) may be related to hepatic and extrahepatic causes and may be an indicator of drug- induced liver injury. In evaluating cases of potential hepatic injury, other contributing factors capable of causing the observed laboratory abnormalities should be considered. These include viral hepatitis A, B, C, cytomegalovirus, or Epstein-Barr virus, muscle injury, alcohol use, nonalcoholic steatohepatitis, cholecystitis, other drugs (eg, acetaminophen).&lt;/span&gt;&lt;/p&gt;\n\n&lt;p style=\"margin-top: 5.55pt\"&gt;&lt;span style=\"font-size: 12pt\" class=\"Default Paragraph Font color:000000\"&gt;Testing for hepatic injury through monitoring liver enzymes will be conducted per the SoA ().&lt;/span&gt;&lt;/p&gt;\n\n&lt;p style=\"margin-top: 5.65pt\"&gt;&lt;span style=\"font-size: 12pt\" class=\"Default Paragraph Font color:000000\"&gt;Participants with elevations in liver enzymes (ALT and/or AST) of &amp;gt;3 \u00d7 upper limit of normal (ULN) should return to the clinical site within 72 hours to repeat liver chemistries, and to conduct a detailed history (including recent alcohol, acetaminophen, drug-use, recent travel, contact with sick individuals, etc.) and physical examination. Participants should be followed until resolution of the event or return to baseline state.&lt;/span&gt;&lt;/p&gt;\n\n&lt;p style=\"margin-top: 5.5pt\"&gt;&lt;span style=\"font-size: 12pt\" class=\"Default Paragraph Font color:000000\"&gt;Laboratory tests to be collected include: ALT, AST, total bilirubin, direct and indirect bilirubin, alkaline phosphatase, gamma glutamyltransferase, creatine phosphokinase, international normalized ratio, and serum PK sample. A liver ultrasound should be performed, and collection of blood for acetaminophen toxicity and viral causes of hepatitis should be collected if appropriate.&lt;/span&gt;&lt;/p&gt;", "index": "section@para", "score": 4.0, "type": "PWR_DROP", "heading_path": [], "filename": "Mock_CSR_Protocol.docx"},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t>
  </si>
  <si>
    <t>doc::7cd3e10f:layout::2:para::68::ph::0</t>
  </si>
  <si>
    <t>&lt;Appropriateness of Measurements&gt;</t>
  </si>
  <si>
    <t>Retrieve details about safety measurements and monitoring protocols from the study documentation.</t>
  </si>
  <si>
    <t>Summarize the appropriateness of safety measurements by referencing detailed procedures from the context, including vital signs, ECG, laboratory tests, and adverse event monitoring.</t>
  </si>
  <si>
    <t>Safety measurements, including 12-lead ECG; vital sign monitoring (blood pressure, pulse rate, respiratory rate, and body temperature); clinical laboratory tests (chemistry, hematology, lipid profile, cytokine assessments); physical examinations; mental health assessments; and other metrics, will be obtained at specific time points per the SoA. Adverse events and concomitant medication use will be monitored throughout the study.</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</si>
  <si>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"PWR_USED",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2.0, "type": "PWR_DROP", "heading_path": ["Inclusion Criteria"], "filename": "Mock_CSR_Protocol.docx"}, {"id": "doc::4877313e:layout::18:para::21", "content": "Findings that would make corrected QT (QTc) measurements difficult or QTc data uninterpretable.", "index": "section@para", "score": 2.0, "type": "PWR_DROP", "heading_path": ["Exclusion Criteria"], "filename": "Mock_CSR_Protocol.docx"}, {"id": "doc::4877313e:layout::29:para::7", "content": "Blood pressure and pulse measurements will be assessed while the participant is supine.", "index": "section@para", "score": 2.0, "type": "PWR_DROP", "heading_path": ["Safety Assessments", "Vital Signs"], "filename": "Mock_CSR_Protocol.docx"}, {"id": "doc::4877313e:layout::29:para::8", "content": "Blood pressure and pulse measurements should be preceded by at least 5 minutes of rest for the participant in a quiet setting without distractions (eg, television, cell phones).", "index": "section@para", "score": 2.0, "type": "PWR_DROP", "heading_path": ["Safety Assessments", "Vital Signs"], "filename": "Mock_CSR_Protocol.docx"}, {"id": "doc::4877313e:layout::29:para::9", "content": "Vital signs will consist of 1 pulse and 1 blood pressure measurement; vital sign measurements may be repeated at the discretion of the Investigator.", "index": "section@para", "score": 2.0, "type": "PWR_DROP", "heading_path": ["Safety Assessments", "Vital Signs"], "filename": "Mock_CSR_Protocol.docx"}, {"id": "doc::4877313e:layout::53:para::15",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"PWR_DROP", "heading_path": ["Appendix 5: Contraceptive Guidance and Collection of Pregnancy Information", "Women in the following categories are not considered WOCBP"], "filename": "Mock_CSR_Protocol.docx"}, {"id": "doc::4877313e:layout::55:para::15",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"PWR_DROP", "heading_path": ["Appendix 5: Contraceptive Guidance and Collection of Pregnancy Information", "Women in the following categories are not considered WOCBP"], "filename": "Mock_CSR_Protocol.docx"}, {"id": "doc::72df3a00:layout::68:para::2", "content": "Listing 16.2.6.5. Serious adverse events, seriousness criteria (Full analysis set) Listing 16.2.7. ECG measurements (Full analysis set)", "index": "section@para", "score": 2.0, "type": "PWR_DROP", "heading_path": ["STATISTICAL OUTPUT LAUOUT", "Tables"], "filename": "Mock SAP _03Jun2026.docx"}]</t>
  </si>
  <si>
    <t>doc::7cd3e10f:layout::2:para::70::ph::0</t>
  </si>
  <si>
    <t>&lt;Data Quality Assurance&gt;</t>
  </si>
  <si>
    <t>Retrieve detailed descriptions of data quality assurance processes, including responsibilities, monitoring strategies, and record retention requirements.</t>
  </si>
  <si>
    <t>Summarize and synthesize the comprehensive steps and responsibilities for data quality assurance as outlined in the context, ensuring the output reflects the positional context of the placeholder titled 'Data Quality Assurance'.</t>
  </si>
  <si>
    <t>&lt;p&gt;The following data quality steps will be implemented: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prior Sponsor approval.&lt;/p&gt;</t>
  </si>
  <si>
    <t>[{"id": "doc::4877313e:layout::37:para::10", "content": "Data Quality Assurance\n\n&lt;p style=\"margin-top: 6.4pt\"&gt;&lt;span style=\"font-size: 12pt\" class=\"Default Paragraph Font color:000000\"&gt;The following data quality steps will be implemented:&lt;/span&gt;&lt;/p&gt;\n\n&lt;p style=\"margin-top: 5.95pt\"&gt;&lt;span style=\"font-size: 12pt\" class=\"Default Paragraph Font color:000000\"&gt;All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CRF.&lt;/span&gt;&lt;/p&gt;\n\n&lt;p style=\"margin-top: 4.5pt\"&gt;&lt;span style=\"font-size: 12pt\" class=\"Default Paragraph Font color:000000\"&gt;The Investigator must permit study-related monitoring, audits, IRB/IEC review, and regulatory agency inspections and provide direct access to source data documents.&lt;/span&gt;&lt;/p&gt;\n\n&lt;p style=\"margin-top: 5.45pt\"&gt;&lt;span style=\"font-size: 12pt\" class=\"Default Paragraph Font color:000000\"&gt;Monitoring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TMF.&lt;/span&gt;&lt;/p&gt;\n\n&lt;p style=\"margin-top: 5.55pt\"&gt;&lt;span style=\"font-size: 12pt\" class=\"Default Paragraph Font color:000000\"&gt;The Sponsor or designee is responsible for the data management of this study including quality checking of the data.&lt;/span&gt;&lt;/p&gt;\n\n&lt;p style=\"margin-top: 5.45pt\"&gt;&lt;span style=\"font-size: 12pt\" class=\"Default Paragraph Font color:000000\"&gt;The Sponsor will provide oversight for actions delegated to other individuals (eg, CRO).&lt;/span&gt;&lt;/p&gt;\n\n&lt;p style=\"margin-top: 5.75pt\"&gt;&lt;span style=\"font-size: 12pt\" class=\"Default Paragraph Font color:000000\"&gt;Study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requirements.&lt;/span&gt;&lt;/p&gt;\n\n&lt;p style=\"margin-top: 5.1pt\"&gt;&lt;span style=\"font-size: 12pt\" class=\"Default Paragraph Font color:000000\"&gt;Records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Sponsor.&lt;/span&gt;&lt;/p&gt;", "index": "section@para", "score": 6.0, "type": "PWR_USED", "heading_path": ["Appendix 1: Regulatory, Ethical, and Study Oversight Considerations"], "filename": "Mock_CSR_Protocol.docx"}, {"id": "doc::4877313e:layout::45:para::10", "content": "Data Quality Assurance\n\n&lt;p style=\"margin-top: 6.4pt\"&gt;&lt;span style=\"font-size: 12pt\" class=\"Default Paragraph Font color:000000\"&gt;The following data quality steps will be implemented:&lt;/span&gt;&lt;/p&gt;\n\n&lt;p style=\"margin-top: 5.95pt\"&gt;&lt;span style=\"font-size: 12pt\" class=\"Default Paragraph Font color:000000\"&gt;All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CRF.&lt;/span&gt;&lt;/p&gt;\n\n&lt;p style=\"margin-top: 4.5pt\"&gt;&lt;span style=\"font-size: 12pt\" class=\"Default Paragraph Font color:000000\"&gt;The Investigator must permit study-related monitoring, audits, IRB/IEC review, and regulatory agency inspections and provide direct access to source data documents.&lt;/span&gt;&lt;/p&gt;\n\n&lt;p style=\"margin-top: 5.45pt\"&gt;&lt;span style=\"font-size: 12pt\" class=\"Default Paragraph Font color:000000\"&gt;Monitoring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TMF.&lt;/span&gt;&lt;/p&gt;\n\n&lt;p style=\"margin-top: 5.55pt\"&gt;&lt;span style=\"font-size: 12pt\" class=\"Default Paragraph Font color:000000\"&gt;The Sponsor or designee is responsible for the data management of this study including quality checking of the data.&lt;/span&gt;&lt;/p&gt;\n\n&lt;p style=\"margin-top: 5.45pt\"&gt;&lt;span style=\"font-size: 12pt\" class=\"Default Paragraph Font color:000000\"&gt;The Sponsor will provide oversight for actions delegated to other individuals (eg, CRO).&lt;/span&gt;&lt;/p&gt;\n\n&lt;p style=\"margin-top: 5.75pt\"&gt;&lt;span style=\"font-size: 12pt\" class=\"Default Paragraph Font color:000000\"&gt;Study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requirements.&lt;/span&gt;&lt;/p&gt;\n\n&lt;p style=\"margin-top: 5.1pt\"&gt;&lt;span style=\"font-size: 12pt\" class=\"Default Paragraph Font color:000000\"&gt;Records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Sponsor.&lt;/span&gt;&lt;/p&gt;", "index": "section@para", "score": 6.0, "type": "PWR_USED", "heading_path": ["Appendix 1: Regulatory, Ethical, and Study Oversight Considerations"], "filename": "Mock_CSR_Protocol.docx"}, {"id": "doc::4877313e:layout::22:para::16", "content": "In the event of a Quality Assurance audit, the auditor(s) will be allowed access to unblinded study intervention records at the site(s) to verify that randomization/dispensing has been done accurately.", "index": "section@para", "score": 4.0, "type": "PWR_DROP", "heading_path": ["Measures to Minimize Bias: Randomization and Blinding"], "filename": "Mock_CSR_Protocol.docx"}, {"id": "doc::4877313e:layout::37:para::7", "content": "The participant must be informed that his/her medical records may be examined by Clinical Quality Assurance auditors or other authorized personnel appointed by the Sponsor, by appropriate IRB/IEC members, and by inspectors from regulatory authorities.", "index": "section@para", "score": 4.0, "type": "PWR_DROP", "heading_path": ["Appendix 1: Regulatory, Ethical, and Study Oversight Considerations", "Data Protection"], "filename": "Mock_CSR_Protocol.docx"}, {"id": "doc::4877313e:layout::38:para::2", "content": "The Sponsor or designee is responsible for the data management of this study including quality checking of the data.", "index": "section@para", "score": 4.0, "type": "PWR_DROP", "heading_path": ["Appendix 1: Regulatory, Ethical, and Study Oversight Considerations", "Data Quality Assurance"], "filename": "Mock_CSR_Protocol.docx"}, {"id": "doc::4877313e:layout::45:para::7", "content": "The participant must be informed that his/her medical records may be examined by Clinical Quality Assurance auditors or other authorized personnel appointed by the Sponsor, by appropriate IRB/IEC members, and by inspectors from regulatory authorities.", "index": "section@para", "score": 4.0, "type": "PWR_DROP", "heading_path": ["Appendix 1: Regulatory, Ethical, and Study Oversight Considerations", "Data Protection"], "filename": "Mock_CSR_Protocol.docx"}, {"id": "doc::4877313e:layout::46:para::2", "content": "The Sponsor or designee is responsible for the data management of this study including quality checking of the data.", "index": "section@para", "score": 4.0, "type": "PWR_DROP", "heading_path": ["Appendix 1: Regulatory, Ethical, and Study Oversight Considerations", "Data Quality Assurance"], "filename": "Mock_CSR_Protocol.docx"},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"PWR_DROP", "heading_path": ["INTRODUCTION"], "filename": "Mock_CSR_Protocol.docx"}, {"id": "doc::4877313e:layout::23:para::5",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2.0, "type": "PWR_DROP", "heading_path": ["Dose Modification", "Dose Escalation and Stopping Criteria"], "filename": "Mock_CSR_Protocol.docx"}, {"id": "doc::4877313e:layout::35:para::0", "content": "Data Monitoring Committee", "index": "section@para", "score": 2.0, "type": "PWR_DROP", "heading_path": [], "filename": "Mock_CSR_Protocol.docx"}]</t>
  </si>
  <si>
    <t>doc::7cd3e10f:layout::2:para::72::ph::0</t>
  </si>
  <si>
    <t>&lt;Statistical and Analytical Plans&gt;</t>
  </si>
  <si>
    <t>Retrieve detailed descriptions of statistical and analytical methodologies related to pharmacokinetics, pharmacodynamics, and safety data analyses for study ST-4536.</t>
  </si>
  <si>
    <t>Summarize the statistical and analytical plans for study ST-4536, emphasizing methodologies for PD, PK, and safety data, and include the role of exploratory analyses in dose selection and identifying responsive populations.</t>
  </si>
  <si>
    <t>The Statistical Analysis Plan (SAP) for study ST-4536 outlines the statistical methodologies for evaluating pharmacodynamic (PD) parameters, pharmacokinetic (PK) data, and safety outcomes. Descriptive statistics will be used to summarize PD parameters, whereas formal statistical analysis of PD data is not planned. Exploratory analyses will investigate associations between PK and PD using appropriate statistical methods, aiding in future study designs, dose selection, and identifying populations that may benefit from treatment with ABC-123.</t>
  </si>
  <si>
    <t>[{"id": "doc::72df3a00:layout::7:para::0", "content": "STATISTICAL AND ANALYTICAL PLANS", "index": "section@para", "score": 6.0, "type": "PWR_USED", "heading_path": [], "filename": "Mock SAP _03Jun2026.docx"},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"PWR_USED", "heading_path": ["Statistical Analyses", "Pharmacodynamic Analyses"], "filename": "Mock_CSR_Protocol.docx"}, {"id": "doc::72df3a00:layout::0:para::1", "content": "Statistical Analysis Plan (SAP) (Combined SAD and MAD)", "index": "section@para", "score": 4.0, "type": "CNM_ADD", "heading_path": [], "filename": "Mock SAP _03Jun2026.docx"}, {"id": "doc::72df3a00:layout::28:para::24", "content": "SAP\tStatistical Analysis Plan", "index": "section@para", "score": 4.0, "type": "CNM_ADD", "heading_path": ["SUPPORTIVE DOCUMENTATION", "Appendix 1 \u2013 List of Abbreviations"], "filename": "Mock SAP _03Jun2026.docx"}, {"id": "doc::72df3a00:layout::2:para::1", "content": "This Statistical Analysis Plan (SAP) for study ST-4536 is based on the protocol dated 01MAR2023.", "index": "section@para", "score": 4.0, "type": "PWR_USED", "heading_path": ["VERSION HISTORY"],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"PWR_USED", "heading_path": ["INTRODUCTION"],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2.0,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"Repeat-Dose"], "filename": "Mock_CSR_Protocol.docx"}, {"id": "doc::4877313e:layout::17:para::1", "content": "The planned clinical starting dose in healthy volunteers (HVs) is a single dose of 5 mg of ABC-123 administered as an SC injection. The planned maximum dose is 600 mg.", "index": "section@para", "score": 2.0, "type": "PWR_DROP", "heading_path": ["Justification for Dose"], "filename": "Mock_CSR_Protocol.docx"}]</t>
  </si>
  <si>
    <t>doc::7cd3e10f:layout::2:para::75::ph::0</t>
  </si>
  <si>
    <t>&lt;Analysis Population&gt;</t>
  </si>
  <si>
    <t>Retrieve detailed descriptions of analysis populations, including definitions and criteria, from similar studies or documents.</t>
  </si>
  <si>
    <t>Summarize the population definitions from the context, ensuring inclusion of categories like Enrolled, PK, PD, and Safety, and emphasize their role in evaluating study outcomes.</t>
  </si>
  <si>
    <t>&lt;p&gt;The analysis populations defined for the study include the following categories: &lt;strong&gt;Enrolled&lt;/strong&gt;, comprising all participants who signed the informed consent form; &lt;strong&gt;PK&lt;/strong&gt;, including participants who received at least one dose of ABC-123 and have post-baseline concentration data without major protocol deviations; &lt;strong&gt;PD&lt;/strong&gt;, consisting of participants who received at least one dose of study intervention and have at least one pharmacodynamic measurement without major protocol deviations; and &lt;strong&gt;Safety&lt;/strong&gt;, involving participants randomly assigned to the study intervention who received at least one dose, analyzed according to the intervention they actually received. These classifications ensure comprehensive evaluation of study outcomes across different metrics.&lt;/p&gt;</t>
  </si>
  <si>
    <t>[{"id":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"doc::4877313e:layout::33:para::7", "content": "Populations for Analyses\n\n&lt;p style=\"margin-top: 6.4pt\"&gt;&lt;span style=\"font-size: 12pt\" class=\"Default Paragraph Font color:000000\"&gt;The following populations are defined:&lt;/span&gt;&lt;/p&gt;\n\n&lt;table&gt;&lt;tr&gt;&lt;th&gt;&lt;p style=\"margin-top: 3.15pt\"&gt;&lt;span class=\"Default Paragraph Font color:000000\"&gt;&lt;strong&gt;Population&lt;/strong&gt;&lt;/span&gt;&lt;/p&gt;&lt;/th&gt;&lt;th&gt;&lt;p style=\"text-align: center; margin-top: 3.15pt\"&gt;&lt;span class=\"Default Paragraph Font color:000000\"&gt;&lt;strong&gt;Description&lt;/strong&gt;&lt;/span&gt;&lt;/p&gt;&lt;/th&gt;&lt;/tr&gt;&lt;tr&gt;&lt;td&gt;&lt;p style=\"margin-top: 3.15pt\"&gt;&lt;span class=\"Default Paragraph Font color:000000\"&gt;Enrolled&lt;/span&gt;&lt;/p&gt;&lt;/td&gt;&lt;td&gt;&lt;p style=\"margin-top: 3.15pt\"&gt;&lt;span class=\"Default Paragraph Font color:000000\"&gt;All participants who sign the ICF&lt;/span&gt;&lt;/p&gt;&lt;/td&gt;&lt;/tr&gt;&lt;tr&gt;&lt;td&gt;&lt;p style=\"margin-top: 3.15pt\"&gt;&lt;span class=\"Default Paragraph Font color:000000\"&gt;PK&lt;/span&gt;&lt;/p&gt;&lt;/td&gt;&lt;td&gt;&lt;p style=\"margin-top: 2.9pt\"&gt;&lt;span class=\"Default Paragraph Font color:000000\"&gt;All participants who received at least 1 dose of ABC-123 and have concentration data for at least 1 post-baseline time point and no major protocol deviations&lt;/span&gt;&lt;/p&gt;&lt;/td&gt;&lt;/tr&gt;&lt;tr&gt;&lt;td&gt;&lt;p style=\"margin-top: 3.15pt\"&gt;&lt;span class=\"Default Paragraph Font color:000000\"&gt;PD&lt;/span&gt;&lt;/p&gt;&lt;/td&gt;&lt;td&gt;&lt;p style=\"margin-top: 2.9pt\"&gt;&lt;span class=\"Default Paragraph Font color:000000\"&gt;All participants who received at least 1 dose of study intervention (ABC-123 or placebo) and have at least 1 PD measurement and no major protocol deviations&lt;/span&gt;&lt;/p&gt;&lt;/td&gt;&lt;/tr&gt;&lt;tr&gt;&lt;td&gt;&lt;p style=\"margin-top: 3.4pt\"&gt;&lt;span class=\"Default Paragraph Font color:000000\"&gt;Safety&lt;/span&gt;&lt;/p&gt;&lt;/td&gt;&lt;td&gt;&lt;p style=\"margin-top: 3.15pt\"&gt;&lt;span class=\"Default Paragraph Font color:000000\"&gt;All participants randomly assigned to study intervention and who receive at least 1 dose of study intervention. Participants will be analyzed according to the intervention they actually received.&lt;/span&gt;&lt;/p&gt;&lt;/td&gt;&lt;/tr&gt;&lt;/table&gt;\n\n&lt;p&gt;&lt;span style=\"font-size: 9pt\" class=\"Default Paragraph Font\"&gt;Abbreviations: ICF = informed consent form; PD = pharmacodynamic; PK = pharmacokinetic.&lt;/span&gt;&lt;/p&gt;", "index": "section@para", "score": 4.0, "type": "PWR_USED", "heading_path": [],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4.0, "type": "PWR_DROP", "heading_path": ["INTRODUCTION"], "filename": "Mock SAP _03Jun2026.docx"}, {"id": "doc::72df3a00:layout::7:para::10", "content": "The FAS population will be used for all analyses presented in this SAP.", "index": "section@para", "score": 4.0, "type": "PWR_DROP", "heading_path": ["STATISTICAL AND ANALYTICAL PLANS", "Definition of Analysis Sets"], "filename": "Mock SAP _03Jun2026.docx"},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"PWR_DROP", "heading_path": ["4. Key Results"],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2.0, "type": "PWR_DROP", "heading_path": ["5. Interpretation &amp; Conclusion"],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2.0, "type": "PWR_DROP", "heading_path": ["5. Interpretation &amp; Conclusion"], "filename": "Mock_CSR Key messages_with_heading.docx"}, {"id": "doc::ac3b7b0b:layout::0:para::0", "content": "Table 14.1.1: \tSummary of Participant Disposition  (Full Analysis Seta)", "index": "section@para", "score": 2.0, "type": "PWR_DROP", "heading_path": [], "filename": "Mock_CSR _Tables_30Oct25.rtf"}, {"id": "doc::ac3b7b0b:layout::0:para::10", "content": "Table 14.2.2: \tDemographics (Full Analysis Set)", "index": "section@para", "score": 2.0, "type": "PWR_DROP", "heading_path": [], "filename": "Mock_CSR _Tables_30Oct25.rtf"}]</t>
  </si>
  <si>
    <t>doc::7cd3e10f:layout::2:para::77::ph::0</t>
  </si>
  <si>
    <t>&lt;Determination of Sample Size&gt;</t>
  </si>
  <si>
    <t>Retrieve detailed information about sample size determination, including cohort sizes and statistical considerations.</t>
  </si>
  <si>
    <t>Summarize the sample size determination process, including cohort sizes, statistical reasoning, and study objectives, as outlined in the context paragraphs related to the heading 'Sample Size Determination'.</t>
  </si>
  <si>
    <t>&lt;p&gt;Formal statistical calculations for sample size determination were deemed inappropriate for this early development study. Customary cohort sizes were utilized to enable clinical judgment of safety and tolerability, as well as to assess the pharmacokinetic profile. Specifically, for Single Ascending Dose studies, six cohorts of eight participants each were planned, with a maximum enrollment of 56 participants including replacements. For Repeat-dose studies, a single cohort of eight participants was planned, with an allowance for up to 10 participants including replacements. This approach ensures adequate observation of adverse events and provides confidence in the incidence rates, supporting the study objectives.&lt;/p&gt;</t>
  </si>
  <si>
    <t>[{"id": "doc::4877313e:layout::33:para::3", "content": "Sample Size Determination\n\n&lt;p style=\"margin-top: 6.15pt\"&gt;&lt;span style=\"font-size: 12pt; text-decoration: underline\" class=\"Default Paragraph Font color:000000\"&gt;Single Ascending Dose&lt;/span&gt;&lt;span style=\"font-size: 12pt\" class=\"Default Paragraph Font color:000000\"&gt;: 6 cohorts of 8 participants per cohort are planned; however, enrollment of up to 56 participants will be permitted, including replacements.&lt;/span&gt;&lt;/p&gt;\n\n&lt;p style=\"margin-top: 5.7pt\"&gt;&lt;span style=\"font-size: 12pt; text-decoration: underline\" class=\"Default Paragraph Font color:000000\"&gt;Repeat-dose&lt;/span&gt;&lt;span style=\"font-size: 12pt\" class=\"Default Paragraph Font color:000000\"&gt;: 8 participants in a single cohort are planned; however, enrollment of up to 10 participants will be permitted, including replacements.&lt;/span&gt;&lt;/p&gt;\n\n&lt;p style=\"margin-top: 5.4pt\"&gt;&lt;span style=\"font-size: 12pt\" class=\"Default Paragraph Font color:000000\"&gt;For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(32%).&lt;/span&gt;&lt;/p&gt;", "index": "section@para", "score": 6.0, "type": "PWR_USED", "heading_path": [], "filename": "Mock_CSR_Protocol.docx"}, {"id": "doc::72df3a00:layout::7:para::1", "content": "Sample Size Determination\n\n&lt;p style=\"margin-top: 11.9pt\"&gt;&lt;span class=\"Default Paragraph Font font:Times New Roman\"&gt;No formal sample size calculations have been performed for any part in this study. The proposed sample size is considered sufficient to provide adequate information for the study objective.&lt;/span&gt;&lt;/p&gt;", "index": "section@para", "score": 6.0, "type": "PWR_USED", "heading_path": ["STATISTICAL AND ANALYTICAL PLANS"], "filename": "Mock SAP _03Jun2026.docx"}, {"id": "doc::4877313e:layout::33:para::6",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4.0, "type": "PWR_USED", "heading_path": ["Sample Size Determination"], "filename": "Mock_CSR_Protocol.docx"}, {"id": "doc::72df3a00:layout::7:para::2", "content": "No formal sample size calculations have been performed for any part in this study. The proposed sample size is considered sufficient to provide adequate information for the study objective.", "index": "section@para", "score": 4.0, "type": "PWR_USED", "heading_path": ["STATISTICAL AND ANALYTICAL PLANS", "Sample Size Determination"],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"Repeat-Dose"],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"doc::4877313e:layout::26:para::12", "content": "If a participant withdraws from the study, he/she may request destruction of any samples taken and not tested, and the Investigator must document this in the site study records.", "index": "section@para", "score": 2.0, "type": "PWR_DROP", "heading_path": ["Discontinuation of Study Intervention", "Withdrawal of Consent"], "filename": "Mock_CSR_Protocol.docx"}, {"id": "doc::4877313e:layout::28:para::10", "content": "Procedures for collection, processing, and shipping of PK blood samples will be detailed in a separate document.", "index": "section@para", "score": 2.0, "type": "PWR_DROP", "heading_path": ["Pharmacokinetic Assessments", "Sample Collection and Processing"],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"PWR_DROP", "heading_path": ["Pharmacodynamic Assessments"], "filename": "Mock_CSR_Protocol.docx"}]</t>
  </si>
  <si>
    <t>doc::7cd3e10f:layout::2:para::79::ph::0</t>
  </si>
  <si>
    <t>&lt;Details of Statistical Estimations&gt;</t>
  </si>
  <si>
    <t>Focus on retrieving detailed explanations regarding statistical estimations, exploratory analysis, and effect size considerations in clinical studies.</t>
  </si>
  <si>
    <t>Summarize statistical estimation details, including exploratory analysis focus and effect size estimation, referencing the context's emphasis on study design improvement and hypothesis-free analysis.</t>
  </si>
  <si>
    <t>&lt;p&gt;The statistical analyses conducted in the study do not aim to test predefined hypotheses. Instead, these analyses are exploratory in nature, designed to estimate the magnitude of potential effects and to provide insights for future study designs, including dose selection and identification of populations that may benefit from the treatment.&lt;/p&gt;</t>
  </si>
  <si>
    <t>[{"id":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"PWR_USED", "heading_path": ["Statistical Analyses", "Pharmacodynamic Analyses"],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2.0,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"doc::4877313e:layout::25:para::14", "content": "Reasons unrelated to medical condition (provide detail and review AE history with participant)", "index": "section@para", "score": 2.0, "type": "PWR_DROP", "heading_path": ["Discontinuation of Study Intervention", "Individual Participant Discontinuation"], "filename": "Mock_CSR_Protocol.docx"}, {"id": "doc::4877313e:layout::28:para::10", "content": "Procedures for collection, processing, and shipping of PK blood samples will be detailed in a separate document.", "index": "section@para", "score": 2.0, "type": "PWR_DROP", "heading_path": ["Pharmacokinetic Assessments", "Sample Collection and Processing"], "filename": "Mock_CSR_Protocol.docx"}, {"id": "doc::4877313e:layout::28:para::4", "content":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"index": "section@para", "score": 2.0, "type": "PWR_DROP", "heading_path": ["STUDY ASSESSMENTS AND PROCEDURES"], "filename": "Mock_CSR_Protocol.docx"}, {"id": "doc::4877313e:layout::33:para::0", "content": "STATISTICAL CONSIDERATIONS", "index": "section@para", "score": 2.0, "type": "PWR_DROP", "heading_path": [], "filename": "Mock_CSR_Protocol.docx"}, {"id": "doc::4877313e:layout::33:para::1", "content": "Statistical Hypotheses\n\n&lt;p style=\"margin-top: 6.2pt\"&gt;&lt;span style=\"font-size: 12pt\" class=\"Default Paragraph Font color:000000\"&gt;The statistical analyses do not investigate prior hypotheses, but instead, the analyses are a way of highlighting and estimating the size of possible effects.&lt;/span&gt;&lt;/p&gt;", "index": "section@para", "score": 2.0, "type": "PWR_USED", "heading_path": [], "filename": "Mock_CSR_Protocol.docx"}]</t>
  </si>
  <si>
    <t>doc::7cd3e10f:layout::2:para::81::ph::0</t>
  </si>
  <si>
    <t>Retrieve any information related to 'IND Number' or regulatory identifiers, focusing on inline usage.</t>
  </si>
  <si>
    <t>Replace the placeholder '&lt;IND Number&gt;' with the corresponding regulatory identifier from the context, ensuring inline continuity with the text: 'The original protocol was submitted to' and 'in the original submission &lt;Protocol Ide'.</t>
  </si>
  <si>
    <t>IND: 123456</t>
  </si>
  <si>
    <t>[{"id":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"doc::4877313e:layout::0:para::11", "content": "Regulatory Agency Identifier Number(s): IND: 123456", "index": "section@para", "score": 2.0, "type": "PWR_USED", "heading_path": ["TITLE PAGE"], "filename": "Mock_CSR_Protocol.docx"}, {"id": "doc::4877313e:layout::0:para::12", "content": "Amendment Number: 2.0", "index": "section@para", "score": 2.0, "type": "PWR_DROP", "heading_path": ["TITLE PAGE"], "filename": "Mock_CSR_Protocol.docx"}, {"id": "doc::4877313e:layout::0:para::2", "content": "Protocol Number: SKY-2000-101", "index": "section@para", "score": 2.0, "type": "PWR_DROP", "heading_path": ["TITLE PAGE"], "filename": "Mock_CSR_Protocol.docx"}, {"id": "doc::4877313e:layout::28:para::24",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2.0, "type": "PWR_DROP", "heading_path": ["Pharmacogenomics"], "filename": "Mock_CSR_Protocol.docx"}]</t>
  </si>
  <si>
    <t>doc::7cd3e10f:layout::2:para::84::ph::0</t>
  </si>
  <si>
    <t>Retrieve information specifically about protocol identifiers, focusing on SKY-2000-101, and ensure the data fits inline continuity as described.</t>
  </si>
  <si>
    <t>Resolve the placeholder '&lt;Protocol Identification (Code or Number)&gt;' using the protocol number from context, ensuring inline continuity with the neighboring text '&lt;IND Number&gt; in the original submission' and '. The protocol, dated &lt;DD Month YYYY&gt;, r'.</t>
  </si>
  <si>
    <t>[{"id": "doc::4877313e:layout::0:para::2", "content": "Protocol Number: SKY-2000-101", "index": "section@para", "score": 4.0, "type": "PWR_USED", "heading_path": ["TITLE PAGE"], "filename": "Mock_CSR_Protocol.docx"}, {"id": "doc::4877313e:layout::28:para::24",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4.0, "type": "CNM_ADD", "heading_path": ["Pharmacogenomics"], "filename": "Mock_CSR_Protocol.docx"}, {"id": "doc::72df3a00:layout::22:para::0", "content": "Protocol Version No: Final Version 2.0, 01MAR2023 Study Code: ST-4536", "index": "section@para", "score": 4.0, "type": "PWR_DROP", "heading_path": ["SOFTWARE"], "filename": "Mock SAP _03Jun2026.docx"}, {"id": "doc::72df3a00:layout::28:para::1", "content": "Protocol Version No: Final Version 2.0, 01MAR2023 Study Code: ST-4536", "index": "section@para", "score": 4.0, "type": "PWR_DROP", "heading_path": ["SOFTWARE"],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"doc::fd2ccc75:layout::0:para::4", "content": "Protocol No.: SKY-2000-101", "index": "section@para", "score": 2.0, "type": "PWR_USED", "heading_path": ["Study Title:"],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t>
  </si>
  <si>
    <t>doc::7cd3e10f:layout::2:para::84::ph::1</t>
  </si>
  <si>
    <t>&lt;DD Month YYYY&gt;</t>
  </si>
  <si>
    <t>Retrieve information regarding date formats in the context, specifically focusing on 'DD Month YYYY' or similar structures.</t>
  </si>
  <si>
    <t>Replace the placeholder 'DD Month YYYY' with 'DD-MM-YYYY' based on inline continuity where the text before is 'n (Code or Number)&gt;. The protocol, dated' and the text after is ', represents the only version used for t'.</t>
  </si>
  <si>
    <t>DD-MM-YYYY</t>
  </si>
  <si>
    <t>[{"id": "doc::fd2ccc75:layout::0:para::8", "content": "Date: DD MM YYYY", "index": "section@para", "score": 4.0, "type": "PWR_USED", "heading_path": ["Study Title:"], "filename": "Mock_CSR Key messages_with_heading.docx"}, {"id": "doc::72df3a00:layout::24:para::1", "content": "Date (dd-Mmm-yyyy)", "index": "section@para", "score": 4.0, "type": "PWR_USED", "heading_path": ["SOFTWARE"], "filename": "Mock SAP _03Jun2026.docx"}, {"id": "doc::72df3a00:layout::26:para::3", "content": "Date (dd-Mmm-yyyy)", "index": "section@para", "score": 4.0, "type": "PWR_USED", "heading_path": ["SOFTWARE"], "filename": "Mock SAP _03Jun2026.docx"}, {"id": "doc::4877313e:layout::18:para::10", "content": "Male participants will agree to use contraception while on study intervention and for at least 6 months after the last dose of study intervention.", "index": "section@para", "score": 2.0, "type": "CNM_ADD", "heading_path": ["Inclusion Criteria"], "filename": "Mock_CSR_Protocol.docx"}, {"id": "doc::4877313e:layout::53:para::14", "content": "A postmenopausal state is defined as no menses for 12 months without an alternative medical cause.", "index": "section@para", "score": 2.0, "type": "CNM_ADD", "heading_path": ["Appendix 5: Contraceptive Guidance and Collection of Pregnancy Information", "Women in the following categories are not considered WOCBP"], "filename": "Mock_CSR_Protocol.docx"}, {"id": "doc::4877313e:layout::53:para::15",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"CNM_ADD", "heading_path": ["Appendix 5: Contraceptive Guidance and Collection of Pregnancy Information", "Women in the following categories are not considered WOCBP"], "filename": "Mock_CSR_Protocol.docx"}, {"id": "doc::4877313e:layout::54:para::1", "content": "All fertile male participants (even males with a history of vasectomy) will be required to use a male condom with spermicide in addition to a second method of acceptable contraception from Check-in until 6 months after the final Follow-up visit. Sexual intercourse with female partners who are pregnant, or breastfeeding should be avoided unless condoms are used from the time of the first dose until 6 months after the final Follow-up visit. Acceptable second methods of contraception for female partners include:", "index": "section@para", "score": 2.0, "type": "CNM_ADD", "heading_path": ["Appendix 5: Contraceptive Guidance and Collection of Pregnancy Information", "Contraception Guidance:"], "filename": "Mock_CSR_Protocol.docx"}, {"id": "doc::4877313e:layout::55:para::14", "content": "A postmenopausal state is defined as no menses for 12 months without an alternative medical cause.", "index": "section@para", "score": 2.0, "type": "CNM_ADD", "heading_path": ["Appendix 5: Contraceptive Guidance and Collection of Pregnancy Information", "Women in the following categories are not considered WOCBP"], "filename": "Mock_CSR_Protocol.docx"}, {"id": "doc::4877313e:layout::55:para::15",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"CNM_ADD", "heading_path": ["Appendix 5: Contraceptive Guidance and Collection of Pregnancy Information", "Women in the following categories are not considered WOCBP"], "filename": "Mock_CSR_Protocol.docx"}, {"id": "doc::4877313e:layout::56:para::1", "content": "All fertile male participants (even males with a history of vasectomy) will be required to use a male condom with spermicide in addition to a second method of acceptable contraception from Check-in until 6 months after the final Follow-up visit. Sexual intercourse with female partners who are pregnant, or breastfeeding should be avoided unless condoms are used from the time of the first dose until 6 months after the final Follow-up visit. Acceptable second methods of contraception for female partners include:", "index": "section@para", "score": 2.0, "type": "CNM_ADD", "heading_path": ["Appendix 5: Contraceptive Guidance and Collection of Pregnancy Information", "Contraception Guidance:"], "filename": "Mock_CSR_Protocol.docx"}]</t>
  </si>
  <si>
    <t>doc::7cd3e10f:layout::2:para::84::ph::2</t>
  </si>
  <si>
    <t>&lt;Summary of Table Disposition of Participants&gt;</t>
  </si>
  <si>
    <t>Summarize and interpret the Disposition of Participants table in a concise narrative paragraph, describing participant flow through the study and key reasons for discontinuation, where applicable and do not mention Table number</t>
  </si>
  <si>
    <t>Summarize and interpret the table - Disposition of Participants - in a concise narrative paragraph</t>
  </si>
  <si>
    <t>InternalTableSummary</t>
  </si>
  <si>
    <t>doc::7cd3e10f:layout::2:para::90::ph::0</t>
  </si>
  <si>
    <t>&lt;Table Summary of Participant Disposition&gt;</t>
  </si>
  <si>
    <t>Retrieve detailed information regarding 'Summary of Participant Disposition (Full Analysis Set)' from authoritative sources.</t>
  </si>
  <si>
    <t>Resolve the placeholder 'Table Summary of Participant Disposition' by linking it to Table 14.1.1, titled 'Summary of Participant Disposition (Full Analysis Set)', ensuring compatibility with paragraph flow and semantic alignment.</t>
  </si>
  <si>
    <t>[{"id": "doc::ac3b7b0b:layout::0:para::0", "content": "Table 14.1.1: \tSummary of Participant Disposition  (Full Analysis Seta)", "index": "section@para", "score": 8.0, "type": "PWR_USED", "heading_path": [], "filename": "Mock_CSR _Tables_30Oct25.rtf"}, {"id": "doc::fd2ccc75:layout::0:para::49", "content": "We have 1 Disposition Table [Refer Source: CSR_Mock Tables]", "index": "section@para", "score": 4.0, "type": "PWR_DROP", "heading_path": ["4. Key Results"], "filename": "Mock_CSR Key messages_with_heading.docx"}, {"id": "doc::ac3b7b0b:layout::0:para::19", "content": "Table 14.2.5\tPD Biomarker Changes Following Single Ascending Dose (SAD) of ABC-123 and Placebo in Healthy Participants", "index": "section@para", "score": 4.0, "type": "PWR_DROP", "heading_path": [], "filename": "Mock_CSR _Tables_30Oct25.rtf"}, {"id": "doc::ac3b7b0b:layout::0:para::22", "content": "Table 14.2.6\t PD Biomarker Changes Following Repeated Dose of ABC-123 and Placebo in Boneitis Participants",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"doc::ac3b7b0b:layout::0:para::28", "content": "Table 14.3.2:\tOverall Summary of Adverse Events (Safety Analysis Set)", "index": "section@para", "score": 4.0, "type": "PWR_DROP", "heading_path": [], "filename": "Mock_CSR _Tables_30Oct25.rtf"}, {"id": "doc::ac3b7b0b:layout::0:para::6", "content": "Table 14.2.1: Summary of Analysis Sets", "index": "table@full", "score": 4.0, "type": "PWR_DROP", "heading_path": ["Table 14.2.1: Summary of Analysis Sets"], "filename": "Mock_CSR _Tables_30Oct25.rtf"},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"PWR_DROP", "heading_path": ["Preparation/Handling/Storage/Accountability"], "filename": "Mock_CSR_Protocol.docx"},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4.0, "type": "PWR_DROP", "heading_path": ["Statistical Analyses", "Pharmacokinetic Analyses"],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"doc::4877313e:layout::25:para::9", "content": "Continuing study intervention places the participant at undue hazard as determined by the Investigator (eg, a safety concern that is possibly, probably, or likely related to study intervention)", "index": "section@para", "score": 4.0, "type": "PWR_DROP", "heading_path": ["Discontinuation of Study Intervention", "Individual Participant Discontinuation"],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4.0,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4.0, "type": "PWR_DROP", "heading_path": ["Appendix 1: Regulatory, Ethical, and Study Oversight Considerations", "Data Quality Assurance"],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"doc::72df3a00:layout::20:para::8", "content": "Statistical analyses and summary tables", "index": "section@para", "score": 4.0, "type": "PWR_DROP", "heading_path": ["STATISTICAL DELIVERABLES"], "filename": "Mock SAP _03Jun2026.docx"}, {"id": "doc::72df3a00:layout::2:para::2", "content": "Table 1\tSAP Version History Summary", "index": "section@para", "score": 4.0, "type": "PWR_DROP", "heading_path": ["VERSION HISTORY"], "filename": "Mock SAP _03Jun2026.docx"}, {"id": "doc::72df3a00:layout::31:para::0", "content": "Table 14.1.2.1. Subject disposition MAD ([analysis set])", "index": "section@para", "score": 4.0, "type": "PWR_DROP", "heading_path": ["STATISTICAL OUTPUT LAUOUT", "Tables"], "filename": "Mock SAP _03Jun2026.docx"}, {"id": "doc::72df3a00:layout::33:para::0", "content": "Table 14.1.2.2. Subject disposition Celecoxib ([analysis set])", "index": "section@para", "score": 4.0, "type": "PWR_DROP", "heading_path": ["STATISTICAL OUTPUT LAUOUT", "Tables"],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"PWR_DROP", "heading_path": ["STATISTICAL AND ANALYTICAL PLANS", "Handling of Dropouts, Missing Data and Outliers"], "filename": "Mock SAP _03Jun2026.docx"},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 {"id": "doc::4877313e:layout::23:para::5",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4.0, "type": "PWR_DROP", "heading_path": ["Dose Modification", "Dose Escalation and Stopping Criteria"], "filename": "Mock_CSR_Protocol.docx"}, {"id": "doc::4877313e:layout::27:para::0", "content": "Investigator should ensure understanding and documentation of the reasons for the participant\u2019s desire to withdraw consent.", "index": "section@para", "score": 4.0, "type": "PWR_DROP", "heading_path": ["Discontinuation of Study Intervention", "Procedures to Encourage Continued Trial Participation"], "filename": "Mock_CSR_Protocol.docx"}, {"id": "doc::4877313e:layout::28:para::24",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4.0, "type": "CNM_ADD", "heading_path": ["Pharmacogenomics"], "filename": "Mock_CSR_Protocol.docx"}, {"id": "doc::fd2ccc75:layout::0:para::23", "content": "To explore the effects on eating behavior in participants following single ascending doses of ABC-123", "index": "section@para", "score": 2.0, "type": "PWR_DROP", "heading_path": ["1. Study Objective"], "filename": "Mock_CSR Key messages_with_heading.docx"}]</t>
  </si>
  <si>
    <t>doc::7cd3e10f:layout::2:para::92::ph::0</t>
  </si>
  <si>
    <t>&lt;Table of Analysis Sets &gt;</t>
  </si>
  <si>
    <t>Retrieve detailed information and captions specifically related to analysis sets and ensure alignment with semantic relevance to placeholders mentioning analysis sets.</t>
  </si>
  <si>
    <t>Resolve the placeholder 'Table of Analysis Sets' by embedding the table content or referencing the caption 'Table 14.2.1: Summary of Analysis Sets' as indicated by its semantic match and the paragraph flow context.</t>
  </si>
  <si>
    <t>Table 14.2.1: Summary of Analysis Sets
&lt;table&gt;&lt;tr&gt;&lt;th&gt;&lt;p style="margin-top: 3pt; margin-bottom: 3pt"&gt;&lt;span style="font-size: 10pt"&gt;Analysis Sets&lt;/span&gt;&lt;/p&gt;&lt;/th&gt;&lt;th&gt;&lt;p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10pt"&gt;Analysis Sets&lt;/span&gt;&lt;/p&gt;&lt;/td&gt;&lt;td&gt;&lt;p style="margin-top: 3pt; margin-bottom: 3pt"&gt;&lt;span style="font-size: 10pt"&gt;Statistics&lt;/span&gt;&lt;/p&gt;&lt;/td&gt;&lt;td&gt;&lt;p style="text-align: center; margin-top: 3pt; margin-bottom: 3pt"&gt;&lt;span style="font-size: 10pt"&gt;N=24&lt;/span&gt;&lt;/p&gt;&lt;/td&gt;&lt;td&gt;&lt;p style="text-align: center; margin-top: 3pt; margin-bottom: 3pt"&gt;&lt;span style="font-size: 10pt"&gt;N=12&lt;/span&gt;&lt;/p&gt;&lt;/td&gt;&lt;td&gt;&lt;p style="text-align: center; margin-top: 3pt; margin-bottom: 3pt"&gt;&lt;span style="font-size: 10pt"&gt;N=36&lt;/span&gt;&lt;/p&gt;&lt;/td&gt;&lt;/tr&gt;&lt;tr&gt;&lt;td&gt;&lt;p style="margin-top: 3pt; margin-bottom: 3pt"&gt;&lt;span style="font-size: 10pt" class="font:Times New Roman color:000000"&gt;&lt;strong&gt;Full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(100)&lt;/span&gt;&lt;/p&gt;&lt;/td&gt;&lt;/tr&gt;&lt;tr&gt;&lt;td&gt;&lt;p style="margin-top: 3pt; margin-bottom: 3pt"&gt;&lt;span style="font-size: 10pt" class="font:Times New Roman color:000000"&gt;&lt;strong&gt;Safety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color:000000"&gt;21 (87.5)&lt;/span&gt;&lt;/p&gt;&lt;/td&gt;&lt;td&gt;&lt;p style="text-align: center; margin-top: 3pt; margin-bottom: 3pt"&gt;&lt;span style="font-size: 10pt" class="font:Times New Roman color:000000"&gt;10 (83.3)&lt;/span&gt;&lt;/p&gt;&lt;/td&gt;&lt;td&gt;&lt;p style="text-align: center; margin-top: 3pt; margin-bottom: 3pt"&gt;&lt;span style="font-size: 10pt" class="font:Times New Roman color:000000"&gt;31 (86.1)&lt;/span&gt;&lt;/p&gt;&lt;/td&gt;&lt;/tr&gt;&lt;tr&gt;&lt;td&gt;&lt;p style="margin-top: 3pt; margin-bottom: 3pt"&gt;&lt;span style="font-size: 10pt" class="font:Times New Roman color:000000"&gt;&lt;strong&gt;Pharmacokinetics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(100)&lt;/span&gt;&lt;/p&gt;&lt;/td&gt;&lt;/tr&gt;&lt;/table&gt;
Abbreviations: FAS = Full Analysis Set; N = number of participants in the FAS within each treatment arm; n = number participants in the FAS within each treatment arm in each category; SAS = Safety Analysis Set.
Notes: The denominator used to calculate percentages is N.</t>
  </si>
  <si>
    <t>[{"id": "doc::ac3b7b0b:layout::0:para::10", "content": "Table 14.2.2: \tDemographics (Full Analysis Set)", "index": "section@para", "score": 6.0, "type": "PWR_DROP", "heading_path": [], "filename": "Mock_CSR _Tables_30Oct25.rtf"}, {"id": "doc::ac3b7b0b:layout::0:para::25", "content": "Table 14.3.1:\tSummary of Study Drug Exposure (Safety Analysis Set)", "index": "section@para", "score": 6.0, "type": "PWR_DROP", "heading_path": [], "filename": "Mock_CSR _Tables_30Oct25.rtf"}, {"id": "doc::ac3b7b0b:layout::0:para::28", "content": "Table 14.3.2:\tOverall Summary of Adverse Events (Safety Analysis Set)", "index": "section@para", "score": 6.0, "type": "PWR_DROP", "heading_path": [], "filename": "Mock_CSR _Tables_30Oct25.rtf"}, {"id": "doc::ac3b7b0b:layout::0:para::6", "content": "Table 14.2.1: Summary of Analysis Sets", "index": "table@full", "score": 6.0, "type": "PWR_USED", "heading_path": ["Table 14.2.1: Summary of Analysis Sets"], "filename": "Mock_CSR _Tables_30Oct25.rtf"}, {"id": "doc::72df3a00:layout::29:para::2", "content": "Table 14.1.1 Baseline characteristics and demographics ([analysis set])", "index": "section@para", "score": 6.0, "type": "PWR_DROP", "heading_path": ["STATISTICAL OUTPUT LAUOUT", "Tables"], "filename": "Mock SAP _03Jun2026.docx"}, {"id": "doc::72df3a00:layout::31:para::0", "content": "Table 14.1.2.1. Subject disposition MAD ([analysis set])", "index": "section@para", "score": 6.0, "type": "PWR_DROP", "heading_path": ["STATISTICAL OUTPUT LAUOUT", "Tables"], "filename": "Mock SAP _03Jun2026.docx"}, {"id": "doc::72df3a00:layout::33:para::0", "content": "Table 14.1.2.2. Subject disposition Celecoxib ([analysis set])", "index": "section@para", "score": 6.0, "type": "PWR_DROP", "heading_path": ["STATISTICAL OUTPUT LAUOUT", "Tables"], "filename": "Mock SAP _03Jun2026.docx"}, {"id": "doc::72df3a00:layout::34:para::0", "content": "Table 14.1.3. Medical history events by system organ class and preferred term ([analysis set])", "index": "section@para", "score": 6.0, "type": "PWR_DROP", "heading_path": ["STATISTICAL OUTPUT LAUOUT", "Tables"], "filename": "Mock SAP _03Jun2026.docx"}, {"id": "doc::72df3a00:layout::35:para::0", "content": "Table 14.1.4 Concomitant medications ([analysis set])", "index": "section@para", "score": 6.0, "type": "PWR_DROP", "heading_path": ["STATISTICAL OUTPUT LAUOUT", "Tables"], "filename": "Mock SAP _03Jun2026.docx"}, {"id": "doc::72df3a00:layout::36:para::0", "content": "Table 14.1.5 Study drug administration ([analysis set])", "index": "table@full", "score": 6.0, "type": "PWR_DROP", "heading_path": ["STATISTICAL OUTPUT LAUOUT", "Tables", "Table 14.1.5 Study drug administration ([analysis set])"], "filename": "Mock SAP _03Jun2026.docx"}]</t>
  </si>
  <si>
    <t>doc::7cd3e10f:layout::2:para::98::ph::0</t>
  </si>
  <si>
    <t>&lt;Summary of Table of Analysis Sets &gt;</t>
  </si>
  <si>
    <t>Summarize and interpret the table of Analysis sets</t>
  </si>
  <si>
    <t>Summarize and interpret the table - of Analysis Sets - in a concise narrative paragraph</t>
  </si>
  <si>
    <t>The table titled "Summary of Analysis Sets" provides an overview of the distribution and statistics across different analysis sets in a study. It includes data for three sets: Full Analysis Set, Safety Analysis Set, and Pharmacokinetics Analysis Set. The Full Analysis Set comprises all participants, with 24 in the treatment group, 12 in the placebo group, totaling 36 participants, all represented as 100%. The Safety Analysis Set indicates a slightly reduced inclusion, with 87.5% (21 participants) from the treatment group and 83.3% (10 participants) from the placebo group, summing up to 86.1% (31 participants) overall. Similarly, the Pharmacokinetics Analysis Set includes all participants, maintaining 100% representation across both treatment and placebo groups, amounting to 36 individuals in total.</t>
  </si>
  <si>
    <t>doc::7cd3e10f:layout::2:para::100::ph::0</t>
  </si>
  <si>
    <t>doc::7cd3e10f:layout::3:header::0::ph::0</t>
  </si>
  <si>
    <t>&lt;Summary of  Demographics&gt;</t>
  </si>
  <si>
    <t>Summarize demographics information.</t>
  </si>
  <si>
    <t>Retrieve detailed demographics data from the Full Analysis Set, particularly as summarized in Table 14.2.2.</t>
  </si>
  <si>
    <t>Resolve the placeholder 'Summary of Demographics' in the context of paragraph flow, referencing Table 14.2.2 as the source of detailed participant demographics information within the Full Analysis Set.</t>
  </si>
  <si>
    <t>The demographics of the study participants are detailed in Table 14.2.2, which provides a comprehensive overview of the population characteristics within the Full Analysis Set.</t>
  </si>
  <si>
    <t>[{"id": "doc::fd2ccc75:layout::0:para::41", "content": "Demographics:", "index": "section@para", "score": 2.0, "type": "PWR_DROP", "heading_path": ["4. Key Results"], "filename": "Mock_CSR Key messages_with_heading.docx"}, {"id": "doc::fd2ccc75:layout::0:para::42", "content": "We have 1 Demographics Table [Refer Source: CSR_Mock Tables]", "index": "section@para", "score": 2.0, "type": "PWR_DROP", "heading_path": ["4. Key Results"], "filename": "Mock_CSR Key messages_with_heading.docx"}, {"id": "doc::ac3b7b0b:layout::0:para::0", "content": "Table 14.1.1: \tSummary of Participant Disposition  (Full Analysis Seta)", "index": "section@para", "score": 2.0, "type": "PWR_DROP", "heading_path": [], "filename": "Mock_CSR _Tables_30Oct25.rtf"}, {"id": "doc::ac3b7b0b:layout::0:para::10", "content": "Table 14.2.2: \tDemographics (Full Analysis Set)", "index": "section@para", "score": 2.0, "type": "PWR_USED", "heading_path": [], "filename": "Mock_CSR _Tables_30Oct25.rtf"}, {"id": "doc::ac3b7b0b:layout::0:para::25", "content": "Table 14.3.1:\tSummary of Study Drug Exposure (Safety Analysis Set)", "index": "section@para", "score": 2.0, "type": "PWR_DROP", "heading_path": [], "filename": "Mock_CSR _Tables_30Oct25.rtf"}, {"id": "doc::ac3b7b0b:layout::0:para::28", "content": "Table 14.3.2:\tOverall Summary of Adverse Events (Safety Analysis Set)", "index": "section@para", "score": 2.0, "type": "PWR_DROP", "heading_path": [], "filename": "Mock_CSR _Tables_30Oct25.rtf"}, {"id": "doc::ac3b7b0b:layout::0:para::6", "content": "&lt;table&gt;&lt;tr&gt;&lt;th&gt;&lt;p style=\"margin-top: 3.0pt; margin-bottom: 3.0pt\"&gt;&lt;span style=\"font-size: 10.0pt\"&gt;Analysis Sets&lt;/span&gt;&lt;/p&gt;&lt;/th&gt;&lt;th&gt;&lt;p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3.0pt; margin-bottom: 3.0pt\"&gt;&lt;span style=\"font-size: 10.0pt\"&gt;Analysis Sets&lt;/span&gt;&lt;/p&gt;&lt;/td&gt;&lt;td&gt;&lt;p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10.0pt\"&gt;N=36&lt;/span&gt;&lt;/p&gt;&lt;/td&gt;&lt;/tr&gt;&lt;tr&gt;&lt;td&gt;&lt;p style=\"margin-top: 3.0pt; margin-bottom: 3.0pt\"&gt;&lt;span style=\"font-size: 10.0pt\" class=\"font:Times New Roman color:000000\"&gt;&lt;strong&gt;Full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(100)&lt;/span&gt;&lt;/p&gt;&lt;/td&gt;&lt;/tr&gt;&lt;tr&gt;&lt;td&gt;&lt;p style=\"margin-top: 3.0pt; margin-bottom: 3.0pt\"&gt;&lt;span style=\"font-size: 10.0pt\" class=\"font:Times New Roman color:000000\"&gt;&lt;strong&gt;Safety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color:000000\"&gt;&lt;strong&gt;Pharmacokinetics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(100)&lt;/span&gt;&lt;/p&gt;&lt;/td&gt;&lt;/tr&gt;&lt;/table&gt;", "index": "table@full", "score": 2.0, "type": "PWR_DROP", "heading_path": ["Table 14.2.1: Summary of Analysis Sets"], "filename": "Mock_CSR _Tables_30Oct25.rtf"},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"PWR_DROP", "heading_path": ["Statistical Analyses", "Pharmacokinetic Analyses"], "filename": "Mock_CSR_Protocol.docx"}, {"id": "doc::4877313e:layout::36:para::10", "content": "Providing written summaries of the status of the study to the IRB/IEC annually or more frequently in accordance with the requirements, policies, and procedures established by the IRB/IEC", "index": "section@para", "score": 2.0, "type": "PWR_DROP", "heading_path": ["Appendix 1: Regulatory, Ethical, and Study Oversight Considerations", "Regulatory and Ethical Considerations"], "filename": "Mock_CSR_Protocol.docx"}, {"id": "doc::4877313e:layout::44:para::10", "content": "Providing written summaries of the status of the study to the IRB/IEC annually or more frequently in accordance with the requirements, policies, and procedures established by the IRB/IEC", "index": "section@para", "score": 2.0, "type": "PWR_DROP", "heading_path": ["Appendix 1: Regulatory, Ethical, and Study Oversight Considerations", "Regulatory and Ethical Considerations"], "filename": "Mock_CSR_Protocol.docx"}]</t>
  </si>
  <si>
    <t>doc::7cd3e10f:layout::3:para::2::ph::0</t>
  </si>
  <si>
    <t>&lt;Table Demographics&gt;</t>
  </si>
  <si>
    <t>Retrieve information specifically about demographics tables, focusing on captions or titles that match 'Table Demographics' or related semantic descriptions.</t>
  </si>
  <si>
    <t>Resolve the placeholder 'Table Demographics' by linking it to the matching table caption 'Table 14.2.2: Demographics (Full Analysis Set)' as identified in the context. Ensure the resolution is unique to this placeholder's position in the paragraph flow, considering its neighboring textual references.</t>
  </si>
  <si>
    <t>Table 14.2.2: 	Demographics (Full Analysis Set)
&lt;table&gt;&lt;tr&gt;&lt;th&gt;&lt;p style="margin-top: 3pt; margin-bottom: 0pt"&gt;&lt;span&gt;Parameter&lt;/span&gt;&lt;/p&gt;&lt;/th&gt;&lt;th&gt;&lt;p style="margin-top: 3pt; margin-bottom: 3pt"&gt;&lt;span&gt;Statistics&lt;/span&gt;&lt;/p&gt;&lt;/th&gt;&lt;th&gt;&lt;p style="text-align: center; margin-top: 3pt; margin-bottom: 3pt"&gt;&lt;span&gt;Treatment&lt;/span&gt;&lt;/p&gt;&lt;/th&gt;&lt;th&gt;&lt;p style="text-align: center; margin-top: 3pt; margin-bottom: 3pt"&gt;&lt;span&gt;Placebo&lt;/span&gt;&lt;/p&gt;&lt;/th&gt;&lt;th&gt;&lt;p style="text-align: center; margin-top: 3pt; margin-bottom: 3pt"&gt;&lt;span&gt;Total&lt;/span&gt;&lt;/p&gt;&lt;/th&gt;&lt;/tr&gt;&lt;tr&gt;&lt;td&gt;&lt;p style="margin-top: 3pt; margin-bottom: 0pt"&gt;&lt;span&gt;Parameter&lt;/span&gt;&lt;/p&gt;&lt;/td&gt;&lt;td&gt;&lt;p style="margin-top: 3pt; margin-bottom: 3pt"&gt;&lt;span&gt;Statistics&lt;/span&gt;&lt;/p&gt;&lt;/td&gt;&lt;td&gt;&lt;p style="text-align: center; margin-top: 3pt; margin-bottom: 3pt"&gt;&lt;span&gt;N=24&lt;/span&gt;&lt;/p&gt;&lt;/td&gt;&lt;td&gt;&lt;p style="text-align: center; margin-top: 3pt; margin-bottom: 3pt"&gt;&lt;span&gt;N=12&lt;/span&gt;&lt;/p&gt;&lt;/td&gt;&lt;td&gt;&lt;p style="text-align: center; margin-top: 3pt; margin-bottom: 3pt"&gt;&lt;span&gt;N=36&lt;/span&gt;&lt;/p&gt;&lt;/td&gt;&lt;/tr&gt;&lt;tr&gt;&lt;td&gt;&lt;p style="margin-top: 0pt; margin-bottom: 0pt"&gt;&lt;span class="font:Times New Roman color:000000"&gt;&lt;strong&gt;Age&lt;/strong&gt;&lt;/span&gt;&lt;span class="font:Times New Roman color:000000"&gt; (years)&lt;/span&gt;&lt;/p&gt;&lt;/td&gt;&lt;td&gt;&lt;p style="margin-top: 0pt; margin-bottom: 0pt"&gt;&lt;span class="font:Times New Roman color:000000"&gt;n&lt;/span&gt;&lt;/p&gt;&lt;/td&gt;&lt;td&gt;&lt;p style="text-align: center; margin-top: 0pt; margin-bottom: 0pt"&gt;&lt;span class="font:Times New Roman"&gt;24&lt;/span&gt;&lt;/p&gt;&lt;/td&gt;&lt;td&gt;&lt;p style="text-align: center; margin-top: 0pt; margin-bottom: 0pt"&gt;&lt;span class="font:Times New Roman"&gt;12&lt;/span&gt;&lt;/p&gt;&lt;/td&gt;&lt;td&gt;&lt;p style="text-align: center; margin-top: 0pt; margin-bottom: 0pt"&gt;&lt;span class="font:Times New Roman"&gt;36&lt;/span&gt;&lt;/p&gt;&lt;/td&gt;&lt;/tr&gt;&lt;tr&gt;&lt;td&gt;&amp;nbsp;&lt;/td&gt;&lt;td&gt;&lt;p style="margin-top: 0pt; margin-bottom: 0pt"&gt;&lt;span class="font:Times New Roman color:000000"&gt;Mean ±SD&lt;/span&gt;&lt;/p&gt;&lt;/td&gt;&lt;td&gt;&lt;p style="text-align: center; margin-top: 0pt; margin-bottom: 0pt"&gt;&lt;span class="font:Times New Roman color:000000"&gt;48.33(20.60)&lt;/span&gt;&lt;/p&gt;&lt;/td&gt;&lt;td&gt;&lt;p style="text-align: center; margin-top: 0pt; margin-bottom: 0pt"&gt;&lt;span class="font:Times New Roman color:000000"&gt;53.58(10.77)&lt;/span&gt;&lt;/p&gt;&lt;/td&gt;&lt;td&gt;&lt;p style="text-align: center; margin-top: 0pt; margin-bottom: 0pt"&gt;&lt;span class="font:Times New Roman color:000000"&gt;57.00(11.36)&lt;/span&gt;&lt;/p&gt;&lt;/td&gt;&lt;/tr&gt;&lt;tr&gt;&lt;td&gt;&amp;nbsp;&lt;/td&gt;&lt;td&gt;&lt;p style="margin-top: 0pt; margin-bottom: 0pt"&gt;&lt;span class="font:Times New Roman color:000000"&gt;Min, max&lt;/span&gt;&lt;/p&gt;&lt;/td&gt;&lt;td&gt;&lt;p style="text-align: center; margin-top: 0pt; margin-bottom: 0pt"&gt;&lt;span class="font:Times New Roman color:000000"&gt;26, 67&lt;/span&gt;&lt;/p&gt;&lt;/td&gt;&lt;td&gt;&lt;p style="text-align: center; margin-top: 0pt; margin-bottom: 0pt"&gt;&lt;span class="font:Times New Roman color:000000"&gt;30, 62&lt;/span&gt;&lt;/p&gt;&lt;/td&gt;&lt;td&gt;&lt;p style="text-align: center; margin-top: 0pt; margin-bottom: 0pt"&gt;&lt;span class="font:Times New Roman color:000000"&gt;26, 27&lt;/span&gt;&lt;/p&gt;&lt;/td&gt;&lt;/tr&gt;&lt;tr&gt;&lt;td colspan="5"&gt;&lt;p style="margin-top: 0pt; margin-bottom: 0pt"&gt;&lt;span class="font:Times New Roman color:000000"&gt;&lt;strong&gt;Sex&lt;/strong&gt;&lt;/span&gt;&lt;/p&gt;&lt;/td&gt;&lt;/tr&gt;&lt;tr&gt;&lt;td&gt;&lt;p style="margin-top: 0pt; margin-bottom: 0pt"&gt;&lt;span class="font:Times New Roman color:000000"&gt;  Male&lt;/span&gt;&lt;/p&gt;&lt;/td&gt;&lt;td&gt;&lt;p style="margin-top: 0pt; margin-bottom: 0pt"&gt;&lt;span class="font:Times New Roman color:000000"&gt;n (%)&lt;/span&gt;&lt;/p&gt;&lt;/td&gt;&lt;td&gt;&lt;p style="text-align: center; margin-top: 0pt; margin-bottom: 0pt"&gt;&lt;span class="font:Times New Roman color:000000"&gt;13 (54.2)&lt;/span&gt;&lt;/p&gt;&lt;/td&gt;&lt;td&gt;&lt;p style="text-align: center; margin-top: 0pt; margin-bottom: 0pt"&gt;&lt;span class="font:Times New Roman color:000000"&gt;7 (58.3)&lt;/span&gt;&lt;/p&gt;&lt;/td&gt;&lt;td&gt;&lt;p style="text-align: center; margin-top: 0pt; margin-bottom: 0pt"&gt;&lt;span class="font:Times New Roman color:000000"&gt;20 (55.6)&lt;/span&gt;&lt;/p&gt;&lt;/td&gt;&lt;/tr&gt;&lt;tr&gt;&lt;td&gt;&lt;p style="margin-top: 0pt; margin-bottom: 0pt"&gt;&lt;span class="font:Times New Roman color:000000"&gt;  Female&lt;/span&gt;&lt;/p&gt;&lt;/td&gt;&lt;td&gt;&lt;p style="margin-top: 0pt; margin-bottom: 0pt"&gt;&lt;span class="font:Times New Roman color:000000"&gt;n (%)&lt;/span&gt;&lt;/p&gt;&lt;/td&gt;&lt;td&gt;&lt;p style="text-align: center; margin-top: 0pt; margin-bottom: 0pt"&gt;&lt;span class="font:Times New Roman color:000000"&gt;11 (45.8)&lt;/span&gt;&lt;/p&gt;&lt;/td&gt;&lt;td&gt;&lt;p style="text-align: center; margin-top: 0pt; margin-bottom: 0pt"&gt;&lt;span class="font:Times New Roman color:000000"&gt;5 (41.7)&lt;/span&gt;&lt;/p&gt;&lt;/td&gt;&lt;td&gt;&lt;p style="text-align: center; margin-top: 0pt; margin-bottom: 0pt"&gt;&lt;span class="font:Times New Roman color:000000"&gt;16 (44.4)&lt;/span&gt;&lt;/p&gt;&lt;/td&gt;&lt;/tr&gt;&lt;tr&gt;&lt;td colspan="5"&gt;&lt;p style="margin-top: 0pt; margin-bottom: 0pt"&gt;&lt;span class="font:Times New Roman color:000000"&gt;&lt;strong&gt;Race&lt;/strong&gt;&lt;/span&gt;&lt;/p&gt;&lt;/td&gt;&lt;/tr&gt;&lt;tr&gt;&lt;td&gt;&lt;p style="margin-top: 0pt; margin-bottom: 0pt"&gt;&lt;span class="font:Times New Roman color:000000"&gt;  American Indian or Alaska Native&lt;/span&gt;&lt;/p&gt;&lt;/td&gt;&lt;td&gt;&lt;p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Asian&lt;/span&gt;&lt;/p&gt;&lt;/td&gt;&lt;td&gt;&lt;p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Black or African American&lt;/span&gt;&lt;/p&gt;&lt;/td&gt;&lt;td&gt;&lt;p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Native Hawaiian or Other Pacific Islander&lt;/span&gt;&lt;/p&gt;&lt;/td&gt;&lt;td&gt;&lt;p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White&lt;/span&gt;&lt;/p&gt;&lt;/td&gt;&lt;td&gt;&lt;p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color:000000"&gt;31(86.1)&lt;/span&gt;&lt;/p&gt;&lt;/td&gt;&lt;/tr&gt;&lt;tr&gt;&lt;td&gt;&lt;p style="margin-top: 0pt; margin-bottom: 0pt"&gt;&lt;span class="font:Times New Roman color:000000"&gt;  Other&lt;/span&gt;&lt;/p&gt;&lt;/td&gt;&lt;td&gt;&lt;p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color:000000"&gt;2 (5.6)&lt;/span&gt;&lt;/p&gt;&lt;/td&gt;&lt;/tr&gt;&lt;tr&gt;&lt;td&gt;&lt;p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 colspan="5"&gt;&lt;p style="margin-top: 0pt; margin-bottom: 0pt"&gt;&lt;span class="font:Times New Roman color:000000"&gt;&lt;strong&gt;Ethnicity&lt;/strong&gt;&lt;/span&gt;&lt;/p&gt;&lt;/td&gt;&lt;/tr&gt;&lt;tr&gt;&lt;td&gt;&lt;p style="margin-top: 0pt; margin-bottom: 0pt"&gt;&lt;span class="font:Times New Roman color:000000"&gt;  Hispanic or Latino&lt;/span&gt;&lt;/p&gt;&lt;/td&gt;&lt;td&gt;&lt;p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Not Hispanic or Latino&lt;/span&gt;&lt;/p&gt;&lt;/td&gt;&lt;td&gt;&lt;p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 (86.1)&lt;/span&gt;&lt;/p&gt;&lt;/td&gt;&lt;/tr&gt;&lt;tr&gt;&lt;td&gt;&lt;p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Unknown&lt;/span&gt;&lt;/p&gt;&lt;/td&gt;&lt;td&gt;&lt;p style="margin-top: 0pt; margin-bottom: 0pt"&gt;&lt;span class="font:Times New Roman color:000000"&gt;n (%)&lt;/span&gt;&lt;/p&gt;&lt;/td&gt;&lt;td&gt;&lt;p style="text-align: center; margin-top: 0pt; margin-bottom: 0pt"&gt;&lt;span class="font:Times New Roman color:000000"&gt;0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color:000000"&gt;0&lt;/span&gt;&lt;/p&gt;&lt;/td&gt;&lt;/tr&gt;&lt;/table&gt;
Abbreviations: Max = maximum; Min = minimum; SD = standard deviation</t>
  </si>
  <si>
    <t>[{"id": "doc::fd2ccc75:layout::0:para::42", "content": "We have 1 Demographics Table [Refer Source: CSR_Mock Tables]", "index": "section@para", "score": 4.0, "type": "CNM_ADD", "heading_path": ["4. Key Results"], "filename": "Mock_CSR Key messages_with_heading.docx"}, {"id": "doc::ac3b7b0b:layout::0:para::10", "content": "Table 14.2.2: \tDemographics (Full Analysis Set)", "index": "section@para", "score": 4.0, "type": "PWR_USED", "heading_path": [], "filename": "Mock_CSR _Tables_30Oct25.rtf"}, {"id": "doc::72df3a00:layout::29:para::2", "content": "Table 14.1.1 Baseline characteristics and demographics ([analysis set])", "index": "section@para", "score": 4.0, "type": "CNM_ADD", "heading_path": ["STATISTICAL OUTPUT LAUOUT", "Tables"], "filename": "Mock SAP _03Jun2026.docx"}, {"id": "doc::72df3a00:layout::9:para::4", "content": "The baseline characteristics and demographics have been described in the previous SAP\u2019s, ST-4536SAP_v.10_11DEC2023- SAD, ST-4536SAP_v.10_13FEB2023- MAD. The tables for Part II (MAD) (celecoxib) will be combined.", "index": "section@para", "score": 4.0, "type": "CNM_ADD", "heading_path": ["SUBJECTS", "Baseline Characteristics and Demographics"], "filename": "Mock SAP _03Jun2026.docx"}, {"id": "doc::fd2ccc75:layout::0:para::41", "content": "Demographics:", "index": "section@para", "score": 2.0, "type": "CNM_ADD",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t>
  </si>
  <si>
    <t>doc::7cd3e10f:layout::3:para::4::ph::0</t>
  </si>
  <si>
    <t>&lt;Summary of Table Demographics&gt;</t>
  </si>
  <si>
    <t>Summarize and interpret the table of Demographics</t>
  </si>
  <si>
    <t>Summarize and interpret the table - Demographics - in a concise narrative paragraph</t>
  </si>
  <si>
    <t>The demographic analysis of the study participants reveals a balanced distribution across treatment and placebo groups, with a total sample size of 36 individuals. The average age of participants was slightly higher in the placebo group (53.58 years) compared to the treatment group (48.33 years), with overall ages ranging from 26 to 67 years. Gender distribution showed a predominance of males (55.6%) compared to females (44.4%). Racially, the majority of participants identified as White (86.1%), with smaller representations of Asian (8.3%) and other races (5.6%). Ethnic analysis indicated that 86.1% were not Hispanic or Latino, while 8.3% identified as Hispanic or Latino. The study groups were comparable in demographic characteristics, suggesting a representative sample for the analysis.</t>
  </si>
  <si>
    <t>doc::7cd3e10f:layout::3:para::6::ph::0</t>
  </si>
  <si>
    <t>&lt;Summary of Pharmacokinetic data&gt;</t>
  </si>
  <si>
    <t>Summarize PK information for both SAD and Repeat Dose</t>
  </si>
  <si>
    <t>Refine retrieval to focus on pharmacokinetic data specifically related to single ascending doses and repeated-dose administration of ABC-123.</t>
  </si>
  <si>
    <t>Resolve the placeholder 'Summary of Pharmacokinetic data' to describe the dose-dependent exposure increases observed in ABC-123 pharmacokinetics under single ascending dose (SAD) and repeated-dose conditions, ensuring alignment with paragraph flow and positional identifiers.</t>
  </si>
  <si>
    <t>The pharmacokinetic profiles of ABC-123 indicate dose-dependent increases in exposure following single ascending doses (SAD) and repeated-dose administration. Key parameters such as Cmax and AUClast were characterized to provide insights into the drug's behavior under both dosing conditions.</t>
  </si>
  <si>
    <t>[{"id":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"CNM_ADD", "heading_path": ["6. Regulatory or Development Implications"], "filename": "Mock_CSR Key messages_with_heading.docx"}, {"id": "doc::4877313e:layout::12:para::8", "content": "obtain pharmacokinetic (PK), safety, and tolerability data in participants with boneitis;", "index": "section@para", "score": 4.0, "type": "CNM_ADD", "heading_path": ["Study Rationale"], "filename": "Mock_CSR_Protocol.docx"},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"CNM_ADD", "heading_path": ["STATISTICAL AND ANALYTICAL PLANS", "Summary Statistics"],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"CNM_ADD", "heading_path": ["STATISTICAL AND ANALYTICAL PLANS", "Handling of Dropouts, Missing Data and Outliers"], "filename": "Mock SAP _03Jun2026.docx"},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["Study Title:"], "filename": "Mock_CSR Key messages_with_heading.docx"}, {"id": "doc::fd2ccc75:layout::0:para::32", "content": "To characterize the pharmacokinetic profile of ABC-123, including Cmax and AUClast, following single ascending doses and repeated dosing.", "index": "section@para", "score": 2.0, "type": "PWR_USED", "heading_path": ["3. Key Endpoints"],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2.0, "type": "PWR_USED", "heading_path": ["3. Key Endpoints"], "filename": "Mock_CSR Key messages_with_heading.docx"}, {"id": "doc::fd2ccc75:layout::0:para::46", "content": "Race: The majority of subjects were White (86.1%). Asian subjects accounted for 8.3%, and Other for 5.6%. No subjects identified as American Indian/Alaska Native, Black/African American, or Native Hawaiian/Other Pacific Islander. No race data were missing.", "index": "section@para", "score": 2.0, "type": "PWR_DROP", "heading_path": ["4. Key Results"], "filename": "Mock_CSR Key messages_with_heading.docx"}, {"id": "doc::fd2ccc75:layout::0:para::52", "content": "Pharmacokinetics:", "index": "section@para", "score": 2.0, "type": "PWR_DROP", "heading_path": ["4. Key Results"], "filename": "Mock_CSR Key messages_with_heading.docx"}, {"id": "doc::fd2ccc75:layout::0:para::54", "content": "The pharmacokinetic (PK) profiles of ABC-123 demonstrate dose-dependent increases in exposure following both single ascending doses and repeated-dose administration.", "index": "section@para", "score": 2.0, "type": "PWR_USED", "heading_path": ["4. Key Results"], "filename": "Mock_CSR Key messages_with_heading.docx"}]</t>
  </si>
  <si>
    <t>doc::7cd3e10f:layout::3:para::9::ph::0</t>
  </si>
  <si>
    <t>&lt;Table Pharmacokinetic Parameters Following Single Ascending Doses&gt;</t>
  </si>
  <si>
    <t>Retrieve detailed pharmacokinetic data for ABC-123 following single ascending doses, prioritizing tables or structured data with matching captions.</t>
  </si>
  <si>
    <t>Resolve the placeholder 'Table Pharmacokinetic Parameters Following Single Ascending Doses' by linking to the semantically matching table caption 'Table 14.2.3 Pharmacokinetic Parameters Following Single Ascending Doses of ABC-123' from the context.</t>
  </si>
  <si>
    <t xml:space="preserve">Table 14.2.3 	Pharmacokinetic Parameters Following Single Ascending Doses of ABC-123
&lt;table&gt;&lt;tr&gt;&lt;th&gt;&lt;p style="text-align: center; margin-top: 3pt; margin-bottom: 3pt"&gt;&lt;span style="font-size: 12pt" class="font:Times New Roman"&gt;&lt;strong&gt;Dose (mg)&lt;/strong&gt;&lt;/span&gt;&lt;/p&gt;&lt;/th&gt;&lt;th&gt;&lt;p style="text-align: center; margin-top: 3pt; margin-bottom: 3pt"&gt;&lt;span style="font-size: 12pt" class="font:Times New Roman"&gt;&lt;strong&gt;N&lt;/strong&gt;&lt;/span&gt;&lt;/p&gt;&lt;/th&gt;&lt;th&gt;&lt;p style="text-align: center; margin-top: 3pt; margin-bottom: 3pt"&gt;&lt;span style="font-size: 12pt" class="font:Times New Roman"&gt;&lt;strong&gt;C&lt;/strong&gt;&lt;/span&gt;&lt;span style="font-size: 12pt" class="font:Times New Roman"&gt;&lt;sub&gt;&lt;strong&gt;max &lt;/strong&gt;&lt;/sub&gt;&lt;/span&gt;&lt;span style="font-size: 12pt" class="font:Times New Roman"&gt;&lt;strong&gt;(ng/mL)&lt;/strong&gt;&lt;/span&gt;&lt;/p&gt;&lt;/th&gt;&lt;th&gt;&lt;p style="text-align: center; margin-top: 3pt; margin-bottom: 3pt"&gt;&lt;span style="font-size: 12pt" class="font:Times New Roman"&gt;&lt;strong&gt;T&lt;/strong&gt;&lt;/span&gt;&lt;span style="font-size: 12pt" class="font:Times New Roman"&gt;&lt;sub&gt;&lt;strong&gt;max &lt;/strong&gt;&lt;/sub&gt;&lt;/span&gt;&lt;span style="font-size: 12pt" class="font:Times New Roman"&gt;&lt;strong&gt;(hr)&lt;/strong&gt;&lt;/span&gt;&lt;/p&gt;&lt;/th&gt;&lt;th&gt;&lt;p style="text-align: center; margin-top: 3pt; margin-bottom: 3pt"&gt;&lt;span style="font-size: 12pt" class="font:Times New Roman"&gt;&lt;strong&gt;AUC&lt;/strong&gt;&lt;/span&gt;&lt;span style="font-size: 12pt" class="font:Times New Roman"&gt;&lt;sub&gt;&lt;strong&gt;0–t &lt;/strong&gt;&lt;/sub&gt;&lt;/span&gt;&lt;span style="font-size: 12pt" class="font:Times New Roman"&gt;&lt;strong&gt;(ng·hr/mL)&lt;/strong&gt;&lt;/span&gt;&lt;/p&gt;&lt;/th&gt;&lt;th&gt;&lt;p style="text-align: center; margin-top: 3pt; margin-bottom: 3pt"&gt;&lt;span style="font-size: 12pt" class="font:Times New Roman"&gt;&lt;strong&gt;AUC&lt;/strong&gt;&lt;/span&gt;&lt;span style="font-size: 12pt" class="font:Times New Roman"&gt;&lt;sub&gt;&lt;strong&gt;0–∞&lt;/strong&gt;&lt;/sub&gt;&lt;/span&gt;&lt;span style="font-size: 12pt" class="font:Times New Roman"&gt;&lt;strong&gt; (ng·hr/mL)&lt;/strong&gt;&lt;/span&gt;&lt;/p&gt;&lt;/th&gt;&lt;th&gt;&lt;p style="text-align: center; margin-top: 3pt; margin-bottom: 3pt"&gt;&lt;span style="font-size: 12pt" class="font:Times New Roman"&gt;&lt;strong&gt;t&lt;/strong&gt;&lt;/span&gt;&lt;span style="font-size: 12pt" class="font:Times New Roman"&gt;&lt;sub&gt;&lt;strong&gt;½ &lt;/strong&gt;&lt;/sub&gt;&lt;/span&gt;&lt;span style="font-size: 12pt" class="font:Times New Roman"&gt;&lt;strong&gt;(hr)&lt;/strong&gt;&lt;/span&gt;&lt;/p&gt;&lt;/th&gt;&lt;th&gt;&lt;p style="text-align: center; margin-top: 3pt; margin-bottom: 3pt"&gt;&lt;span style="font-size: 12pt" class="font:Times New Roman"&gt;&lt;strong&gt;CL/F (L/hr)&lt;/strong&gt;&lt;/span&gt;&lt;/p&gt;&lt;/th&gt;&lt;th&gt;&lt;p style="text-align: center; margin-top: 3pt; margin-bottom: 3pt"&gt;&lt;span style="font-size: 12pt" class="font:Times New Roman"&gt;&lt;strong&gt;Vd/F (L)&lt;/strong&gt;&lt;/span&gt;&lt;/p&gt;&lt;/th&gt;&lt;/tr&gt;&lt;tr&gt;&lt;td&gt;&lt;p style="margin-top: 3pt; margin-bottom: 3pt"&gt;&lt;span style="font-size: 12pt" class="font:Times New Roman"&gt;5 &lt;/span&gt;&lt;/p&gt;&lt;/td&gt;&lt;td&gt;&lt;p style="margin-top: 3pt; margin-bottom: 3pt"&gt;&lt;span style="font-size: 12pt" class="font:Times New Roman"&gt;24 &lt;/span&gt;&lt;/p&gt;&lt;/td&gt;&lt;td&gt;&lt;p style="margin-top: 3pt; margin-bottom: 3pt"&gt;&lt;span style="font-size: 12pt" class="font:Times New Roman"&gt;150 &lt;/span&gt;&lt;/p&gt;&lt;/td&gt;&lt;td&gt;&lt;p style="margin-top: 3pt; margin-bottom: 3pt"&gt;&lt;span style="font-size: 12pt" class="font:Times New Roman"&gt;1.5 &lt;/span&gt;&lt;/p&gt;&lt;/td&gt;&lt;td&gt;&lt;p style="margin-top: 3pt; margin-bottom: 3pt"&gt;&lt;span style="font-size: 12pt" class="font:Times New Roman"&gt;900 &lt;/span&gt;&lt;/p&gt;&lt;/td&gt;&lt;td&gt;&lt;p style="margin-top: 3pt; margin-bottom: 3pt"&gt;&lt;span style="font-size: 12pt" class="font:Times New Roman"&gt;1050 &lt;/span&gt;&lt;/p&gt;&lt;/td&gt;&lt;td&gt;&lt;p style="margin-top: 3pt; margin-bottom: 3pt"&gt;&lt;span style="font-size: 12pt" class="font:Times New Roman"&gt;5.2 &lt;/span&gt;&lt;/p&gt;&lt;/td&gt;&lt;td&gt;&lt;p style="margin-top: 3pt; margin-bottom: 3pt"&gt;&lt;span style="font-size: 12pt" class="font:Times New Roman"&gt;12.5 &lt;/span&gt;&lt;/p&gt;&lt;/td&gt;&lt;td&gt;&lt;p style="margin-top: 3pt; margin-bottom: 3pt"&gt;&lt;span style="font-size: 12pt" class="font:Times New Roman"&gt;35 &lt;/span&gt;&lt;/p&gt;&lt;/td&gt;&lt;/tr&gt;&lt;tr&gt;&lt;td&gt;&lt;p style="margin-top: 3pt; margin-bottom: 3pt"&gt;&lt;span style="font-size: 12pt" class="font:Times New Roman"&gt;15 &lt;/span&gt;&lt;/p&gt;&lt;/td&gt;&lt;td&gt;&lt;p style="margin-top: 3pt; margin-bottom: 3pt"&gt;&lt;span style="font-size: 12pt" class="font:Times New Roman"&gt;24 &lt;/span&gt;&lt;/p&gt;&lt;/td&gt;&lt;td&gt;&lt;p style="margin-top: 3pt; margin-bottom: 3pt"&gt;&lt;span style="font-size: 12pt" class="font:Times New Roman"&gt;300 &lt;/span&gt;&lt;/p&gt;&lt;/td&gt;&lt;td&gt;&lt;p style="margin-top: 3pt; margin-bottom: 3pt"&gt;&lt;span style="font-size: 12pt" class="font:Times New Roman"&gt;2.0 &lt;/span&gt;&lt;/p&gt;&lt;/td&gt;&lt;td&gt;&lt;p style="margin-top: 3pt; margin-bottom: 3pt"&gt;&lt;span style="font-size: 12pt" class="font:Times New Roman"&gt;1800 &lt;/span&gt;&lt;/p&gt;&lt;/td&gt;&lt;td&gt;&lt;p style="margin-top: 3pt; margin-bottom: 3pt"&gt;&lt;span style="font-size: 12pt" class="font:Times New Roman"&gt;2100 &lt;/span&gt;&lt;/p&gt;&lt;/td&gt;&lt;td&gt;&lt;p style="margin-top: 3pt; margin-bottom: 3pt"&gt;&lt;span style="font-size: 12pt" class="font:Times New Roman"&gt;6.1 &lt;/span&gt;&lt;/p&gt;&lt;/td&gt;&lt;td&gt;&lt;p style="margin-top: 3pt; margin-bottom: 3pt"&gt;&lt;span style="font-size: 12pt" class="font:Times New Roman"&gt;13.0 &lt;/span&gt;&lt;/p&gt;&lt;/td&gt;&lt;td&gt;&lt;p style="margin-top: 3pt; margin-bottom: 3pt"&gt;&lt;span style="font-size: 12pt" class="font:Times New Roman"&gt;45 &lt;/span&gt;&lt;/p&gt;&lt;/td&gt;&lt;/tr&gt;&lt;tr&gt;&lt;td&gt;&lt;p style="margin-top: 3pt; margin-bottom: 3pt"&gt;&lt;span style="font-size: 12pt" class="font:Times New Roman"&gt;50 &lt;/span&gt;&lt;/p&gt;&lt;/td&gt;&lt;td&gt;&lt;p style="margin-top: 3pt; margin-bottom: 3pt"&gt;&lt;span style="font-size: 12pt" class="font:Times New Roman"&gt;24 &lt;/span&gt;&lt;/p&gt;&lt;/td&gt;&lt;td&gt;&lt;p style="margin-top: 3pt; margin-bottom: 3pt"&gt;&lt;span style="font-size: 12pt" class="font:Times New Roman"&gt;500 &lt;/span&gt;&lt;/p&gt;&lt;/td&gt;&lt;td&gt;&lt;p style="margin-top: 3pt; margin-bottom: 3pt"&gt;&lt;span style="font-size: 12pt" class="font:Times New Roman"&gt;2.5 &lt;/span&gt;&lt;/p&gt;&lt;/td&gt;&lt;td&gt;&lt;p style="margin-top: 3pt; margin-bottom: 3pt"&gt;&lt;span style="font-size: 12pt" class="font:Times New Roman"&gt;2500 &lt;/span&gt;&lt;/p&gt;&lt;/td&gt;&lt;td&gt;&lt;p style="margin-top: 3pt; margin-bottom: 3pt"&gt;&lt;span style="font-size: 12pt" class="font:Times New Roman"&gt;3000 &lt;/span&gt;&lt;/p&gt;&lt;/td&gt;&lt;td&gt;&lt;p style="margin-top: 3pt; margin-bottom: 3pt"&gt;&lt;span style="font-size: 12pt" class="font:Times New Roman"&gt;6.5 &lt;/span&gt;&lt;/p&gt;&lt;/td&gt;&lt;td&gt;&lt;p style="margin-top: 3pt; margin-bottom: 3pt"&gt;&lt;span style="font-size: 12pt" class="font:Times New Roman"&gt;12.8 &lt;/span&gt;&lt;/p&gt;&lt;/td&gt;&lt;td&gt;&lt;p style="margin-top: 3pt; margin-bottom: 3pt"&gt;&lt;span style="font-size: 12pt" class="font:Times New Roman"&gt;60 &lt;/span&gt;&lt;/p&gt;&lt;/td&gt;&lt;/tr&gt;&lt;tr&gt;&lt;td&gt;&lt;p style="margin-top: 3pt; margin-bottom: 3pt"&gt;&lt;span style="font-size: 12pt" class="font:Times New Roman"&gt;150&lt;/span&gt;&lt;/p&gt;&lt;/td&gt;&lt;td&gt;&lt;p style="margin-top: 3pt; margin-bottom: 3pt"&gt;&lt;span style="font-size: 12pt" class="font:Times New Roman"&gt;24 &lt;/span&gt;&lt;/p&gt;&lt;/td&gt;&lt;td&gt;&lt;p style="margin-top: 3pt; margin-bottom: 3pt"&gt;&lt;span style="font-size: 12pt" class="font:Times New Roman"&gt;900 &lt;/span&gt;&lt;/p&gt;&lt;/td&gt;&lt;td&gt;&lt;p style="margin-top: 3pt; margin-bottom: 3pt"&gt;&lt;span style="font-size: 12pt" class="font:Times New Roman"&gt;3.0 &lt;/span&gt;&lt;/p&gt;&lt;/td&gt;&lt;td&gt;&lt;p style="margin-top: 3pt; margin-bottom: 3pt"&gt;&lt;span style="font-size: 12pt" class="font:Times New Roman"&gt;4500 &lt;/span&gt;&lt;/p&gt;&lt;/td&gt;&lt;td&gt;&lt;p style="margin-top: 3pt; margin-bottom: 3pt"&gt;&lt;span style="font-size: 12pt" class="font:Times New Roman"&gt;5200 &lt;/span&gt;&lt;/p&gt;&lt;/td&gt;&lt;td&gt;&lt;p style="margin-top: 3pt; margin-bottom: 3pt"&gt;&lt;span style="font-size: 12pt" class="font:Times New Roman"&gt;7.0 &lt;/span&gt;&lt;/p&gt;&lt;/td&gt;&lt;td&gt;&lt;p style="margin-top: 3pt; margin-bottom: 3pt"&gt;&lt;span style="font-size: 12pt" class="font:Times New Roman"&gt;13.2 &lt;/span&gt;&lt;/p&gt;&lt;/td&gt;&lt;td&gt;&lt;p style="margin-top: 3pt; margin-bottom: 3pt"&gt;&lt;span style="font-size: 12pt" class="font:Times New Roman"&gt;70 &lt;/span&gt;&lt;/p&gt;&lt;/td&gt;&lt;/tr&gt;&lt;/table&gt;
Abbreviations:  AUC = area under the serum concentration-time curve; AUC0-∞=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t>
  </si>
  <si>
    <t>[{"id": "doc::ac3b7b0b:layout::0:para::13", "content": "Table 14.2.3 \tPharmacokinetic Parameters Following Single Ascending Doses of ABC-123", "index": "table@full", "score": 14.0, "type": "PWR_USED", "heading_path": ["Table 14.2.3 \tPharmacokinetic Parameters Following Single Ascending Doses of ABC-123"], "filename": "Mock_CSR _Tables_30Oct25.rtf"}, {"id": "doc::fd2ccc75:layout::0:para::32", "content": "To characterize the pharmacokinetic profile of ABC-123, including Cmax and AUClast, following single ascending doses and repeated dosing.", "index": "section@para", "score": 10.0, "type": "PWR_DROP", "heading_path": ["3. Key Endpoints"],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10.0, "type": "PWR_DROP",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10.0, "type": "PWR_DROP", "heading_path": ["3. Key Endpoints"], "filename": "Mock_CSR Key messages_with_heading.docx"}, {"id": "doc::fd2ccc75:layout::0:para::54", "content": "The pharmacokinetic (PK) profiles of ABC-123 demonstrate dose-dependent increases in exposure following both single ascending doses and repeated-dose administration.", "index": "section@para", "score": 10.0, "type": "PWR_DROP", "heading_path": ["4. Key Results"], "filename": "Mock_CSR Key messages_with_heading.docx"}, {"id": "doc::fd2ccc75:layout::0:para::10", "content": "The primary objective of this clinical study was to assess the safety and tolerability after 4 weeks of exposure following single ascending doses of ABC-123", "index": "section@para", "score": 8.0, "type": "PWR_DROP", "heading_path": ["1. Study Objective"], "filename": "Mock_CSR Key messages_with_heading.docx"}, {"id": "doc::fd2ccc75:layout::0:para::13", "content": "To characterize PK of ABC-123 following single ascending doses", "index": "section@para", "score": 8.0, "type": "PWR_DROP", "heading_path": ["1. Study Objective"], "filename": "Mock_CSR Key messages_with_heading.docx"}, {"id": "doc::fd2ccc75:layout::0:para::16", "content": "To explore additional PK characteristics of ABC-123 following single ascending doses", "index": "section@para", "score": 8.0, "type": "PWR_DROP", "heading_path": ["1. Study Objective"], "filename": "Mock_CSR Key messages_with_heading.docx"}, {"id": "doc::fd2ccc75:layout::0:para::19", "content": "To explore effects of ABC-123 on clinical laboratory assessments, 12-lead ECG, and vital signs following single ascending doses", "index": "section@para", "score": 8.0, "type": "PWR_DROP", "heading_path": ["1. Study Objective"], "filename": "Mock_CSR Key messages_with_heading.docx"}, {"id": "doc::fd2ccc75:layout::0:para::21", "content": "To explore the impact of ADA on the PK profile of ABC-123 following single ascending doses", "index": "section@para", "score": 8.0, "type": "PWR_DROP", "heading_path": ["1. Study Objective"], "filename": "Mock_CSR Key messages_with_heading.docx"}]</t>
  </si>
  <si>
    <t>doc::7cd3e10f:layout::3:para::11::ph::0</t>
  </si>
  <si>
    <t>&lt;Table Pharmacokinetic Parameters of ABC-123 Following Repeated-Dose  Administration &gt;</t>
  </si>
  <si>
    <t>Retrieve tables specifically addressing pharmacokinetic parameters of ABC-123, focusing on repeated-dose administration.</t>
  </si>
  <si>
    <t>Resolve the placeholder 'Table Pharmacokinetic Parameters of ABC-123 Following Repeated-Dose Administration' by linking to the table caption 'Table 14.2.4 Pharmacokinetic Parameters of ABC-123 Following Repeated-Dose Administration', ensuring alignment with the preceding and succeeding paragraph flow.</t>
  </si>
  <si>
    <t>Table 14.2.4 	Pharmacokinetic Parameters of ABC-123 Following Repeated-Dose  Administration
&lt;table&gt;&lt;tr&gt;&lt;th&gt;&lt;p style="text-align: center; margin-top: 3pt; margin-bottom: 3pt"&gt;&lt;span style="font-size: 12pt"&gt;Dose&lt;/span&gt;&lt;/p&gt;&lt;p style="text-align: center; margin-top: 3pt; margin-bottom: 3pt"&gt;&lt;span style="font-size: 12pt"&gt;(mg, Q2W x 3 doses)&lt;/span&gt;&lt;/p&gt;&lt;/th&gt;&lt;th&gt;&lt;p style="text-align: center; margin-top: 3pt; margin-bottom: 3pt"&gt;&lt;span style="font-size: 12pt"&gt;N&lt;/span&gt;&lt;/p&gt;&lt;/th&gt;&lt;th&gt;&lt;p style="text-align: center; margin-top: 3pt; margin-bottom: 3pt"&gt;&lt;span style="font-size: 12pt"&gt;C&lt;/span&gt;&lt;span style="font-size: 12pt"&gt;&lt;sub&gt;max,ss &lt;/sub&gt;&lt;/span&gt;&lt;span style="font-size: 12pt"&gt;(ng/mL)&lt;/span&gt;&lt;/p&gt;&lt;/th&gt;&lt;th&gt;&lt;p style="text-align: center; margin-top: 3pt; margin-bottom: 3pt"&gt;&lt;span style="font-size: 12pt"&gt;C&lt;/span&gt;&lt;span style="font-size: 12pt"&gt;&lt;sub&gt;min,ss &lt;/sub&gt;&lt;/span&gt;&lt;span style="font-size: 12pt"&gt;(ng/mL)&lt;/span&gt;&lt;/p&gt;&lt;/th&gt;&lt;th&gt;&lt;p style="text-align: center; margin-top: 3pt; margin-bottom: 3pt"&gt;&lt;span style="font-size: 12pt"&gt;T&lt;/span&gt;&lt;span style="font-size: 12pt"&gt;&lt;sub&gt;max,ss &lt;/sub&gt;&lt;/span&gt;&lt;span style="font-size: 12pt"&gt;(hr)&lt;/span&gt;&lt;/p&gt;&lt;/th&gt;&lt;th&gt;&lt;p style="text-align: center; margin-top: 3pt; margin-bottom: 3pt"&gt;&lt;span style="font-size: 12pt"&gt;AUC&lt;/span&gt;&lt;span style="font-size: 12pt"&gt;&lt;sub&gt;τ &lt;/sub&gt;&lt;/span&gt;&lt;span style="font-size: 12pt"&gt;(ng·hr/mL)&lt;/span&gt;&lt;/p&gt;&lt;/th&gt;&lt;th&gt;&lt;p style="text-align: center; margin-top: 3pt; margin-bottom: 3pt"&gt;&lt;span style="font-size: 12pt"&gt;t&lt;/span&gt;&lt;span style="font-size: 12pt"&gt;&lt;sub&gt;½&lt;/sub&gt;&lt;/span&gt;&lt;span style="font-size: 12pt"&gt; &lt;/span&gt;&lt;/p&gt;&lt;p style="text-align: center; margin-top: 3pt; margin-bottom: 3pt"&gt;&lt;span style="font-size: 12pt"&gt;(hr)&lt;/span&gt;&lt;/p&gt;&lt;/th&gt;&lt;th&gt;&lt;p style="text-align: center; margin-top: 0pt; margin-bottom: 0pt"&gt;&lt;span style="font-size: 12pt"&gt;R&lt;/span&gt;&lt;span style="font-size: 12pt"&gt;&lt;sub&gt;ac&lt;/sub&gt;&lt;/span&gt;&lt;/p&gt;&lt;/th&gt;&lt;th&gt;&lt;p style="text-align: center; margin-top: 3pt; margin-bottom: 3pt"&gt;&lt;span style="font-size: 12pt"&gt;CL/F (L/hr)&lt;/span&gt;&lt;/p&gt;&lt;/th&gt;&lt;/tr&gt;&lt;tr&gt;&lt;td&gt;&lt;p style="margin-top: 3pt; margin-bottom: 3pt"&gt;&lt;span style="font-size: 12pt"&gt;150&lt;/span&gt;&lt;/p&gt;&lt;/td&gt;&lt;td&gt;&lt;p style="margin-top: 3pt; margin-bottom: 3pt"&gt;&lt;span style="font-size: 12pt"&gt;30 &lt;/span&gt;&lt;/p&gt;&lt;/td&gt;&lt;td&gt;&lt;p style="margin-top: 3pt; margin-bottom: 3pt"&gt;&lt;span style="font-size: 12pt"&gt;850 &lt;/span&gt;&lt;/p&gt;&lt;/td&gt;&lt;td&gt;&lt;p style="margin-top: 3pt; margin-bottom: 3pt"&gt;&lt;span style="font-size: 12pt"&gt;250 &lt;/span&gt;&lt;/p&gt;&lt;/td&gt;&lt;td&gt;&lt;p style="margin-top: 3pt; margin-bottom: 3pt"&gt;&lt;span style="font-size: 12pt"&gt;4.0 &lt;/span&gt;&lt;/p&gt;&lt;/td&gt;&lt;td&gt;&lt;p style="margin-top: 3pt; margin-bottom: 3pt"&gt;&lt;span style="font-size: 12pt"&gt;8500 &lt;/span&gt;&lt;/p&gt;&lt;/td&gt;&lt;td&gt;&lt;p style="margin-top: 3pt; margin-bottom: 3pt"&gt;&lt;span style="font-size: 12pt"&gt;16.5 &lt;/span&gt;&lt;/p&gt;&lt;/td&gt;&lt;td&gt;&lt;p style="margin-top: 3pt; margin-bottom: 3pt"&gt;&lt;span style="font-size: 12pt"&gt;1.9 &lt;/span&gt;&lt;/p&gt;&lt;/td&gt;&lt;td&gt;&lt;p style="margin-top: 3pt; margin-bottom: 3pt"&gt;&lt;span style="font-size: 12pt"&gt;8.1 &lt;/span&gt;&lt;/p&gt;&lt;/td&gt;&lt;/tr&gt;&lt;/table&gt;
Abbreviations:  AUCτ = area under the plasma concentration–time curve during the dosing interval (τ); CL/F = apparent clearance; Cmax,ss = maximum observed plasma concentration at steady state; Cmin,ss  = minimum plasma concentration at steady state; N = number of participants; Tmax,ss = time to reach maximum plasma concentration at steady state; t½ = Elimination half-life; Rac = accumulation ratio</t>
  </si>
  <si>
    <t>[{"id": "doc::ac3b7b0b:layout::0:para::16", "content": "Table 14.2.4 \tPharmacokinetic Parameters of ABC-123 Following Repeated-Dose  Administration", "index": "table@full", "score": 14.0, "type": "PWR_USED", "heading_path": ["Table 14.2.4 \tPharmacokinetic Parameters of ABC-123 Following Repeated-Dose  Administration"], "filename": "Mock_CSR _Tables_30Oct25.rtf"}, {"id": "doc::fd2ccc75:layout::0:para::54", "content": "The pharmacokinetic (PK) profiles of ABC-123 demonstrate dose-dependent increases in exposure following both single ascending doses and repeated-dose administration.", "index": "section@para", "score": 10.0, "type": "CNM_ADD", "heading_path": ["4. Key Results"], "filename": "Mock_CSR Key messages_with_heading.docx"}, {"id": "doc::fd2ccc75:layout::0:para::37", "content": "To characterize the incidence of clinically significant changes in laboratory parameters following single ascending doses and multiple dosing administration of ABC-123", "index": "section@para", "score": 8.0, "type": "CNM_ADD", "heading_path": ["3. Key Endpoints"], "filename": "Mock_CSR Key messages_with_heading.docx"}, {"id": "doc::fd2ccc75:layout::0:para::57", "content": "Repeated-Dose Administration (Table 2):", "index": "section@para", "score": 8.0, "type": "PWR_DROP", "heading_path": ["4. Key Results"],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8.0, "type": "CNM_ADD", "heading_path": ["5. Interpretation &amp; Conclusion"], "filename": "Mock_CSR Key messages_with_heading.docx"}, {"id": "doc::ac3b7b0b:layout::0:para::13", "content": "Table 14.2.3 \tPharmacokinetic Parameters Following Single Ascending Doses of ABC-123", "index": "table@full", "score": 8.0, "type": "PWR_DROP", "heading_path": ["Table 14.2.3 \tPharmacokinetic Parameters Following Single Ascending Doses of ABC-123"], "filename": "Mock_CSR _Tables_30Oct25.rtf"}, {"id": "doc::ac3b7b0b:layout::0:para::22", "content": "Table 14.2.6\t PD Biomarker Changes Following Repeated Dose of ABC-123 and Placebo in Boneitis Participants", "index": "section@para", "score": 8.0, "type": "PWR_DROP", "heading_path": [], "filename": "Mock_CSR _Tables_30Oct25.rtf"}, {"id": "doc::4877313e:layout::16:para::5", "content": "All screening tests establishing eligibility will be performed following informed consent and within 35 days prior to study intervention administration. Participants will reside at the CRU from Day 2 to Day 5 and Day 28 to Day 33 and will receive SC 150 mg ABC-123 (6\u00a0participants)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"index": "section@para", "score": 8.0, "type": "CNM_ADD", "heading_path": ["Overall Design", "Repeat-Dose"], "filename": "Mock_CSR_Protocol.docx"}, {"id": "doc::fd2ccc75:layout::0:para::29", "content": "The number of participants experiencing serious adverse events (SAEs) and non-serious adverse events (AEs) following single or repeated administration of ABC-123.", "index": "section@para", "score": 6.0, "type": "CNM_ADD",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6.0, "type": "CNM_ADD", "heading_path": ["3. Key Endpoints"], "filename": "Mock_CSR Key messages_with_heading.docx"}]</t>
  </si>
  <si>
    <t>doc::7cd3e10f:layout::3:para::12::ph::0</t>
  </si>
  <si>
    <t>&lt;Conclusion Pharmacokinetic &gt;</t>
  </si>
  <si>
    <t>Insert PK-Conclusion (super briefly)</t>
  </si>
  <si>
    <t>Retrieve detailed pharmacokinetic conclusions related to ABC-123, focusing on dose-proportionality and accumulation.</t>
  </si>
  <si>
    <t>Resolve the placeholder 'Conclusion Pharmacokinetic' positioned after 'Insert PK-Conclusion (super briefly)' by summarizing the pharmacokinetic findings of ABC-123, emphasizing predictability, dose-proportionality, and implications for dosing strategies.</t>
  </si>
  <si>
    <t>&lt;p&gt;ABC-123 exhibited predictable, dose-proportional pharmacokinetics with moderate accumulation upon repeated dosing, supporting its dosing regimen and potential for informed future strategies.&lt;/p&gt;</t>
  </si>
  <si>
    <t>[{"id":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["Study Title:"], "filename": "Mock_CSR Key messages_with_heading.docx"}, {"id": "doc::fd2ccc75:layout::0:para::32", "content": "To characterize the pharmacokinetic profile of ABC-123, including Cmax and AUClast, following single ascending doses and repeated dosing.", "index": "section@para", "score": 2.0, "type": "CNM_ADD", "heading_path": ["3. Key Endpoints"],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2.0, "type": "CNM_ADD", "heading_path": ["3. Key Endpoints"], "filename": "Mock_CSR Key messages_with_heading.docx"}, {"id": "doc::fd2ccc75:layout::0:para::52", "content": "Pharmacokinetics:", "index": "section@para", "score": 2.0, "type": "CNM_ADD", "heading_path": ["4. Key Results"], "filename": "Mock_CSR Key messages_with_heading.docx"}, {"id": "doc::fd2ccc75:layout::0:para::54", "content": "The pharmacokinetic (PK) profiles of ABC-123 demonstrate dose-dependent increases in exposure following both single ascending doses and repeated-dose administration.", "index": "section@para", "score": 2.0, "type": "CNM_ADD", "heading_path": ["4. Key Results"], "filename": "Mock_CSR Key messages_with_heading.docx"}, {"id": "doc::fd2ccc75:layout::0:para::56", "content": "The pharmacokinetic (PK) parameters of ABC-123 show dose-proportional increases in Cmax and AUC from 5 mg up to 150 mg, indicating predictable and linear pharmacokinetics. The half-life (t\u00bd) slightly increases with dose, ranging from 5.2 to 7.0 hours, and the apparent clearance (CL/F) and volume of distribution (Vd/F) remain relatively stable across doses. Tmax increases modestly from 1.5 to 3 hours with increasing dose.", "index": "section@para", "score": 2.0, "type": "PWR_USED", "heading_path": ["4. Key Results"], "filename": "Mock_CSR Key messages_with_heading.docx"}, {"id": "doc::fd2ccc75:layout::0:para::59", "content": "Overall, ABC-123 exhibits dose-proportional pharmacokinetics with predictable increases in exposure and moderate accumulation upon repeated dosing, supporting the dosing regimen evaluated in this study.", "index": "section@para", "score": 2.0, "type": "PWR_USED", "heading_path": ["4. Key Results"], "filename": "Mock_CSR Key messages_with_heading.docx"}, {"id": "doc::fd2ccc75:layout::0:para::65", "content": "Overall conclusion:", "index": "section@para", "score": 2.0, "type": "CNM_ADD",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"CNM_ADD", "heading_path": [],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2.0, "type": "PWR_USED", "heading_path": ["5. Interpretation &amp; Conclusion"], "filename": "Mock_CSR Key messages_with_heading.docx"}]</t>
  </si>
  <si>
    <t>doc::7cd3e10f:layout::3:para::14::ph::0</t>
  </si>
  <si>
    <t>&lt;Summary of Pharmacodynamics data&gt;</t>
  </si>
  <si>
    <t>Summarize PD information for both SAD and Repeat Dose</t>
  </si>
  <si>
    <t>Retrieve detailed pharmacodynamic findings for ABC-123 under single ascending dose and repeated dose conditions, focusing on biomarker changes and therapeutic implications.</t>
  </si>
  <si>
    <t>Summarize the pharmacodynamic data for ABC-123 under single ascending dose (SAD) and repeated dose conditions, emphasizing its effects on glucose metabolism, insulin sensitivity, and associated biomarkers, while referencing the positional identifiers such as the neighboring paragraph flow mentioning Tables 10 and 11.</t>
  </si>
  <si>
    <t>The pharmacodynamic analysis of ABC-123 revealed discernible activity in both single ascending dose (SAD) and repeated dose studies. In healthy participants receiving SAD, modest improvements were observed in glucose metabolism and insulin sensitivity, including reductions in fasting glucose, insulin, and leptin levels, alongside increased adiponectin. Conversely, repeated dosing in Boneitis patients demonstrated pronounced metabolic benefits, with significant reductions in fasting glucose, insulin, C-peptide, and leptin levels, as well as substantial increases in adiponectin. These findings underscore the enhanced pharmacodynamic effects of ABC-123 in the diseased state, suggesting its potential as a therapeutic agent for Boneitis.</t>
  </si>
  <si>
    <t>[{"id":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4.0, "type": "CNM_ADD", "heading_path": ["5. Interpretation &amp; Conclusion"], "filename": "Mock_CSR Key messages_with_heading.docx"},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"CNM_ADD", "heading_path": ["Statistical Analyses", "Pharmacodynamic Analyses"], "filename": "Mock_CSR_Protocol.docx"},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"CNM_ADD", "heading_path": ["STATISTICAL AND ANALYTICAL PLANS", "Summary Statistics"],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"CNM_ADD", "heading_path": ["STATISTICAL AND ANALYTICAL PLANS", "Handling of Dropouts, Missing Data and Outliers"], "filename": "Mock SAP _03Jun2026.docx"}, {"id": "doc::fd2ccc75:layout::0:para::46", "content": "Race: The majority of subjects were White (86.1%). Asian subjects accounted for 8.3%, and Other for 5.6%. No subjects identified as American Indian/Alaska Native, Black/African American, or Native Hawaiian/Other Pacific Islander. No race data were missing.", "index": "section@para", "score": 2.0, "type": "CNM_ADD", "heading_path": ["4. Key Results"], "filename": "Mock_CSR Key messages_with_heading.docx"}, {"id": "doc::fd2ccc75:layout::0:para::60", "content": "Pharmacodynamics:", "index": "section@para", "score": 2.0, "type": "PWR_DROP", "heading_path": ["4. Key Results"], "filename": "Mock_CSR Key messages_with_heading.docx"}, {"id": "doc::fd2ccc75:layout::0:para::62", "content": "ABC-123 demonstrates clear pharmacodynamic activity related to glucose and lipid metabolism.", "index": "section@para", "score": 2.0,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"PWR_USED", "heading_path": ["4. Key Results"],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2.0, "type": "PWR_USED",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2.0, "type": "CNM_ADD", "heading_path": ["6. Regulatory or Development Implications"], "filename": "Mock_CSR Key messages_with_heading.docx"}]</t>
  </si>
  <si>
    <t>doc::7cd3e10f:layout::3:para::17::ph::0</t>
  </si>
  <si>
    <t>&lt;Table PD Biomarker Changes Following Single Ascending Dose (SAD)&gt;</t>
  </si>
  <si>
    <t>Retrieve detailed tables specifically discussing PD biomarker changes following single ascending doses of ABC-123 in healthy participants.</t>
  </si>
  <si>
    <t>Resolve the placeholder 'Table PD Biomarker Changes Following Single Ascending Dose (SAD)' based on its positional context within the paragraph flow, matching it to the semantically similar table caption 'Table 14.2.5 PD Biomarker Changes Following Single Ascending Dose (SAD) of ABC-123 and Placebo in Healthy Participants'.</t>
  </si>
  <si>
    <t>Table 14.2.5	PD Biomarker Changes Following Single Ascending Dose (SAD) of ABC-123 and Placebo in Healthy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Roman"&gt;&lt;strong&gt;SAD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Roman"&gt;101.5 ± 9.8 &lt;/span&gt;&lt;/p&gt;&lt;/td&gt;&lt;td&gt;&lt;p style="margin-top: 3pt; margin-bottom: 3pt"&gt;&lt;span style="font-size: 10pt" class="font:Times New Roman"&gt;100.8 ± 9.5 &lt;/span&gt;&lt;/p&gt;&lt;/td&gt;&lt;td&gt;&lt;p style="margin-top: 3pt; margin-bottom: 3pt"&gt;&lt;span style="font-size: 10pt" class="font:Times New Roman"&gt;–0.7 ± 1.2 &lt;/span&gt;&lt;/p&gt;&lt;/td&gt;&lt;td&gt;&lt;p style="margin-top: 3pt; margin-bottom: 3pt"&gt;&lt;span style="font-size: 10pt" class="font:Times New Roman"&gt;102.0 ± 10.2 &lt;/span&gt;&lt;/p&gt;&lt;/td&gt;&lt;td&gt;&lt;p style="margin-top: 3pt; margin-bottom: 3pt"&gt;&lt;span style="font-size: 10pt" class="font:Times New Roman"&gt;96.8 ± 9.1 &lt;/span&gt;&lt;/p&gt;&lt;/td&gt;&lt;td&gt;&lt;p style="margin-top: 3pt; margin-bottom: 3pt"&gt;&lt;span style="font-size: 10pt" class="font:Times New Roman"&gt;–5.2 ± 3.8 &lt;/span&gt;&lt;/p&gt;&lt;/td&gt;&lt;/tr&gt;&lt;tr&gt;&lt;td&gt;&lt;p style="margin-top: 3pt; margin-bottom: 3pt"&gt;&lt;span style="font-size: 10pt" class="font:Times New Roman"&gt;Insulin (µU/mL) &lt;/span&gt;&lt;/p&gt;&lt;/td&gt;&lt;td&gt;&lt;p style="margin-top: 3pt; margin-bottom: 3pt"&gt;&lt;span style="font-size: 10pt" class="font:Times New Roman"&gt;16.0 ± 3.0 &lt;/span&gt;&lt;/p&gt;&lt;/td&gt;&lt;td&gt;&lt;p style="margin-top: 3pt; margin-bottom: 3pt"&gt;&lt;span style="font-size: 10pt" class="font:Times New Roman"&gt;15.8 ± 3.2 &lt;/span&gt;&lt;/p&gt;&lt;/td&gt;&lt;td&gt;&lt;p style="margin-top: 3pt; margin-bottom: 3pt"&gt;&lt;span style="font-size: 10pt" class="font:Times New Roman"&gt;–0.2 ± 0.9 &lt;/span&gt;&lt;/p&gt;&lt;/td&gt;&lt;td&gt;&lt;p style="margin-top: 3pt; margin-bottom: 3pt"&gt;&lt;span style="font-size: 10pt" class="font:Times New Roman"&gt;16.2 ± 3.1 &lt;/span&gt;&lt;/p&gt;&lt;/td&gt;&lt;td&gt;&lt;p style="margin-top: 3pt; margin-bottom: 3pt"&gt;&lt;span style="font-size: 10pt" class="font:Times New Roman"&gt;14.1 ± 2.9 &lt;/span&gt;&lt;/p&gt;&lt;/td&gt;&lt;td&gt;&lt;p style="margin-top: 3pt; margin-bottom: 3pt"&gt;&lt;span style="font-size: 10pt" class="font:Times New Roman"&gt;–2.1 ± 1.5 &lt;/span&gt;&lt;/p&gt;&lt;/td&gt;&lt;/tr&gt;&lt;tr&gt;&lt;td&gt;&lt;p style="margin-top: 3pt; margin-bottom: 3pt"&gt;&lt;span style="font-size: 10pt" class="font:Times New Roman"&gt;C-peptide (ng/mL) &lt;/span&gt;&lt;/p&gt;&lt;/td&gt;&lt;td&gt;&lt;p style="margin-top: 3pt; margin-bottom: 3pt"&gt;&lt;span style="font-size: 10pt" class="font:Times New Roman"&gt;2.5 ± 0.5 &lt;/span&gt;&lt;/p&gt;&lt;/td&gt;&lt;td&gt;&lt;p style="margin-top: 3pt; margin-bottom: 3pt"&gt;&lt;span style="font-size: 10pt" class="font:Times New Roman"&gt;2.4 ± 0.4 &lt;/span&gt;&lt;/p&gt;&lt;/td&gt;&lt;td&gt;&lt;p style="margin-top: 3pt; margin-bottom: 3pt"&gt;&lt;span style="font-size: 10pt" class="font:Times New Roman"&gt;–0.1 ± 0.1 &lt;/span&gt;&lt;/p&gt;&lt;/td&gt;&lt;td&gt;&lt;p style="margin-top: 3pt; margin-bottom: 3pt"&gt;&lt;span style="font-size: 10pt" class="font:Times New Roman"&gt;2.5 ± 0.4 &lt;/span&gt;&lt;/p&gt;&lt;/td&gt;&lt;td&gt;&lt;p style="margin-top: 3pt; margin-bottom: 3pt"&gt;&lt;span style="font-size: 10pt" class="font:Times New Roman"&gt;2.2 ± 0.3 &lt;/span&gt;&lt;/p&gt;&lt;/td&gt;&lt;td&gt;&lt;p style="margin-top: 3pt; margin-bottom: 3pt"&gt;&lt;span style="font-size: 10pt" class="font:Times New Roman"&gt;–0.3 ± 0.2 &lt;/span&gt;&lt;/p&gt;&lt;/td&gt;&lt;/tr&gt;&lt;tr&gt;&lt;td&gt;&lt;p style="margin-top: 3pt; margin-bottom: 3pt"&gt;&lt;span style="font-size: 10pt" class="font:Times New Roman"&gt;Free fatty acids (mmol/L) &lt;/span&gt;&lt;/p&gt;&lt;/td&gt;&lt;td&gt;&lt;p style="margin-top: 3pt; margin-bottom: 3pt"&gt;&lt;span style="font-size: 10pt" class="font:Times New Roman"&gt;0.61 ± 0.08 &lt;/span&gt;&lt;/p&gt;&lt;/td&gt;&lt;td&gt;&lt;p style="margin-top: 3pt; margin-bottom: 3pt"&gt;&lt;span style="font-size: 10pt" class="font:Times New Roman"&gt;0.60 ± 0.07 &lt;/span&gt;&lt;/p&gt;&lt;/td&gt;&lt;td&gt;&lt;p style="margin-top: 3pt; margin-bottom: 3pt"&gt;&lt;span style="font-size: 10pt" class="font:Times New Roman"&gt;–0.01 ± 0.02 &lt;/span&gt;&lt;/p&gt;&lt;/td&gt;&lt;td&gt;&lt;p style="margin-top: 3pt; margin-bottom: 3pt"&gt;&lt;span style="font-size: 10pt" class="font:Times New Roman"&gt;0.62 ± 0.09 &lt;/span&gt;&lt;/p&gt;&lt;/td&gt;&lt;td&gt;&lt;p style="margin-top: 3pt; margin-bottom: 3pt"&gt;&lt;span style="font-size: 10pt" class="font:Times New Roman"&gt;0.54 ± 0.07 &lt;/span&gt;&lt;/p&gt;&lt;/td&gt;&lt;td&gt;&lt;p style="margin-top: 3pt; margin-bottom: 3pt"&gt;&lt;span style="font-size: 10pt" class="font:Times New Roman"&gt;–0.08 ± 0.05 &lt;/span&gt;&lt;/p&gt;&lt;/td&gt;&lt;/tr&gt;&lt;tr&gt;&lt;td&gt;&lt;p style="margin-top: 3pt; margin-bottom: 3pt"&gt;&lt;span style="font-size: 10pt" class="font:Times New Roman"&gt;Adiponectin (µg/mL) &lt;/span&gt;&lt;/p&gt;&lt;/td&gt;&lt;td&gt;&lt;p style="margin-top: 3pt; margin-bottom: 3pt"&gt;&lt;span style="font-size: 10pt" class="font:Times New Roman"&gt;6.1 ± 1.1 &lt;/span&gt;&lt;/p&gt;&lt;/td&gt;&lt;td&gt;&lt;p style="margin-top: 3pt; margin-bottom: 3pt"&gt;&lt;span style="font-size: 10pt" class="font:Times New Roman"&gt;6.2 ± 1.0 &lt;/span&gt;&lt;/p&gt;&lt;/td&gt;&lt;td&gt;&lt;p style="margin-top: 3pt; margin-bottom: 3pt"&gt;&lt;span style="font-size: 10pt" class="font:Times New Roman"&gt;+0.1 ± 0.3 &lt;/span&gt;&lt;/p&gt;&lt;/td&gt;&lt;td&gt;&lt;p style="margin-top: 3pt; margin-bottom: 3pt"&gt;&lt;span style="font-size: 10pt" class="font:Times New Roman"&gt;6.0 ± 1.0 &lt;/span&gt;&lt;/p&gt;&lt;/td&gt;&lt;td&gt;&lt;p style="margin-top: 3pt; margin-bottom: 3pt"&gt;&lt;span style="font-size: 10pt" class="font:Times New Roman"&gt;7.1 ± 1.2 &lt;/span&gt;&lt;/p&gt;&lt;/td&gt;&lt;td&gt;&lt;p style="margin-top: 3pt; margin-bottom: 3pt"&gt;&lt;span style="font-size: 10pt" class="font:Times New Roman"&gt;+1.1 ± 0.8 &lt;/span&gt;&lt;/p&gt;&lt;/td&gt;&lt;/tr&gt;&lt;tr&gt;&lt;td&gt;&lt;p style="margin-top: 3pt; margin-bottom: 3pt"&gt;&lt;span style="font-size: 10pt" class="font:Times New Roman"&gt;Leptin (ng/mL) &lt;/span&gt;&lt;/p&gt;&lt;/td&gt;&lt;td&gt;&lt;p style="margin-top: 3pt; margin-bottom: 3pt"&gt;&lt;span style="font-size: 10pt" class="font:Times New Roman"&gt;13.6 ± 2.9 &lt;/span&gt;&lt;/p&gt;&lt;/td&gt;&lt;td&gt;&lt;p style="margin-top: 3pt; margin-bottom: 3pt"&gt;&lt;span style="font-size: 10pt" class="font:Times New Roman"&gt;13.4 ± 2.6 &lt;/span&gt;&lt;/p&gt;&lt;/td&gt;&lt;td&gt;&lt;p style="margin-top: 3pt; margin-bottom: 3pt"&gt;&lt;span style="font-size: 10pt" class="font:Times New Roman"&gt;–0.2 ± 0.7 &lt;/span&gt;&lt;/p&gt;&lt;/td&gt;&lt;td&gt;&lt;p style="margin-top: 3pt; margin-bottom: 3pt"&gt;&lt;span style="font-size: 10pt" class="font:Times New Roman"&gt;13.5 ± 2.8 &lt;/span&gt;&lt;/p&gt;&lt;/td&gt;&lt;td&gt;&lt;p style="margin-top: 3pt; margin-bottom: 3pt"&gt;&lt;span style="font-size: 10pt" class="font:Times New Roman"&gt;12.0 ± 2.4 &lt;/span&gt;&lt;/p&gt;&lt;/td&gt;&lt;td&gt;&lt;p style="margin-top: 3pt; margin-bottom: 3pt"&gt;&lt;span style="font-size: 10pt" class="font:Times New Roman"&gt;–1.5 ± 1.1 &lt;/span&gt;&lt;/p&gt;&lt;/td&gt;&lt;/tr&gt;&lt;/table&gt;
Abbreviations: SAD = single ascending dose; SD = standard deviation</t>
  </si>
  <si>
    <t>[{"id": "doc::ac3b7b0b:layout::0:para::19", "content": "Table 14.2.5\tPD Biomarker Changes Following Single Ascending Dose (SAD) of ABC-123 and Placebo in Healthy Participants", "index": "section@para", "score": 18.0, "type": "PWR_USED", "heading_path": [], "filename": "Mock_CSR _Tables_30Oct25.rtf"}, {"id": "doc::fd2ccc75:layout::0:para::18", "content": "To characterize dose-related changes in exploratory PD and safety biomarkers following single or multiple doses of ABC-123", "index": "section@para", "score": 12.0, "type": "CNM_ADD", "heading_path": ["1. Study Objective"], "filename": "Mock_CSR Key messages_with_heading.docx"}, {"id": "doc::ac3b7b0b:layout::0:para::22", "content": "Table 14.2.6\t PD Biomarker Changes Following Repeated Dose of ABC-123 and Placebo in Boneitis Participants", "index": "section@para", "score": 12.0, "type": "PWR_DROP", "heading_path": [], "filename": "Mock_CSR _Tables_30Oct25.rtf"},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10.0, "type": "CNM_ADD", "heading_path": ["2. Study Design Overview"], "filename": "Mock_CSR Key messages_with_heading.docx"}, {"id": "doc::fd2ccc75:layout::0:para::37", "content": "To characterize the incidence of clinically significant changes in laboratory parameters following single ascending doses and multiple dosing administration of ABC-123", "index": "section@para", "score": 10.0, "type": "PWR_DROP", "heading_path": ["3. Key Endpoints"], "filename": "Mock_CSR Key messages_with_heading.docx"}, {"id": "doc::fd2ccc75:layout::0:para::55", "content": "Single Ascending Dose (SAD) Study (Table 1):", "index": "section@para", "score": 10.0,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10.0, "type": "PWR_DROP", "heading_path": ["4. Key Results"], "filename": "Mock_CSR Key messages_with_heading.docx"},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10.0, "type": "PWR_DROP", "heading_path": ["Overall Design"], "filename": "Mock_CSR_Protocol.docx"}, {"id": "doc::fd2ccc75:layout::0:para::34", "content": "To characterize the additional pharmacokinetic profile of ABC-123, including Cmax and AUClast, Tlast, AUCinf, CL, V, and t1/2 following single ascending doses and multiple dosing", "index": "section@para", "score": 8.0, "type": "PWR_DROP", "heading_path": ["3. Key Endpoints"], "filename": "Mock_CSR Key messages_with_heading.docx"}, {"id": "doc::fd2ccc75:layout::0:para::35", "content": "To characterize the change from baseline in exploratory PD biomarker concentrations at specified post-dose time points.", "index": "section@para", "score": 8.0, "type": "PWR_DROP", "heading_path": ["3. Key Endpoints"], "filename": "Mock_CSR Key messages_with_heading.docx"}]</t>
  </si>
  <si>
    <t>doc::7cd3e10f:layout::3:para::19::ph::0</t>
  </si>
  <si>
    <t>&lt;Table PD Biomarker Changes Following Repeated Dose of ABC-123&gt;</t>
  </si>
  <si>
    <t>Retrieve information specifically about 'Table PD Biomarker Changes Following Repeated Dose of ABC-123' and ensure alignment with the semantic description provided in the context.</t>
  </si>
  <si>
    <t>Resolve the placeholder 'Table PD Biomarker Changes Following Repeated Dose of ABC-123' by identifying semantically matching table captions, specifically referencing 'Table 14.2.6 PD Biomarker Changes Following Repeated Dose of ABC-123 and Placebo in Boneitis Participants' from the context.</t>
  </si>
  <si>
    <t>Table 14.2.6	 PD Biomarker Changes Following Repeated Dose of ABC-123 and Placebo in Boneitis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Roman"&gt;&lt;strong&gt;Repeated Dose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Roman"&gt;111.0 ± 11.8 &lt;/span&gt;&lt;/p&gt;&lt;/td&gt;&lt;td&gt;&lt;p style="margin-top: 3pt; margin-bottom: 3pt"&gt;&lt;span style="font-size: 10pt" class="font:Times New Roman"&gt;110.2 ± 12.0 &lt;/span&gt;&lt;/p&gt;&lt;/td&gt;&lt;td&gt;&lt;p style="margin-top: 3pt; margin-bottom: 3pt"&gt;&lt;span style="font-size: 10pt" class="font:Times New Roman"&gt;–0.8 ± 1.5 &lt;/span&gt;&lt;/p&gt;&lt;/td&gt;&lt;td&gt;&lt;p style="margin-top: 3pt; margin-bottom: 3pt"&gt;&lt;span style="font-size: 10pt" class="font:Times New Roman"&gt;110.5 ± 12.3 &lt;/span&gt;&lt;/p&gt;&lt;/td&gt;&lt;td&gt;&lt;p style="margin-top: 3pt; margin-bottom: 3pt"&gt;&lt;span style="font-size: 10pt" class="font:Times New Roman"&gt;98.1 ± 10.5 &lt;/span&gt;&lt;/p&gt;&lt;/td&gt;&lt;td&gt;&lt;p style="margin-top: 3pt; margin-bottom: 3pt"&gt;&lt;span style="font-size: 10pt" class="font:Times New Roman"&gt;–12.4 ± 6.3 &lt;/span&gt;&lt;/p&gt;&lt;/td&gt;&lt;/tr&gt;&lt;tr&gt;&lt;td&gt;&lt;p style="margin-top: 3pt; margin-bottom: 3pt"&gt;&lt;span style="font-size: 10pt" class="font:Times New Roman"&gt;Insulin (µU/mL) &lt;/span&gt;&lt;/p&gt;&lt;/td&gt;&lt;td&gt;&lt;p style="margin-top: 3pt; margin-bottom: 3pt"&gt;&lt;span style="font-size: 10pt" class="font:Times New Roman"&gt;18.0 ± 4.0 &lt;/span&gt;&lt;/p&gt;&lt;/td&gt;&lt;td&gt;&lt;p style="margin-top: 3pt; margin-bottom: 3pt"&gt;&lt;span style="font-size: 10pt" class="font:Times New Roman"&gt;17.8 ± 3.8 &lt;/span&gt;&lt;/p&gt;&lt;/td&gt;&lt;td&gt;&lt;p style="margin-top: 3pt; margin-bottom: 3pt"&gt;&lt;span style="font-size: 10pt" class="font:Times New Roman"&gt;–0.2 ± 1.1 &lt;/span&gt;&lt;/p&gt;&lt;/td&gt;&lt;td&gt;&lt;p style="margin-top: 3pt; margin-bottom: 3pt"&gt;&lt;span style="font-size: 10pt" class="font:Times New Roman"&gt;18.2 ± 3.9 &lt;/span&gt;&lt;/p&gt;&lt;/td&gt;&lt;td&gt;&lt;p style="margin-top: 3pt; margin-bottom: 3pt"&gt;&lt;span style="font-size: 10pt" class="font:Times New Roman"&gt;11.7 ± 3.2 &lt;/span&gt;&lt;/p&gt;&lt;/td&gt;&lt;td&gt;&lt;p style="margin-top: 3pt; margin-bottom: 3pt"&gt;&lt;span style="font-size: 10pt" class="font:Times New Roman"&gt;–6.5 ± 3.0 &lt;/span&gt;&lt;/p&gt;&lt;/td&gt;&lt;/tr&gt;&lt;tr&gt;&lt;td&gt;&lt;p style="margin-top: 3pt; margin-bottom: 3pt"&gt;&lt;span style="font-size: 10pt" class="font:Times New Roman"&gt;C-peptide (ng/mL) &lt;/span&gt;&lt;/p&gt;&lt;/td&gt;&lt;td&gt;&lt;p style="margin-top: 3pt; margin-bottom: 3pt"&gt;&lt;span style="font-size: 10pt" class="font:Times New Roman"&gt;2.9 ± 0.5 &lt;/span&gt;&lt;/p&gt;&lt;/td&gt;&lt;td&gt;&lt;p style="margin-top: 3pt; margin-bottom: 3pt"&gt;&lt;span style="font-size: 10pt" class="font:Times New Roman"&gt;2.8 ± 0.5 &lt;/span&gt;&lt;/p&gt;&lt;/td&gt;&lt;td&gt;&lt;p style="margin-top: 3pt; margin-bottom: 3pt"&gt;&lt;span style="font-size: 10pt" class="font:Times New Roman"&gt;–0.1 ± 0.1 &lt;/span&gt;&lt;/p&gt;&lt;/td&gt;&lt;td&gt;&lt;p style="margin-top: 3pt; margin-bottom: 3pt"&gt;&lt;span style="font-size: 10pt" class="font:Times New Roman"&gt;2.8 ± 0.6 &lt;/span&gt;&lt;/p&gt;&lt;/td&gt;&lt;td&gt;&lt;p style="margin-top: 3pt; margin-bottom: 3pt"&gt;&lt;span style="font-size: 10pt" class="font:Times New Roman"&gt;2.0 ± 0.4 &lt;/span&gt;&lt;/p&gt;&lt;/td&gt;&lt;td&gt;&lt;p style="margin-top: 3pt; margin-bottom: 3pt"&gt;&lt;span style="font-size: 10pt" class="font:Times New Roman"&gt;–0.8 ± 0.4 &lt;/span&gt;&lt;/p&gt;&lt;/td&gt;&lt;/tr&gt;&lt;tr&gt;&lt;td&gt;&lt;p style="margin-top: 3pt; margin-bottom: 3pt"&gt;&lt;span style="font-size: 10pt" class="font:Times New Roman"&gt;Free fatty acids (mmol/L) &lt;/span&gt;&lt;/p&gt;&lt;/td&gt;&lt;td&gt;&lt;p style="margin-top: 3pt; margin-bottom: 3pt"&gt;&lt;span style="font-size: 10pt" class="font:Times New Roman"&gt;0.65 ± 0.10 &lt;/span&gt;&lt;/p&gt;&lt;/td&gt;&lt;td&gt;&lt;p style="margin-top: 3pt; margin-bottom: 3pt"&gt;&lt;span style="font-size: 10pt" class="font:Times New Roman"&gt;0.64 ± 0.09 &lt;/span&gt;&lt;/p&gt;&lt;/td&gt;&lt;td&gt;&lt;p style="margin-top: 3pt; margin-bottom: 3pt"&gt;&lt;span style="font-size: 10pt" class="font:Times New Roman"&gt;–0.01 ± 0.03 &lt;/span&gt;&lt;/p&gt;&lt;/td&gt;&lt;td&gt;&lt;p style="margin-top: 3pt; margin-bottom: 3pt"&gt;&lt;span style="font-size: 10pt" class="font:Times New Roman"&gt;0.66 ± 0.11 &lt;/span&gt;&lt;/p&gt;&lt;/td&gt;&lt;td&gt;&lt;p style="margin-top: 3pt; margin-bottom: 3pt"&gt;&lt;span style="font-size: 10pt" class="font:Times New Roman"&gt;0.48 ± 0.09 &lt;/span&gt;&lt;/p&gt;&lt;/td&gt;&lt;td&gt;&lt;p style="margin-top: 3pt; margin-bottom: 3pt"&gt;&lt;span style="font-size: 10pt" class="font:Times New Roman"&gt;–0.18 ± 0.09 &lt;/span&gt;&lt;/p&gt;&lt;/td&gt;&lt;/tr&gt;&lt;tr&gt;&lt;td&gt;&lt;p style="margin-top: 3pt; margin-bottom: 3pt"&gt;&lt;span style="font-size: 10pt" class="font:Times New Roman"&gt;Adiponectin (µg/mL) &lt;/span&gt;&lt;/p&gt;&lt;/td&gt;&lt;td&gt;&lt;p style="margin-top: 3pt; margin-bottom: 3pt"&gt;&lt;span style="font-size: 10pt" class="font:Times New Roman"&gt;6.2 ± 1.2 &lt;/span&gt;&lt;/p&gt;&lt;/td&gt;&lt;td&gt;&lt;p style="margin-top: 3pt; margin-bottom: 3pt"&gt;&lt;span style="font-size: 10pt" class="font:Times New Roman"&gt;6.3 ± 1.1 &lt;/span&gt;&lt;/p&gt;&lt;/td&gt;&lt;td&gt;&lt;p style="margin-top: 3pt; margin-bottom: 3pt"&gt;&lt;span style="font-size: 10pt" class="font:Times New Roman"&gt;+0.1 ± 0.4 &lt;/span&gt;&lt;/p&gt;&lt;/td&gt;&lt;td&gt;&lt;p style="margin-top: 3pt; margin-bottom: 3pt"&gt;&lt;span style="font-size: 10pt" class="font:Times New Roman"&gt;6.1 ± 1.3 &lt;/span&gt;&lt;/p&gt;&lt;/td&gt;&lt;td&gt;&lt;p style="margin-top: 3pt; margin-bottom: 3pt"&gt;&lt;span style="font-size: 10pt" class="font:Times New Roman"&gt;8.6 ± 1.5 &lt;/span&gt;&lt;/p&gt;&lt;/td&gt;&lt;td&gt;&lt;p style="margin-top: 3pt; margin-bottom: 3pt"&gt;&lt;span style="font-size: 10pt" class="font:Times New Roman"&gt;+2.5 ± 1.2 &lt;/span&gt;&lt;/p&gt;&lt;/td&gt;&lt;/tr&gt;&lt;tr&gt;&lt;td&gt;&lt;p style="margin-top: 3pt; margin-bottom: 3pt"&gt;&lt;span style="font-size: 10pt" class="font:Times New Roman"&gt;Leptin (ng/mL) &lt;/span&gt;&lt;/p&gt;&lt;/td&gt;&lt;td&gt;&lt;p style="margin-top: 3pt; margin-bottom: 3pt"&gt;&lt;span style="font-size: 10pt" class="font:Times New Roman"&gt;14.6 ± 3.1 &lt;/span&gt;&lt;/p&gt;&lt;/td&gt;&lt;td&gt;&lt;p style="margin-top: 3pt; margin-bottom: 3pt"&gt;&lt;span style="font-size: 10pt" class="font:Times New Roman"&gt;14.5 ± 3.0 &lt;/span&gt;&lt;/p&gt;&lt;/td&gt;&lt;td&gt;&lt;p style="margin-top: 3pt; margin-bottom: 3pt"&gt;&lt;span style="font-size: 10pt" class="font:Times New Roman"&gt;–0.1 ± 0.6 &lt;/span&gt;&lt;/p&gt;&lt;/td&gt;&lt;td&gt;&lt;p style="margin-top: 3pt; margin-bottom: 3pt"&gt;&lt;span style="font-size: 10pt" class="font:Times New Roman"&gt;14.8 ± 3.4 &lt;/span&gt;&lt;/p&gt;&lt;/td&gt;&lt;td&gt;&lt;p style="margin-top: 3pt; margin-bottom: 3pt"&gt;&lt;span style="font-size: 10pt" class="font:Times New Roman"&gt;11.0 ± 2.9 &lt;/span&gt;&lt;/p&gt;&lt;/td&gt;&lt;td&gt;&lt;p style="margin-top: 3pt; margin-bottom: 3pt"&gt;&lt;span style="font-size: 10pt" class="font:Times New Roman"&gt;–3.8 ± 1.7 &lt;/span&gt;&lt;/p&gt;&lt;/td&gt;&lt;/tr&gt;&lt;/table&gt;
Abbreviations: SD = standard deviation</t>
  </si>
  <si>
    <t>[{"id": "doc::ac3b7b0b:layout::0:para::22", "content": "Table 14.2.6\t PD Biomarker Changes Following Repeated Dose of ABC-123 and Placebo in Boneitis Participants", "index": "section@para", "score": 14.0, "type": "PWR_USED", "heading_path": [], "filename": "Mock_CSR _Tables_30Oct25.rtf"}, {"id": "doc::ac3b7b0b:layout::0:para::19", "content": "Table 14.2.5\tPD Biomarker Changes Following Single Ascending Dose (SAD) of ABC-123 and Placebo in Healthy Participants", "index": "section@para", "score": 12.0, "type": "PWR_DROP", "heading_path": [], "filename": "Mock_CSR _Tables_30Oct25.rtf"}, {"id": "doc::fd2ccc75:layout::0:para::18", "content": "To characterize dose-related changes in exploratory PD and safety biomarkers following single or multiple doses of ABC-123", "index": "section@para", "score": 10.0, "type": "CNM_ADD",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8.0, "type": "CNM_ADD", "heading_path": ["2. Study Design Overview"], "filename": "Mock_CSR Key messages_with_heading.docx"}, {"id": "doc::fd2ccc75:layout::0:para::35", "content": "To characterize the change from baseline in exploratory PD biomarker concentrations at specified post-dose time points.", "index": "section@para", "score": 8.0, "type": "CNM_ADD", "heading_path": ["3. Key Endpoints"],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8.0, "type": "CNM_ADD", "heading_path": ["4. Key Results"], "filename": "Mock_CSR Key messages_with_heading.docx"}, {"id": "doc::ac3b7b0b:layout::0:para::16", "content": "Table 14.2.4 \tPharmacokinetic Parameters of ABC-123 Following Repeated-Dose  Administration", "index": "table@full", "score": 8.0, "type": "PWR_DROP", "heading_path": ["Table 14.2.4 \tPharmacokinetic Parameters of ABC-123 Following Repeated-Dose  Administration"], "filename": "Mock_CSR _Tables_30Oct25.rtf"},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8.0, "type": "CNM_ADD", "heading_path": ["Overall Design"], "filename": "Mock_CSR_Protocol.docx"}, {"id": "doc::fd2ccc75:layout::0:para::36", "content": "To characterize the change from baseline in exploratory safety biomarker values (e.g., troponin, CRP, etc.) at specified post-dose time points.", "index": "section@para", "score": 6.0, "type": "CNM_ADD",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6.0, "type": "CNM_ADD", "heading_path": ["3. Key Endpoints"], "filename": "Mock_CSR Key messages_with_heading.docx"}]</t>
  </si>
  <si>
    <t>doc::7cd3e10f:layout::3:para::20::ph::0</t>
  </si>
  <si>
    <t>&lt;PD Conclusion&gt;</t>
  </si>
  <si>
    <t>Insert PD-Conclusion (super briefly)</t>
  </si>
  <si>
    <t>Retrieve specific conclusions related to pharmacodynamic outcomes and biomarker changes associated with ABC-123.</t>
  </si>
  <si>
    <t>Summarize the pharmacodynamic conclusion from the context, focusing on the metabolic effects and pharmacologic activity of ABC-123, ensuring the output aligns with the placeholder's positional identifier 'PD Conclusion'.</t>
  </si>
  <si>
    <t>&lt;p&gt;Exploratory pharmacodynamic biomarker analyses indicated favorable metabolic effects of ABC-123, including reductions in fasting glucose, insulin, and leptin levels, and increases in adiponectin, particularly in the Boneitis cohort. These findings suggest potential pharmacologic activity relevant to the disease mechanism.&lt;/p&gt;</t>
  </si>
  <si>
    <t>[{"id":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"doc::fd2ccc75:layout::0:para::35", "content": "To characterize the change from baseline in exploratory PD biomarker concentrations at specified post-dose time points.", "index": "section@para", "score": 2.0, "type": "PWR_DROP", "heading_path": ["3. Key Endpoints"], "filename": "Mock_CSR Key messages_with_heading.docx"}, {"id": "doc::fd2ccc75:layout::0:para::61", "content": "We have 2 PD Tables [Refer Source: CSR_Mock Tables]", "index": "section@para", "score": 2.0, "type": "PWR_DROP", "heading_path": ["4. Key Results"], "filename": "Mock_CSR Key messages_with_heading.docx"}, {"id": "doc::fd2ccc75:layout::0:para::65", "content": "Overall conclusion:", "index": "section@para", "score": 2.0, "type": "PWR_DROP",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"PWR_USED", "heading_path": [], "filename": "Mock_CSR Key messages_with_heading.docx"}, {"id": "doc::ac3b7b0b:layout::0:para::19", "content": "Table 14.2.5\tPD Biomarker Changes Following Single Ascending Dose (SAD) of ABC-123 and Placebo in Healthy Participants", "index": "section@para", "score": 2.0, "type": "CNM_ADD", "heading_path": [], "filename": "Mock_CSR _Tables_30Oct25.rtf"}, {"id": "doc::ac3b7b0b:layout::0:para::22", "content": "Table 14.2.6\t PD Biomarker Changes Following Repeated Dose of ABC-123 and Placebo in Boneitis Participants", "index": "section@para", "score": 2.0, "type": "CNM_ADD", "heading_path": [], "filename": "Mock_CSR _Tables_30Oct25.rtf"}, {"id": "doc::4877313e:layout::12:para::13", "content": "In nonclinical efficacy models, results of in vitro binding studies indicate that ABC-123 is a potent, selective monoclonal antibody antagonist and inverse agonist of human and monkey grudgeon cells. Primary PD studies demonstrated that ABC-123 protects human grudgeon cells in vitro.", "index": "section@para", "score": 2.0, "type": "PWR_DROP", "heading_path": ["Background"], "filename": "Mock_CSR_Protocol.docx"}, {"id": "doc::4877313e:layout::12:para::15", "content": "13-week repeat-dose toxicity study in cynomolgus monkeys, as determined by an ex vivo PD assay. A single dose of ABC-123 in cynomolgus monkeys resulted in a PD response associated with peripheral tissues but not with the brain, consistent with peripheral restriction of drug exposure.", "index": "section@para", "score": 2.0, "type": "PWR_DROP", "heading_path": ["Background"], "filename": "Mock_CSR_Protocol.docx"}]</t>
  </si>
  <si>
    <t>doc::7cd3e10f:layout::3:para::22::ph::0</t>
  </si>
  <si>
    <t>&lt;summary of  Table Study Drug Exposure (Safety Analysis Set)&gt;</t>
  </si>
  <si>
    <t>Summarize and interpret the Study Drug Exposure (Safety Analysis Set) table in a concise narrative paragraph and do not mention Table number</t>
  </si>
  <si>
    <t>Summarize and interpret the table - Study Drug Exposure (Safety Analysis Set) - in a concise narrative paragraph</t>
  </si>
  <si>
    <t>The table titled "Study Drug Exposure (Safety Analysis Set)" provides a detailed analysis of treatment exposure metrics across two groups: Treatment and Placebo. The analysis includes statistics such as treatment duration, cumulative dose, dose intensity, and dose interruptions. For the Treatment group, the mean treatment duration was 30.65 months with a standard deviation of 20.74 months, and the cumulative dose averaged 101,930 mg. Dose intensity metrics indicated a mean actual dose of 96.1 mg/day and a planned dose of 103.0 mg/day, with relative dose intensity averaging 94.3%. No subjects experienced dose reductions, but one subject (4.8%) had a dose interruption lasting 5 days. These findings highlight the consistency and adherence to the prescribed regimen within the Treatment group.</t>
  </si>
  <si>
    <t>[{"id": "doc::ac3b7b0b:layout::0:para::25", "content": "Table 14.3.1:\tSummary of Study Drug Exposure (Safety Analysis Set)", "index": "section@para", "score": 12.0, "type": "PWR_USED", "heading_path": [], "filename": "Mock_CSR _Tables_30Oct25.rtf"}, {"id": "doc::ac3b7b0b:layout::0:para::28", "content": "Table 14.3.2:\tOverall Summary of Adverse Events (Safety Analysis Set)", "index": "section@para", "score": 8.0, "type": "PWR_DROP", "heading_path": [], "filename": "Mock_CSR _Tables_30Oct25.rtf"}, {"id": "doc::72df3a00:layout::36:para::0", "content": "Table 14.1.5 Study drug administration ([analysis set])", "index": "table@full", "score": 8.0, "type": "PWR_DROP", "heading_path": ["STATISTICAL OUTPUT LAUOUT", "Tables", "Table 14.1.5 Study drug administration ([analysis set])"], "filename": "Mock SAP _03Jun2026.docx"}, {"id": "doc::72df3a00:layout::43:para::0", "content": "Table 14.3.5.1. Safety laboratory results \u2013 clinical chemistry ([analysis set]) [Layout same as ECG table]", "index": "section@para", "score": 8.0, "type": "PWR_DROP", "heading_path": ["STATISTICAL OUTPUT LAUOUT", "Tables"], "filename": "Mock SAP _03Jun2026.docx"}, {"id": "doc::72df3a00:layout::44:para::0", "content": "Table 14.3.5.2. Safety laboratory results \u2013 haematology ([analysis set]) [Layout same as ECG table]", "index": "section@para", "score": 8.0, "type": "PWR_DROP", "heading_path": ["STATISTICAL OUTPUT LAUOUT", "Tables"], "filename": "Mock SAP _03Jun2026.docx"}, {"id": "doc::72df3a00:layout::45:para::0", "content": "Table 14.3.5.3. Safety laboratory results \u2013 coagulation ([analysis set]) [Layout same as ECG table]", "index": "section@para", "score": 8.0, "type": "PWR_DROP", "heading_path": ["STATISTICAL OUTPUT LAUOUT", "Tables"], "filename": "Mock SAP _03Jun2026.docx"}, {"id": "doc::72df3a00:layout::46:para::0", "content": "Table 14.3.5.4. Safety laboratory results - urinalysis ([analysis set]) [Layout same as ECG interpretation table]", "index": "section@para", "score": 8.0, "type": "PWR_DROP", "heading_path": ["STATISTICAL OUTPUT LAUOUT", "Tables"], "filename": "Mock SAP _03Jun2026.docx"}, {"id": "doc::72df3a00:layout::47:para::0", "content": "Table 14.3.5.5. Safety laboratory results - shift table ([analysis set]) [Layout same as ECG shift table]", "index": "section@para", "score": 8.0, "type": "PWR_DROP", "heading_path": ["STATISTICAL OUTPUT LAUOUT", "Tables"], "filename": "Mock SAP _03Jun2026.docx"}, {"id": "doc::ac3b7b0b:layout::0:para::10", "content": "Table 14.2.2: \tDemographics (Full Analysis Set)", "index": "section@para", "score": 6.0, "type": "PWR_DROP", "heading_path": [], "filename": "Mock_CSR _Tables_30Oct25.rtf"}, {"id": "doc::ac3b7b0b:layout::0:para::6", "content": "Table 14.2.1: Summary of Analysis Sets", "index": "table@full", "score": 6.0, "type": "PWR_DROP", "heading_path": ["Table 14.2.1: Summary of Analysis Sets"], "filename": "Mock_CSR _Tables_30Oct25.rtf"}]</t>
  </si>
  <si>
    <t>doc::7cd3e10f:layout::3:para::26::ph::0</t>
  </si>
  <si>
    <t>&lt;Table Study Drug Exposure (Safety Analysis Set)&gt;</t>
  </si>
  <si>
    <t>Retrieve tables related to 'Study Drug Exposure' or 'Safety Analysis Set' and ensure precise caption matching.</t>
  </si>
  <si>
    <t>Resolve the placeholder 'Table Study Drug Exposure (Safety Analysis Set)' by matching it to its corresponding table caption 'Summary of Study Drug Exposure (Safety Analysis Set)' from the context. Ensure the resolution is specific to this placeholder's positional context near the summary of Table Study Drug Exposure (Safety Analysis Set).</t>
  </si>
  <si>
    <t>Table 14.3.1:	Summary of Study Drug Exposure (Safety Analysis Set)
&lt;table&gt;&lt;tr&gt;&lt;th&gt;&amp;nbsp;&lt;/th&gt;&lt;th&gt;&lt;p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10pt"&gt;Total&lt;/span&gt;&lt;/p&gt;&lt;/th&gt;&lt;/tr&gt;&lt;tr&gt;&lt;td&gt;&amp;nbsp;&lt;/td&gt;&lt;td&gt;&lt;p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10pt"&gt;N=21&lt;/span&gt;&lt;/p&gt;&lt;/td&gt;&lt;/tr&gt;&lt;tr&gt;&lt;td&gt;&lt;p style="margin-top: 3pt; margin-bottom: 3pt"&gt;&lt;span style="font-size: 10pt" class="font:Times New Roman color:000000"&gt;&lt;strong&gt;Treatment Duration (months)&lt;/strong&gt;&lt;/span&gt;&lt;/p&gt;&lt;/td&gt;&lt;td&gt;&lt;p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 ± SD&lt;/span&gt;&lt;/p&gt;&lt;/td&gt;&lt;td&gt;&lt;p style="text-align: center; margin-top: 3pt; margin-bottom: 3pt"&gt;&lt;span style="font-size: 10pt" class="font:Times New Roman color:000000"&gt;30.65 ± 20.74&lt;/span&gt;&lt;/p&gt;&lt;/td&gt;&lt;td&gt;&amp;nbsp;&lt;/td&gt;&lt;td&gt;&lt;p style="text-align: center; margin-top: 3pt; margin-bottom: 3pt"&gt;&lt;span style="font-size: 10pt" class="font:Times New Roman color:000000"&gt;30.65 ± 20.74&lt;/span&gt;&lt;/p&gt;&lt;/td&gt;&lt;/tr&gt;&lt;tr&gt;&lt;td&gt;&amp;nbsp;&lt;/td&gt;&lt;td&gt;&lt;p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color:000000"&gt;19.84&lt;/span&gt;&lt;/p&gt;&lt;/td&gt;&lt;td&gt;&amp;nbsp;&lt;/td&gt;&lt;td&gt;&lt;p style="text-align: center; margin-top: 3pt; margin-bottom: 3pt"&gt;&lt;span style="font-size: 10pt" class="font:Times New Roman color:000000"&gt;19.84&lt;/span&gt;&lt;/p&gt;&lt;/td&gt;&lt;/tr&gt;&lt;tr&gt;&lt;td&gt;&lt;p style="margin-top: 3pt; margin-bottom: 3pt"&gt;&lt;span style="font-size: 10pt" class="font:Times New Roman"&gt;&lt;strong&gt;Actual Cumulative Dose (mg)&lt;/strong&gt;&lt;/span&gt;&lt;/p&gt;&lt;/td&gt;&lt;td&gt;&lt;p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Roman"&gt;101930.0&lt;/span&gt;&lt;/p&gt;&lt;/td&gt;&lt;td&gt;&amp;nbsp;&lt;/td&gt;&lt;td&gt;&lt;p style="text-align: center; margin-top: 3pt; margin-bottom: 3pt"&gt;&lt;span style="font-size: 10pt" class="font:Times New Roman"&gt;101930.0&lt;/span&gt;&lt;/p&gt;&lt;/td&gt;&lt;/tr&gt;&lt;tr&gt;&lt;td&gt;&amp;nbsp;&lt;/td&gt;&lt;td&gt;&lt;p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Roman"&gt;125896.23&lt;/span&gt;&lt;/p&gt;&lt;/td&gt;&lt;td&gt;&amp;nbsp;&lt;/td&gt;&lt;td&gt;&lt;p style="text-align: center; margin-top: 3pt; margin-bottom: 3pt"&gt;&lt;span style="font-size: 10pt" class="font:Times New Roman"&gt;125896.23&lt;/span&gt;&lt;/p&gt;&lt;/td&gt;&lt;/tr&gt;&lt;tr&gt;&lt;td&gt;&amp;nbsp;&lt;/td&gt;&lt;td&gt;&lt;p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Roman"&gt;41980.0&lt;/span&gt;&lt;/p&gt;&lt;/td&gt;&lt;td&gt;&amp;nbsp;&lt;/td&gt;&lt;td&gt;&lt;p style="text-align: center; margin-top: 3pt; margin-bottom: 3pt"&gt;&lt;span style="font-size: 10pt" class="font:Times New Roman"&gt;41980.0&lt;/span&gt;&lt;/p&gt;&lt;/td&gt;&lt;/tr&gt;&lt;tr&gt;&lt;td&gt;&amp;nbsp;&lt;/td&gt;&lt;td&gt;&lt;p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Roman"&gt;110; 415400&lt;/span&gt;&lt;/p&gt;&lt;/td&gt;&lt;td&gt;&amp;nbsp;&lt;/td&gt;&lt;td&gt;&lt;p style="text-align: center; margin-top: 3pt; margin-bottom: 3pt"&gt;&lt;span style="font-size: 10pt" class="font:Times New Roman"&gt;110; 415400&lt;/span&gt;&lt;/p&gt;&lt;/td&gt;&lt;/tr&gt;&lt;tr&gt;&lt;td&gt;&lt;p style="margin-top: 3pt; margin-bottom: 3pt"&gt;&lt;span style="font-size: 10pt" class="font:Times New Roman"&gt;&lt;strong&gt;Actual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Roman"&gt;96.1&lt;/span&gt;&lt;/p&gt;&lt;/td&gt;&lt;td&gt;&amp;nbsp;&lt;/td&gt;&lt;td&gt;&lt;p style="text-align: center; margin-top: 3pt; margin-bottom: 3pt"&gt;&lt;span style="font-size: 10pt" class="font:Times New Roman"&gt;96.1&lt;/span&gt;&lt;/p&gt;&lt;/td&gt;&lt;/tr&gt;&lt;tr&gt;&lt;td&gt;&amp;nbsp;&lt;/td&gt;&lt;td&gt;&lt;p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Roman"&gt;64.17&lt;/span&gt;&lt;/p&gt;&lt;/td&gt;&lt;td&gt;&amp;nbsp;&lt;/td&gt;&lt;td&gt;&lt;p style="text-align: center; margin-top: 3pt; margin-bottom: 3pt"&gt;&lt;span style="font-size: 10pt" class="font:Times New Roman"&gt;64.17&lt;/span&gt;&lt;/p&gt;&lt;/td&gt;&lt;/tr&gt;&lt;tr&gt;&lt;td&gt;&amp;nbsp;&lt;/td&gt;&lt;td&gt;&lt;p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Roman"&gt;81.3&lt;/span&gt;&lt;/p&gt;&lt;/td&gt;&lt;td&gt;&amp;nbsp;&lt;/td&gt;&lt;td&gt;&lt;p style="text-align: center; margin-top: 3pt; margin-bottom: 3pt"&gt;&lt;span style="font-size: 10pt" class="font:Times New Roman"&gt;81.3&lt;/span&gt;&lt;/p&gt;&lt;/td&gt;&lt;/tr&gt;&lt;tr&gt;&lt;td&gt;&amp;nbsp;&lt;/td&gt;&lt;td&gt;&lt;p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198&lt;/span&gt;&lt;/p&gt;&lt;/td&gt;&lt;td&gt;&amp;nbsp;&lt;/td&gt;&lt;td&gt;&lt;p style="text-align: center; margin-top: 3pt; margin-bottom: 3pt"&gt;&lt;span style="font-size: 10pt" class="font:Times New Roman"&gt;10, 198&lt;/span&gt;&lt;/p&gt;&lt;/td&gt;&lt;/tr&gt;&lt;tr&gt;&lt;td&gt;&lt;p style="margin-top: 3pt; margin-bottom: 3pt"&gt;&lt;span style="font-size: 10pt" class="font:Times New Roman"&gt;&lt;strong&gt;Planned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Roman"&gt;103.0&lt;/span&gt;&lt;/p&gt;&lt;/td&gt;&lt;td&gt;&amp;nbsp;&lt;/td&gt;&lt;td&gt;&lt;p style="text-align: center; margin-top: 3pt; margin-bottom: 3pt"&gt;&lt;span style="font-size: 10pt" class="font:Times New Roman"&gt;103.0&lt;/span&gt;&lt;/p&gt;&lt;/td&gt;&lt;/tr&gt;&lt;tr&gt;&lt;td&gt;&amp;nbsp;&lt;/td&gt;&lt;td&gt;&lt;p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Roman"&gt;63.15&lt;/span&gt;&lt;/p&gt;&lt;/td&gt;&lt;td&gt;&amp;nbsp;&lt;/td&gt;&lt;td&gt;&lt;p style="text-align: center; margin-top: 3pt; margin-bottom: 3pt"&gt;&lt;span style="font-size: 10pt" class="font:Times New Roman"&gt;63.15&lt;/span&gt;&lt;/p&gt;&lt;/td&gt;&lt;/tr&gt;&lt;tr&gt;&lt;td&gt;&amp;nbsp;&lt;/td&gt;&lt;td&gt;&lt;p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Roman"&gt;97.8&lt;/span&gt;&lt;/p&gt;&lt;/td&gt;&lt;td&gt;&amp;nbsp;&lt;/td&gt;&lt;td&gt;&lt;p style="text-align: center; margin-top: 3pt; margin-bottom: 3pt"&gt;&lt;span style="font-size: 10pt" class="font:Times New Roman"&gt;97.8&lt;/span&gt;&lt;/p&gt;&lt;/td&gt;&lt;/tr&gt;&lt;tr&gt;&lt;td&gt;&amp;nbsp;&lt;/td&gt;&lt;td&gt;&lt;p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200&lt;/span&gt;&lt;/p&gt;&lt;/td&gt;&lt;td&gt;&amp;nbsp;&lt;/td&gt;&lt;td&gt;&lt;p style="text-align: center; margin-top: 3pt; margin-bottom: 3pt"&gt;&lt;span style="font-size: 10pt" class="font:Times New Roman"&gt;10, 200&lt;/span&gt;&lt;/p&gt;&lt;/td&gt;&lt;/tr&gt;&lt;tr&gt;&lt;td&gt;&lt;p style="margin-top: 3pt; margin-bottom: 3pt"&gt;&lt;span style="font-size: 10pt" class="font:Times New Roman"&gt;&lt;strong&gt;Relative Dose Intensity &lt;/strong&gt;&lt;/span&gt;&lt;/p&gt;&lt;/td&gt;&lt;td&gt;&lt;p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Roman"&gt;94.3&lt;/span&gt;&lt;/p&gt;&lt;/td&gt;&lt;td&gt;&amp;nbsp;&lt;/td&gt;&lt;td&gt;&lt;p style="text-align: center; margin-top: 3pt; margin-bottom: 3pt"&gt;&lt;span style="font-size: 10pt" class="font:Times New Roman"&gt;94.3&lt;/span&gt;&lt;/p&gt;&lt;/td&gt;&lt;/tr&gt;&lt;tr&gt;&lt;td&gt;&amp;nbsp;&lt;/td&gt;&lt;td&gt;&lt;p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Roman"&gt;16.80&lt;/span&gt;&lt;/p&gt;&lt;/td&gt;&lt;td&gt;&amp;nbsp;&lt;/td&gt;&lt;td&gt;&lt;p style="text-align: center; margin-top: 3pt; margin-bottom: 3pt"&gt;&lt;span style="font-size: 10pt" class="font:Times New Roman"&gt;16.80&lt;/span&gt;&lt;/p&gt;&lt;/td&gt;&lt;/tr&gt;&lt;tr&gt;&lt;td&gt;&amp;nbsp;&lt;/td&gt;&lt;td&gt;&lt;p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Roman"&gt;99.6&lt;/span&gt;&lt;/p&gt;&lt;/td&gt;&lt;td&gt;&amp;nbsp;&lt;/td&gt;&lt;td&gt;&lt;p style="text-align: center; margin-top: 3pt; margin-bottom: 3pt"&gt;&lt;span style="font-size: 10pt" class="font:Times New Roman"&gt;99.6&lt;/span&gt;&lt;/p&gt;&lt;/td&gt;&lt;/tr&gt;&lt;tr&gt;&lt;td&gt;&amp;nbsp;&lt;/td&gt;&lt;td&gt;&lt;p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Roman"&gt;22, 100&lt;/span&gt;&lt;/p&gt;&lt;/td&gt;&lt;td&gt;&amp;nbsp;&lt;/td&gt;&lt;td&gt;&lt;p style="text-align: center; margin-top: 3pt; margin-bottom: 3pt"&gt;&lt;span style="font-size: 10pt" class="font:Times New Roman"&gt;22, 100&lt;/span&gt;&lt;/p&gt;&lt;/td&gt;&lt;/tr&gt;&lt;tr&gt;&lt;td&gt;&lt;p style="margin-top: 3pt; margin-bottom: 3pt"&gt;&lt;span style="font-size: 10pt" class="font:Times New Roman"&gt;&lt;strong&gt;Subjects With Dose Reduction&lt;/strong&gt;&lt;/span&gt;&lt;/p&gt;&lt;/td&gt;&lt;td&gt;&amp;nbsp;&lt;/td&gt;&lt;td&gt;&amp;nbsp;&lt;/td&gt;&lt;td&gt;&amp;nbsp;&lt;/td&gt;&lt;td&gt;&amp;nbsp;&lt;/td&gt;&lt;/tr&gt;&lt;tr&gt;&lt;td&gt;&lt;p style="margin-top: 3pt; margin-bottom: 3pt"&gt;&lt;span style="font-size: 10pt" class="font:Times New Roman color:000000"&gt; ≥1 dose reduction&lt;/span&gt;&lt;/p&gt;&lt;/td&gt;&lt;td&gt;&lt;p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 ≥2 dose reductions&lt;/span&gt;&lt;/p&gt;&lt;/td&gt;&lt;td&gt;&lt;p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Roman"&gt;&lt;strong&gt;Subjects With Dose Interruption&lt;/strong&gt;&lt;/span&gt;&lt;/p&gt;&lt;/td&gt;&lt;td&gt;&amp;nbsp;&lt;/td&gt;&lt;td&gt;&amp;nbsp;&lt;/td&gt;&lt;td&gt;&amp;nbsp;&lt;/td&gt;&lt;td&gt;&amp;nbsp;&lt;/td&gt;&lt;/tr&gt;&lt;tr&gt;&lt;td&gt;&lt;p style="margin-top: 3pt; margin-bottom: 3pt"&gt;&lt;span style="font-size: 10pt" class="font:Times New Roman color:000000"&gt; ≥1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color:000000"&gt;1 (4.8)&lt;/span&gt;&lt;/p&gt;&lt;/td&gt;&lt;/tr&gt;&lt;tr&gt;&lt;td&gt;&lt;p style="margin-top: 3pt; margin-bottom: 3pt"&gt;&lt;span style="font-size: 10pt" class="font:Times New Roman color:000000"&gt; ≥2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color:000000"&gt;&lt;strong&gt;Number of Days With Dose Interruption&lt;/strong&gt;&lt;/span&gt;&lt;/p&gt;&lt;/td&gt;&lt;td&gt;&lt;p style="margin-top: 3pt; margin-bottom: 3pt"&gt;&lt;span style="font-size: 10pt" class="font:Times New Roman color:000000"&gt;n&lt;/span&gt;&lt;/p&gt;&lt;/td&gt;&lt;td&gt;&lt;p style="text-align: center; margin-top: 3pt; margin-bottom: 3pt"&gt;&lt;span style="font-size: 10pt" class="font:Times New Roman"&gt;1&lt;/span&gt;&lt;/p&gt;&lt;/td&gt;&lt;td&gt;&lt;p style="text-align: center; margin-top: 3pt; margin-bottom: 3pt"&gt;&lt;span style="font-size: 10pt" class="font:Times New Roman"&gt;N/A &lt;/span&gt;&lt;/p&gt;&lt;/td&gt;&lt;td&gt;&lt;p style="text-align: center; margin-top: 3pt; margin-bottom: 3pt"&gt;&lt;span style="font-size: 10pt" class="font:Times New Roman"&gt;1&lt;/span&gt;&lt;/p&gt;&lt;/td&gt;&lt;/tr&gt;&lt;tr&gt;&lt;td&gt;&amp;nbsp;&lt;/td&gt;&lt;td&gt;&lt;p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Roman"&gt;5&lt;/span&gt;&lt;/p&gt;&lt;/td&gt;&lt;td&gt;&amp;nbsp;&lt;/td&gt;&lt;td&gt;&lt;p style="text-align: center; margin-top: 3pt; margin-bottom: 3pt"&gt;&lt;span style="font-size: 10pt" class="font:Times New Roman"&gt;5&lt;/span&gt;&lt;/p&gt;&lt;/td&gt;&lt;/tr&gt;&lt;tr&gt;&lt;td&gt;&amp;nbsp;&lt;/td&gt;&lt;td&gt;&lt;p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 color:000000"&gt;0&lt;/span&gt;&lt;/p&gt;&lt;/td&gt;&lt;td&gt;&amp;nbsp;&lt;/td&gt;&lt;td&gt;&lt;p style="text-align: center; margin-top: 3pt; margin-bottom: 3pt"&gt;&lt;span style="font-size: 10pt" class="font:Times New Roman color:000000"&gt;0&lt;/span&gt;&lt;/p&gt;&lt;/td&gt;&lt;/tr&gt;&lt;tr&gt;&lt;td&gt;&amp;nbsp;&lt;/td&gt;&lt;td&gt;&lt;p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color:000000"&gt;5&lt;/span&gt;&lt;/p&gt;&lt;/td&gt;&lt;/tr&gt;&lt;/table&gt;
Abbreviations: Max = maximum; Min = minimum; SD = standard deviation</t>
  </si>
  <si>
    <t>doc::7cd3e10f:layout::3:para::27::ph::0</t>
  </si>
  <si>
    <t>&lt;Adverse Events&gt;</t>
  </si>
  <si>
    <t>Retrieve detailed summaries and statistical analyses of adverse events related to ABC-123 treatment, including comparisons with placebo groups.</t>
  </si>
  <si>
    <t>Summarize the adverse events reported in the study, focusing on treatment-emergent adverse events, their severity, and their impact on treatment continuation and participant outcomes. Include proportions for treatment and placebo groups, highlighting differences and overall trends.</t>
  </si>
  <si>
    <t>The study evaluated adverse events among participants receiving either ABC-123 treatment or placebo. Treatment-emergent adverse events (TEAEs) were reported in 85.7% of the treatment group and 50.0% of the placebo group, with a total incidence of 74.2%. Treatment-related TEAEs occurred in 61.9% of the treatment group, while none were observed in the placebo group. Grade 3 or higher TEAEs were observed in 22.6% of the treatment group and 20.0% of the placebo group, accounting for 29.0% overall. Serious TEAEs were reported in similar proportions, with 22.6% in the treatment group and 20.0% in the placebo group. Serious treatment-related TEAEs were noted in 23.8% of the treatment group, with none in the placebo group. TEAEs that led to study drug discontinuation occurred in 9.5% of the treatment group and none in the placebo group, representing 6.5% overall. Dose modifications and reductions due to TEAEs were uncommon, with 4.8% and 0% respectively in the treatment group, and no occurrences in the placebo group. Deaths attributed to TEAEs were reported in 14.2% of the treatment group and none in the placebo group, all classified as treatment-related.</t>
  </si>
  <si>
    <t>[{"id": "doc::fd2ccc75:layout::0:para::29", "content": "The number of participants experiencing serious adverse events (SAEs) and non-serious adverse events (AEs) following single or repeated administration of ABC-123.", "index": "section@para", "score": 4.0, "type": "CNM_ADD",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4.0, "type": "CNM_ADD", "heading_path": ["3. Key Endpoints"],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4.0,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"PWR_USED",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"PWR_USED", "heading_path": ["5. Interpretation &amp; Conclusion"], "filename": "Mock_CSR Key messages_with_heading.docx"}, {"id": "doc::ac3b7b0b:layout::0:para::28", "content": "Table 14.3.2:\tOverall Summary of Adverse Events (Safety Analysis Set)", "index": "section@para", "score": 4.0, "type": "PWR_DROP", "heading_path": [], "filename": "Mock_CSR _Tables_30Oct25.rtf"}, {"id": "doc::ac3b7b0b:layout::0:para::30", "content": "Abbreviations: TEAE = treatment emergent adverse event", "index": "section@para", "score": 4.0, "type": "PWR_DROP", "heading_path": [], "filename": "Mock_CSR _Tables_30Oct25.rtf"}, {"id": "doc::4877313e:layout::11:para::1", "content": "Abbreviations: ADA = antidrug antibodies; AE = adverse event; SAE = serious adverse event.", "index": "section@para", "score": 4.0, "type": "PWR_DROP", "heading_path": ["Schema"],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"doc::4877313e:layout::12:para::23", "content": "Additional risks observed in clinical studies with blorp inductors include gastrointestinal adverse events (primarily nausea, diarrhea, and vomiting), asthenia/fatigue, hot flushes, and dizziness.", "index": "section@para", "score": 4.0, "type": "PWR_DROP", "heading_path": ["Benefit/Risk Assessment", "Risk Assessment"], "filename": "Mock_CSR_Protocol.docx"}]</t>
  </si>
  <si>
    <t>doc::7cd3e10f:layout::3:para::29::ph::0</t>
  </si>
  <si>
    <t>&lt;summary of  Overall Summary of Adverse Events (Safety Analysis Set)&gt;</t>
  </si>
  <si>
    <t>Summarize and interpret the Table of Adverse Events in a concise narrative paragraph and do not mention Table number</t>
  </si>
  <si>
    <t>Retrieve detailed descriptions or summaries of adverse events and their statistical analysis focusing on treatment periods excluding screening phases.</t>
  </si>
  <si>
    <t>Summarize the 'Overall Summary of Adverse Events (Safety Analysis Set)' by interpreting the data into a concise narrative paragraph, ensuring no mention of table numbers, and referencing the treatment period exclusions and calculation basis.</t>
  </si>
  <si>
    <t>The summary of adverse events within the Safety Analysis Set indicates that percentages were calculated based on subjects included during the treatment period, excluding events identified during the screening phase. This focused approach ensures that the reported data accurately reflects the occurrences of adverse events related to the treatment under study.</t>
  </si>
  <si>
    <t>[{"id": "doc::ac3b7b0b:layout::0:para::28", "content": "Table 14.3.2:\tOverall Summary of Adverse Events (Safety Analysis Set)", "index": "section@para", "score": 16.0, "type": "CNM_ADD", "heading_path": [], "filename": "Mock_CSR _Tables_30Oct25.rtf"}, {"id": "doc::72df3a00:layout::37:para::3", "content": "Percentages are based on the number of subjects in the treatment period included in the [analysis set]. Adverse events that occurred during screening are omitted from summary.", "index": "section@para", "score": 12.0, "type": "PWR_USED", "heading_path": ["STATISTICAL OUTPUT LAUOUT", "Tables"], "filename": "Mock SAP _03Jun2026.docx"}, {"id": "doc::ac3b7b0b:layout::0:para::25", "content": "Table 14.3.1:\tSummary of Study Drug Exposure (Safety Analysis Set)", "index": "section@para", "score": 10.0, "type": "PWR_DROP", "heading_path": [], "filename": "Mock_CSR _Tables_30Oct25.rtf"}, {"id": "doc::ac3b7b0b:layout::0:para::6", "content": "&lt;table&gt;&lt;tr&gt;&lt;th&gt;&lt;p style=\"margin-top: 3.0pt; margin-bottom: 3.0pt\"&gt;&lt;span style=\"font-size: 10.0pt\"&gt;Analysis Sets&lt;/span&gt;&lt;/p&gt;&lt;/th&gt;&lt;th&gt;&lt;p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3.0pt; margin-bottom: 3.0pt\"&gt;&lt;span style=\"font-size: 10.0pt\"&gt;Analysis Sets&lt;/span&gt;&lt;/p&gt;&lt;/td&gt;&lt;td&gt;&lt;p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10.0pt\"&gt;N=36&lt;/span&gt;&lt;/p&gt;&lt;/td&gt;&lt;/tr&gt;&lt;tr&gt;&lt;td&gt;&lt;p style=\"margin-top: 3.0pt; margin-bottom: 3.0pt\"&gt;&lt;span style=\"font-size: 10.0pt\" class=\"font:Times New Roman color:000000\"&gt;&lt;strong&gt;Full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(100)&lt;/span&gt;&lt;/p&gt;&lt;/td&gt;&lt;/tr&gt;&lt;tr&gt;&lt;td&gt;&lt;p style=\"margin-top: 3.0pt; margin-bottom: 3.0pt\"&gt;&lt;span style=\"font-size: 10.0pt\" class=\"font:Times New Roman color:000000\"&gt;&lt;strong&gt;Safety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color:000000\"&gt;&lt;strong&gt;Pharmacokinetics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(100)&lt;/span&gt;&lt;/p&gt;&lt;/td&gt;&lt;/tr&gt;&lt;/table&gt;", "index": "table@full", "score": 8.0, "type": "PWR_DROP", "heading_path": ["Table 14.2.1: Summary of Analysis Sets"], "filename": "Mock_CSR _Tables_30Oct25.rtf"}, {"id": "doc::72df3a00:layout::37:para::0", "content": "Table 14.2.1.1. Overview of adverse events ([analysis set])", "index": "section@para", "score": 8.0, "type": "PWR_DROP", "heading_path": ["STATISTICAL OUTPUT LAUOUT", "Tables"], "filename": "Mock SAP _03Jun2026.docx"}, {"id": "doc::72df3a00:layout::37:para::4", "content": "[STUDYID] Overview of adverse events, [analysis set], SAS program: ae_summary_tables.sas. Run by: [USERNAME], [USER EMAIL] [TIMESTAMP]", "index": "section@para", "score": 8.0, "type": "CNM_ADD", "heading_path": ["STATISTICAL OUTPUT LAUOUT", "Tables"], "filename": "Mock SAP _03Jun2026.docx"}, {"id": "doc::72df3a00:layout::38:para::0", "content": "Table 14.2.1.2. Adverse events by system organ class and preferred term ([analysis set])", "index": "section@para", "score": 8.0, "type": "PWR_DROP", "heading_path": ["STATISTICAL OUTPUT LAUOUT", "Tables"], "filename": "Mock SAP _03Jun2026.docx"}, {"id": "doc::72df3a00:layout::38:para::4", "content": "[STUDYID] Adverse events by system organ class and preferred term, [analysis set], SAS program: ae_summary_by_soc_and_pt.sas. Run by: [USERNAME], [USER EMAIL] [TIMESTAMP]", "index": "section@para", "score": 8.0, "type": "PWR_DROP", "heading_path": ["STATISTICAL OUTPUT LAUOUT", "Tables"], "filename": "Mock SAP _03Jun2026.docx"}, {"id": "doc::72df3a00:layout::67:para::3", "content": "Listing 16.2.4.3 Adverse events as screening, part 1 (Full analysis set) Listing 16.2.4.4 Adverse events as screening, part 2 (Full analysis set) Listing 16.2.5.1 Prior and concomitant medications (Full analysis set) Listing 16.2.5.2. Exposure (Full analysis set)", "index": "section@para", "score": 8.0, "type": "PWR_DROP", "heading_path": ["STATISTICAL OUTPUT LAUOUT", "Tables"], "filename": "Mock SAP _03Jun2026.docx"}, {"id": "doc::72df3a00:layout::67:para::4", "content": "Listing 16.2.6.1. Adverse events, part 1 (Full analysis set)", "index": "section@para", "score": 8.0, "type": "PWR_DROP", "heading_path": ["STATISTICAL OUTPUT LAUOUT", "Tables"], "filename": "Mock SAP _03Jun2026.docx"}]</t>
  </si>
  <si>
    <t>doc::7cd3e10f:layout::3:para::32::ph::0</t>
  </si>
  <si>
    <t>&lt;Table summary of Adverse Events&gt;</t>
  </si>
  <si>
    <t>Retrieve tables or captions related to adverse event summaries, focusing on safety analysis sets or similar contexts.</t>
  </si>
  <si>
    <t>Resolve the placeholder 'Table summary of Adverse Events' using the caption 'Overall Summary of Adverse Events (Safety Analysis Set)' provided in the context and ensure the resolution aligns with its positional identifiers.</t>
  </si>
  <si>
    <t>Table 14.3.2:	Overall Summary of Adverse Events (Safety Analysis Set)
&lt;table&gt;&lt;tr&gt;&lt;th&gt;&lt;p style="margin-top: 3pt; margin-bottom: 3pt"&gt;&lt;span style="font-size: 10pt"&gt;Parameter&lt;/span&gt;&lt;/p&gt;&lt;/th&gt;&lt;th&gt;&lt;p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10pt"&gt;Parameter&lt;/span&gt;&lt;/p&gt;&lt;/td&gt;&lt;td&gt;&lt;p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10pt"&gt;N=31&lt;/span&gt;&lt;/p&gt;&lt;/td&gt;&lt;/tr&gt;&lt;tr&gt;&lt;td&gt;&lt;p style="margin-top: 3pt; margin-bottom: 3pt"&gt;&lt;span style="font-size: 10pt" class="font:Times New Roman"&gt;&lt;strong&gt;Number of Subjects with at least one: &lt;/strong&gt;&lt;/span&gt;&lt;/p&gt;&lt;/td&gt;&lt;td&gt;&amp;nbsp;&lt;/td&gt;&lt;td&gt;&amp;nbsp;&lt;/td&gt;&lt;td&gt;&amp;nbsp;&lt;/td&gt;&lt;td&gt;&amp;nbsp;&lt;/td&gt;&lt;/tr&gt;&lt;tr&gt;&lt;td&gt;&lt;p style="margin-top: 3pt; margin-bottom: 3pt"&gt;&lt;span style="font-size: 10pt" class="font:Times New Roman"&gt;TEAE&lt;/span&gt;&lt;/p&gt;&lt;/td&gt;&lt;td&gt;&lt;p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color:000000"&gt;18 (85.7)&lt;/span&gt;&lt;/p&gt;&lt;/td&gt;&lt;td&gt;&lt;p style="text-align: center; margin-top: 3pt; margin-bottom: 3pt"&gt;&lt;span style="font-size: 10pt" class="font:Times New Roman color:000000"&gt;5 (50.0)&lt;/span&gt;&lt;/p&gt;&lt;/td&gt;&lt;td&gt;&lt;p style="text-align: center; margin-top: 3pt; margin-bottom: 3pt"&gt;&lt;span style="font-size: 10pt" class="font:Times New Roman color:000000"&gt;23 (74.2)&lt;/span&gt;&lt;/p&gt;&lt;/td&gt;&lt;/tr&gt;&lt;tr&gt;&lt;td&gt;&lt;p style="margin-top: 3pt; margin-bottom: 3pt"&gt;&lt;span style="font-size: 10pt" class="font:Times New Roman"&gt;Treatment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color:000000"&gt;13 (61.9)&lt;/span&gt;&lt;/p&gt;&lt;/td&gt;&lt;td&gt;&lt;p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color:000000"&gt;13 (41.9)&lt;/span&gt;&lt;/p&gt;&lt;/td&gt;&lt;/tr&gt;&lt;tr&gt;&lt;td&gt;&lt;p style="margin-top: 3pt; margin-bottom: 3pt"&gt;&lt;span style="font-size: 10pt" class="font:Times New Roman"&gt;Grade 3 or Higher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color:000000"&gt;5 (23.8)&lt;/span&gt;&lt;/p&gt;&lt;/td&gt;&lt;td&gt;&lt;p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color:000000"&gt;5 (16.1)&lt;/span&gt;&lt;/p&gt;&lt;/td&gt;&lt;/tr&gt;&lt;tr&gt;&lt;td&gt;&lt;p style="margin-top: 3pt; margin-bottom: 3pt"&gt;&lt;span style="font-size: 10pt" class="font:Times New Roman"&gt;TEAE resulting in discontinuation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 (9.5)&lt;/span&gt;&lt;/p&gt;&lt;/td&gt;&lt;td&gt;&lt;p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color:000000"&gt;2 (6.5)&lt;/span&gt;&lt;/p&gt;&lt;/td&gt;&lt;/tr&gt;&lt;tr&gt;&lt;td&gt;&lt;p style="margin-top: 3pt; margin-bottom: 3pt"&gt;&lt;span style="font-size: 10pt" class="font:Times New Roman"&gt;TEAE resulting in dose modification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 (3.2)&lt;/span&gt;&lt;/p&gt;&lt;/td&gt;&lt;/tr&gt;&lt;tr&gt;&lt;td&gt;&lt;p style="margin-top: 3pt; margin-bottom: 3pt"&gt;&lt;span style="font-size: 10pt" class="font:Times New Roman"&gt;TEAE resulting in dose reduction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color:000000"&gt;0&lt;/span&gt;&lt;/p&gt;&lt;/td&gt;&lt;/tr&gt;&lt;tr&gt;&lt;td&gt;&lt;p style="margin-top: 3pt; margin-bottom: 3pt"&gt;&lt;span style="font-size: 10pt" class="font:Times New Roman"&gt;TEAE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(9.7)&lt;/span&gt;&lt;/p&gt;&lt;/td&gt;&lt;/tr&gt;&lt;tr&gt;&lt;td&gt;&lt;p style="margin-top: 3pt; margin-bottom: 3pt"&gt;&lt;span style="font-size: 10pt" class="font:Times New Roman"&gt;Treatment related 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(9.7)&lt;/span&gt;&lt;/p&gt;&lt;/td&gt;&lt;/tr&gt;&lt;/table&gt;
Abbreviations: TEAE = treatment emergent adverse event</t>
  </si>
  <si>
    <t>[{"id": "doc::ac3b7b0b:layout::0:para::28", "content": "Table 14.3.2:\tOverall Summary of Adverse Events (Safety Analysis Set)", "index": "section@para", "score": 8.0, "type": "PWR_USED", "heading_path": [], "filename": "Mock_CSR _Tables_30Oct25.rtf"},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6.0, "type": "PWR_DROP", "heading_path": ["Statistical Analyses", "Safety Analysis"], "filename": "Mock_CSR_Protocol.docx"}, {"id": "doc::72df3a00:layout::37:para::0", "content": "Table 14.2.1.1. Overview of adverse events ([analysis set])", "index": "section@para", "score": 6.0, "type": "PWR_DROP", "heading_path": ["STATISTICAL OUTPUT LAUOUT", "Tables"], "filename": "Mock SAP _03Jun2026.docx"}, {"id": "doc::72df3a00:layout::37:para::3", "content": "Percentages are based on the number of subjects in the treatment period included in the [analysis set]. Adverse events that occurred during screening are omitted from summary.", "index": "section@para", "score": 6.0, "type": "CNM_ADD", "heading_path": ["STATISTICAL OUTPUT LAUOUT", "Tables"], "filename": "Mock SAP _03Jun2026.docx"}, {"id": "doc::72df3a00:layout::38:para::0", "content": "Table 14.2.1.2. Adverse events by system organ class and preferred term ([analysis set])", "index": "section@para", "score": 6.0, "type": "PWR_DROP", "heading_path": ["STATISTICAL OUTPUT LAUOUT", "Tables"], "filename": "Mock SAP _03Jun2026.docx"}, {"id": "doc::fd2ccc75:layout::0:para::29", "content": "The number of participants experiencing serious adverse events (SAEs) and non-serious adverse events (AEs) following single or repeated administration of ABC-123.", "index": "section@para", "score": 4.0,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4.0, "type": "PWR_DROP", "heading_path": ["3. Key Endpoints"],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t>
  </si>
  <si>
    <t>doc::7cd3e10f:layout::3:para::33::ph::0</t>
  </si>
  <si>
    <t>&lt;Safety Conclusions&gt;</t>
  </si>
  <si>
    <t>Retrieve detailed conclusions regarding the safety profile and tolerability of ABC-123, focusing on treatment-emergent adverse events and overall safety findings.</t>
  </si>
  <si>
    <t>Summarize the safety conclusions of ABC-123, emphasizing its tolerability and the absence of significant treatment-emergent adverse events, as detailed in the study results and conclusions sections.</t>
  </si>
  <si>
    <t>&lt;p&gt;This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safety profile supports the acceptable tolerability of ABC-123.&lt;/p&gt;</t>
  </si>
  <si>
    <t>[{"id":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"doc::fd2ccc75:layout::0:para::12", "content": "To assess the safety and tolerability following repeated doses over 4 weeks of ABC-123", "index": "section@para", "score": 2.0, "type": "PWR_DROP", "heading_path": ["1. Study Objective"], "filename": "Mock_CSR Key messages_with_heading.docx"},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["Study Title:"], "filename": "Mock_CSR Key messages_with_heading.docx"}, {"id": "doc::fd2ccc75:layout::0:para::36", "content": "To characterize the change from baseline in exploratory safety biomarker values (e.g., troponin, CRP, etc.) at specified post-dose time points.", "index": "section@para", "score": 2.0, "type": "PWR_DROP", "heading_path": ["3. Key Endpoints"], "filename": "Mock_CSR Key messages_with_heading.docx"}, {"id": "doc::fd2ccc75:layout::0:para::65", "content": "Overall conclusion:", "index": "section@para", "score": 2.0, "type": "PWR_DROP", "heading_path": ["4. Key Results"], "filename": "Mock_CSR Key messages_with_heading.docx"}, {"id": "doc::fd2ccc75:layout::0:para::67", "content": "Safety:", "index": "section@para", "score": 2.0, "type": "PWR_DROP",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"PWR_USED", "heading_path": [], "filename": "Mock_CSR Key messages_with_heading.docx"}, {"id": "doc::fd2ccc75:layout::0:para::71", "content": "The safety profile supports the acceptable tolerability of ABC-123.", "index": "section@para", "score": 2.0, "type": "PWR_USED", "heading_path": ["5. Interpretation &amp; Conclusion"], "filename": "Mock_CSR Key messages_with_heading.docx"}]</t>
  </si>
  <si>
    <t>doc::7cd3e10f:layout::3:para::51::ph::0</t>
  </si>
  <si>
    <t>&lt;Insert discussion&gt;</t>
  </si>
  <si>
    <t>Retrieve detailed information on study enrollment criteria, adverse event management, and participant replacement policies.</t>
  </si>
  <si>
    <t>Resolve the placeholder 'Insert discussion' by summarizing the eligibility criteria for study enrollment, adverse event handling, and participant replacement policies as outlined in the context paragraphs.</t>
  </si>
  <si>
    <t>Participants must meet all specified Inclusion Criteria and none of the Exclusion Criteria to be eligible for enrollment in the study. In cases where eligibility requirements were initially unmet, retesting may be allowed following consultation with the Medical Monitor. If adverse events (AEs) lead to withholding the study intervention, scheduled visits and assessments should continue as planned. Resumption of dosing in the repeat-dose component may occur at the same or a lower dose, contingent upon the Investigator's discretion and agreement with the Medical Monitor, ensuring no significant risk to the participant. Participants withdrawn for non-intervention-related reasons may be replaced after discussion with the Sponsor, while those withdrawn due to AEs related to the intervention will not be replaced.</t>
  </si>
  <si>
    <t>[{"id":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2.0, "type": "PWR_USED", "heading_path": ["STUDY POPULATION"],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2.0, "type": "PWR_USED", "heading_path": ["Dose Modification", "Dose Escalation and Stopping Criteria"],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2.0, "type": "PWR_USED", "heading_path": ["Discontinuation of Study Intervention", "Withdrawal of Consent"], "filename": "Mock_CSR_Protocol.docx"}]</t>
  </si>
  <si>
    <t>doc::7cd3e10f:layout::3:para::54::ph::0</t>
  </si>
  <si>
    <t>&lt;Insert conclusion in bullets&gt;</t>
  </si>
  <si>
    <t>Retrieve detailed safety, pharmacokinetic, and pharmacodynamic findings related to ABC-123, emphasizing study conclusions and benefit-risk assessment.</t>
  </si>
  <si>
    <t>Summarize the conclusions provided in the context into bullet points, ensuring inclusion of safety, pharmacokinetic, and pharmacodynamic findings, along with the benefit-risk assessment.</t>
  </si>
  <si>
    <t>&lt;ul&gt;&lt;li&gt;ABC-123 demonstrated safety and tolerability in both single and multiple doses, with no dose-limiting toxicities observed.&lt;/li&gt;&lt;li&gt;Adverse events were more frequent in the treatment group compared to the placebo group, with a higher incidence of treatment-related adverse events.&lt;/li&gt;&lt;li&gt;Serious treatment-related adverse events and deaths occurred exclusively in the treatment group.&lt;/li&gt;&lt;li&gt;Pharmacokinetic analysis revealed predictable dose-proportional exposure and altered clearance in Boneitis participants.&lt;/li&gt;&lt;li&gt;Exploratory pharmacodynamic biomarker analyses suggested favorable metabolic effects, supporting potential pharmacologic activity.&lt;/li&gt;&lt;li&gt;The benefit-risk assessment for ABC-123 remains favorable, supported by prior safety data and minimized risks through monitoring and dose escalation.&lt;/li&gt;&lt;/ul&gt;</t>
  </si>
  <si>
    <t>[{"id": "doc::fd2ccc75:layout::0:para::65", "content": "Overall conclusion:", "index": "section@para", "score": 2.0, "type": "PWR_DROP",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"PWR_USED", "heading_path": [], "filename": "Mock_CSR Key messages_with_heading.docx"}, {"id":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2.0, "type": "PWR_USED", "heading_path": ["Benefit/Risk Assessment"],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2.0, "type": "PWR_DROP", "heading_path": ["Adverse Events and Serious Adverse Events", "Time Period and Frequency for Collecting AE and SAE Information"], "filename": "Mock_CSR_Protocol.docx"}]</t>
  </si>
  <si>
    <t>doc::7cd3e10f:layout::3:para::56::ph::0</t>
  </si>
  <si>
    <t>&lt;Internal Table citation of Demographics and other Baseline Characteristics&gt;</t>
  </si>
  <si>
    <t>Demographics and other Baseline Characteristics</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</si>
  <si>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14.2.2&lt;/span&gt;&lt;/p&gt;&lt;/td&gt;&lt;td&gt;&lt;p style="text-align: center"&gt;&lt;span style="font-size: 10.0pt" class="Default Paragraph Font"&gt;Demographics (Full Analysis Set)&lt;/span&gt;&lt;/p&gt;&lt;/td&gt;&lt;/tr&gt;&lt;/table&gt;</t>
  </si>
  <si>
    <t>InternalTableCitation</t>
  </si>
  <si>
    <t>doc::7cd3e10f:layout::3:para::59::ph::0</t>
  </si>
  <si>
    <t>&lt;Internal Table citation of  Pharmacokinetics and Pharmacodynamics Data&gt;</t>
  </si>
  <si>
    <t>Pharmacokinetics and Pharmacodynamics Data</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</si>
  <si>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14.2.3&lt;/span&gt;&lt;/p&gt;&lt;/td&gt;&lt;td&gt;&lt;p style="text-align: center"&gt;&lt;span style="font-size: 10.0pt" class="Default Paragraph Font"&gt;Pharmacokinetic Parameters Following Single Ascending Doses of ABC-123&lt;/span&gt;&lt;/p&gt;&lt;/td&gt;&lt;/tr&gt;&lt;tr&gt;&lt;td&gt;&lt;p style="text-align: center"&gt;&lt;span style="font-size: 10.0pt" class="Default Paragraph Font"&gt;Table 14.2.4&lt;/span&gt;&lt;/p&gt;&lt;/td&gt;&lt;td&gt;&lt;p style="text-align: center"&gt;&lt;span style="font-size: 10.0pt" class="Default Paragraph Font"&gt;Pharmacokinetic Parameters of ABC-123 Following Repeated-Dose Administration&lt;/span&gt;&lt;/p&gt;&lt;/td&gt;&lt;/tr&gt;&lt;tr&gt;&lt;td&gt;&lt;p style="text-align: center"&gt;&lt;span style="font-size: 10.0pt" class="Default Paragraph Font"&gt;Table 14.2.5&lt;/span&gt;&lt;/p&gt;&lt;/td&gt;&lt;td&gt;&lt;p style="text-align: center"&gt;&lt;span style="font-size: 10.0pt" class="Default Paragraph Font"&gt;PD Biomarker Changes Following Single Ascending Dose (SAD) of ABC-123 and Placebo in Healthy Participants&lt;/span&gt;&lt;/p&gt;&lt;/td&gt;&lt;/tr&gt;&lt;tr&gt;&lt;td&gt;&lt;p style="text-align: center"&gt;&lt;span style="font-size: 10.0pt" class="Default Paragraph Font"&gt;Table 14.2.6&lt;/span&gt;&lt;/p&gt;&lt;/td&gt;&lt;td&gt;&lt;p style="text-align: center"&gt;&lt;span style="font-size: 10.0pt" class="Default Paragraph Font"&gt;PD Biomarker Changes Following Repeated Dose of ABC-123 and Placebo in Boneitis Participants&lt;/span&gt;&lt;/p&gt;&lt;/td&gt;&lt;/tr&gt;&lt;/table&gt;</t>
  </si>
  <si>
    <t>doc::7cd3e10f:layout::3:para::62::ph::0</t>
  </si>
  <si>
    <t>&lt;Internal Table citation of  Safety Data Summary&gt;</t>
  </si>
  <si>
    <t>Safety Data Summary</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</si>
  <si>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14.3.1&lt;/span&gt;&lt;/p&gt;&lt;/td&gt;&lt;td&gt;&lt;p style="text-align: center"&gt;&lt;span style="font-size: 10.0pt" class="Default Paragraph Font"&gt;Summary of Study Drug Exposure (Safety Analysis Set)&lt;/span&gt;&lt;/p&gt;&lt;/td&gt;&lt;/tr&gt;&lt;tr&gt;&lt;td&gt;&lt;p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t>
  </si>
  <si>
    <t>doc::7cd3e10f:layout::3:para::65::ph::0</t>
  </si>
  <si>
    <t>&lt;Internal Table citation of  Adverse Events&gt;</t>
  </si>
  <si>
    <t>Adverse Events</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</si>
  <si>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t>
  </si>
  <si>
    <t>doc::7cd3e10f:layout::3:para::68::ph::0</t>
  </si>
  <si>
    <t>&lt;Insert Reference List&gt;</t>
  </si>
  <si>
    <t>Includes all the key documents, scientific publications, regulatory guidelines, and literature that were cited or consulted in the preparation of the report.</t>
  </si>
  <si>
    <t>Retrieve scientific references cited in the preparation of the report, focusing on literature and regulatory guidelines.</t>
  </si>
  <si>
    <t>Resolve the placeholder 'Insert Reference List' at the end of the paragraph summarizing key documents and literature cited in the report preparation, using the reference list provided in the context.</t>
  </si>
  <si>
    <t>&lt;p&gt;&lt;span style="font-size: 12pt" class="Default Paragraph Font color:000000"&gt;Biagini, E., P. Spirito, O. Leone, F. M. Picchio, F. Coccolo, L. Ragni, C. Lofiego, F. Grigioni, L. Potena, G. Rocchi, L. Bacchi-Reggiani, G. Boriani, D. Prandstraller, E. Arbustini, A. Branzi, and C. Rapezzi. 2008. &amp;#x27;Heart transplantation in hypertrophic cardiomyopathy&amp;#x27;, &lt;/span&gt;&lt;span style="font-size: 12pt" class="Default Paragraph Font color:000000"&gt;&lt;em&gt;Am J Cardiol&lt;/em&gt;&lt;/span&gt;&lt;span style="font-size: 12pt" class="Default Paragraph Font color:000000"&gt;, 101: 387-92.&lt;/span&gt;&lt;/p&gt;</t>
  </si>
  <si>
    <t>[{"id": "doc::4877313e:layout::25:para::7", "content": "A participant may temporarily interrupt or discontinue study intervention for any reason including those listed below:", "index": "section@para", "score": 2.0, "type": "PWR_DROP", "heading_path": ["Discontinuation of Study Intervention", "Individual Participant Discontinuation"], "filename": "Mock_CSR_Protocol.docx"}, {"id": "doc::4877313e:layout::29:para::20", "content": "See S) for the list of clinical laboratory tests to be performed and the SoA for the timing and frequency.", "index": "section@para", "score": 2.0, "type": "PWR_DROP", "heading_path": ["Safety Assessments", "Clinical Safety Laboratory Assessments"], "filename": "Mock_CSR_Protocol.docx"}, {"id": "doc::4877313e:layout::34:para::1", "content": "For all participants who received at least 1 dose of study intervention, descriptive statistics (mean, standard deviation, median, minimum, maximum) will be performed for age, BMI, weight, and height function. Sex will be listed and tabulated.", "index": "section@para", "score": 2.0, "type": "PWR_DROP", "heading_path": ["Statistical Analyses", "Initial Participant Characteristics"], "filename": "Mock_CSR_Protocol.docx"}, {"id": "doc::4877313e:layout::34:para::10", "content": "Individual serum concentrations of anti-ABC-123 antibodies and their incidence or persistence will be listed, tabulated separately for each dose level and sampling time, and summarized using descriptive statistics.", "index": "section@para", "score": 2.0, "type": "PWR_DROP", "heading_path": ["Statistical Analyses", "Immunogenicity"],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"PWR_DROP", "heading_path": ["Statistical Analyses", "Pharmacodynamic Analyses"], "filename": "Mock_CSR_Protocol.docx"}, {"id": "doc::4877313e:layout::41:para::10", "content": "If any additional measures not listed here are required per local or institutional standards on public health emergencies, those measures should be documented. The Investigator should make every effort to minimize impact to the integrity of the clinical trial while ensuring the safety and well-being of trial participants.", "index": "section@para", "score": 2.0, "type": "PWR_DROP", "heading_path": ["Appendix 3: Guidelines for Public Health Emergencies, Including Infectious Disease Outbreaks"], "filename": "Mock_CSR_Protocol.docx"}, {"id": "doc::4877313e:layout::42:para::4", "content": "Individual serum concentrations of anti-ABC-123 antibodies and their incidence or persistence will be listed, tabulated separately for each dose level and sampling time, and summarized using descriptive statistics.", "index": "section@para", "score": 2.0, "type": "PWR_DROP", "heading_path": ["Appendix 4: Adverse Events: Definitions and Procedures for Recording, Evaluating, Follow-up, and Reporting", "Immunogenicity"], "filename": "Mock_CSR_Protocol.docx"}, {"id": "doc::4877313e:layout::49:para::10", "content": "If any additional measures not listed here are required per local or institutional standards on public health emergencies, those measures should be documented. The Investigator should make every effort to minimize impact to the integrity of the clinical trial while ensuring the safety and well-being of trial participants.", "index": "section@para", "score": 2.0, "type": "PWR_DROP", "heading_path": ["Appendix 3: Guidelines for Public Health Emergencies, Including Infectious Disease Outbreaks"], "filename": "Mock_CSR_Protocol.docx"}, {"id": "doc::4877313e:layout::58:para::3", "content": "REFERENCES\n\n&lt;p&gt;&lt;span style=\"font-size: 12pt\" class=\"Default Paragraph Font color:000000\"&gt;Biagini, E., P. Spirito, O. Leone, F. M. Picchio, F. Coccolo, L. Ragni, C. Lofiego, F. Grigioni, L. Potena, G. Rocchi, L. Bacchi-Reggiani, G. Boriani, D. Prandstraller, E. Arbustini, A. Branzi, and C. Rapezzi. 2008. &amp;#x27;Heart transplantation in hypertrophic cardiomyopathy&amp;#x27;, &lt;/span&gt;&lt;span style=\"font-size: 12pt\" class=\"Default Paragraph Font color:000000\"&gt;&lt;em&gt;Am J Cardiol&lt;/em&gt;&lt;/span&gt;&lt;span style=\"font-size: 12pt\" class=\"Default Paragraph Font color:000000\"&gt;, 101: 387-92.&lt;/span&gt;&lt;/p&gt;", "index": "section@para", "score": 2.0, "type": "PWR_USED", "heading_path": [], "filename": "Mock_CSR_Protocol.docx"},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2.0, "type": "PWR_DROP", "heading_path": ["TREATMENT INFORMATION AND EXTENT OF EXPOSURE", "Prior and Concomitant Medications"], "filename": "Mock SAP _03Jun2026.docx"}]</t>
  </si>
  <si>
    <t>doc::7cd3e10f:layout::3:para::76::ph::0</t>
  </si>
  <si>
    <t>OVERALL</t>
  </si>
  <si>
    <t>Metric</t>
  </si>
  <si>
    <t>Placeholder Accuracy</t>
  </si>
  <si>
    <t>Matched Sources Accuracy</t>
  </si>
  <si>
    <t>Replacement Accuracy</t>
  </si>
  <si>
    <t>Overall</t>
  </si>
  <si>
    <t>GROUP BY ELEMENT TYPE</t>
  </si>
  <si>
    <t>GROUP BY REPLACEMENT ELEMENT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</si>
</sst>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xf numFmtId="10" fontId="0" fillId="0" borderId="0" xfId="0" applyNumberFormat="1"/>
    <xf numFmtId="0" fontId="1" fillId="0" borderId="0" xfId="0" applyFont="1" applyAlignment="1">
      <alignment horizontal="center"/>
    </xf>
    <xf numFmtId="0" fontId="0" fillId="0" borderId="0" xfId="0" applyAlignment="1"/>
  </cellXfs>
  <cellStyles count="1">
    <cellStyle name="Normal" xfId="0" builtinId="0"/>
  </cellStyles>
  <dxfs count="105">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BDD7EE"/>
        </patternFill>
      </fill>
    </dxf>
    <dxf>
      <fill>
        <patternFill patternType="solid">
          <fgColor rgb="FFFFD966"/>
        </patternFill>
      </fill>
    </dxf>
    <dxf>
      <fill>
        <patternFill patternType="solid">
          <fgColor rgb="FFD9B3FF"/>
        </patternFill>
      </fill>
    </dxf>
    <dxf>
      <fill>
        <patternFill patternType="solid">
          <fgColor rgb="FFFFC7CE"/>
        </patternFill>
      </fill>
    </dxf>
    <dxf>
      <fill>
        <patternFill patternType="solid">
          <fgColor rgb="FFC6EFCE"/>
        </patternFill>
      </fill>
    </dxf>
    <dxf>
      <fill>
        <patternFill patternType="solid">
          <fgColor rgb="FFBDD7EE"/>
        </patternFill>
      </fill>
    </dxf>
    <dxf>
      <fill>
        <patternFill patternType="solid">
          <fgColor rgb="FFFFD966"/>
        </patternFill>
      </fill>
    </dxf>
    <dxf>
      <fill>
        <patternFill patternType="solid">
          <fgColor rgb="FFD9B3FF"/>
        </patternFill>
      </fill>
    </dxf>
    <dxf>
      <fill>
        <patternFill patternType="solid">
          <fgColor rgb="FFFFC7CE"/>
        </patternFill>
      </fill>
    </dxf>
    <dxf>
      <fill>
        <patternFill patternType="solid">
          <fgColor rgb="FFC6EFCE"/>
        </patternFill>
      </fill>
    </dxf>
    <dxf>
      <fill>
        <patternFill patternType="solid">
          <fgColor rgb="FFBDD7EE"/>
        </patternFill>
      </fill>
    </dxf>
    <dxf>
      <fill>
        <patternFill patternType="solid">
          <fgColor rgb="FFFFD966"/>
        </patternFill>
      </fill>
    </dxf>
    <dxf>
      <fill>
        <patternFill patternType="solid">
          <fgColor rgb="FFD9B3FF"/>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7"/>
  <sheetViews>
    <sheetView tabSelected="1" workbookViewId="0"/>
  </sheetViews>
  <sheetFormatPr defaultRowHeight="15"/>
  <sheetData>
    <row r="1" spans="1:21">
      <c r="A1" s="4" t="s">
        <v>0</v>
      </c>
      <c r="B1" s="5"/>
      <c r="C1" s="5"/>
      <c r="E1" s="4" t="s">
        <v>1</v>
      </c>
      <c r="F1" s="5"/>
      <c r="G1" s="5"/>
      <c r="H1" s="5"/>
      <c r="J1" s="4" t="s">
        <v>2</v>
      </c>
      <c r="K1" s="5"/>
      <c r="L1" s="5"/>
    </row>
    <row r="2" spans="1:21">
      <c r="A2" s="1" t="s">
        <v>3</v>
      </c>
      <c r="B2" s="1" t="s">
        <v>4</v>
      </c>
      <c r="C2" s="1" t="s">
        <v>5</v>
      </c>
      <c r="D2" s="1"/>
      <c r="E2" s="1" t="s">
        <v>6</v>
      </c>
      <c r="F2" s="1" t="s">
        <v>7</v>
      </c>
      <c r="G2" s="1" t="s">
        <v>8</v>
      </c>
      <c r="H2" s="1" t="s">
        <v>9</v>
      </c>
      <c r="I2" s="1"/>
      <c r="J2" s="1" t="s">
        <v>10</v>
      </c>
      <c r="K2" s="1" t="s">
        <v>4</v>
      </c>
      <c r="L2" s="1" t="s">
        <v>5</v>
      </c>
      <c r="M2" s="1" t="s">
        <v>11</v>
      </c>
      <c r="N2" s="1" t="s">
        <v>12</v>
      </c>
      <c r="O2" s="1" t="s">
        <v>13</v>
      </c>
      <c r="P2" s="1" t="s">
        <v>14</v>
      </c>
      <c r="Q2" s="1" t="s">
        <v>15</v>
      </c>
      <c r="R2" s="1" t="s">
        <v>16</v>
      </c>
      <c r="S2" s="1" t="s">
        <v>17</v>
      </c>
      <c r="T2" s="1" t="s">
        <v>18</v>
      </c>
      <c r="U2" s="1" t="s">
        <v>19</v>
      </c>
    </row>
    <row r="3" spans="1:21">
      <c r="A3" t="s">
        <v>20</v>
      </c>
      <c r="F3" t="s">
        <v>21</v>
      </c>
      <c r="G3" t="s">
        <v>22</v>
      </c>
      <c r="H3" t="s">
        <v>23</v>
      </c>
      <c r="J3" t="s">
        <v>24</v>
      </c>
      <c r="M3" t="s">
        <v>25</v>
      </c>
      <c r="N3" t="s">
        <v>26</v>
      </c>
      <c r="R3" t="s">
        <v>27</v>
      </c>
      <c r="S3" t="s">
        <v>28</v>
      </c>
    </row>
    <row r="4" spans="1:21">
      <c r="A4" t="s">
        <v>29</v>
      </c>
      <c r="F4" t="s">
        <v>30</v>
      </c>
      <c r="G4" t="s">
        <v>22</v>
      </c>
      <c r="H4" t="s">
        <v>31</v>
      </c>
      <c r="J4" t="s">
        <v>32</v>
      </c>
      <c r="M4" t="s">
        <v>25</v>
      </c>
      <c r="N4" t="s">
        <v>33</v>
      </c>
      <c r="R4" t="s">
        <v>25</v>
      </c>
      <c r="S4" t="s">
        <v>34</v>
      </c>
    </row>
    <row r="5" spans="1:21">
      <c r="A5" t="s">
        <v>35</v>
      </c>
      <c r="F5" t="s">
        <v>36</v>
      </c>
      <c r="G5" t="s">
        <v>22</v>
      </c>
      <c r="H5" t="s">
        <v>37</v>
      </c>
      <c r="J5" t="s">
        <v>38</v>
      </c>
      <c r="M5" t="s">
        <v>25</v>
      </c>
      <c r="N5" t="s">
        <v>39</v>
      </c>
      <c r="R5" t="s">
        <v>40</v>
      </c>
      <c r="S5" t="s">
        <v>41</v>
      </c>
    </row>
    <row r="6" spans="1:21">
      <c r="A6" t="s">
        <v>42</v>
      </c>
      <c r="F6" t="s">
        <v>43</v>
      </c>
      <c r="G6" t="s">
        <v>22</v>
      </c>
      <c r="H6" t="s">
        <v>44</v>
      </c>
      <c r="J6" t="s">
        <v>45</v>
      </c>
      <c r="M6" t="s">
        <v>25</v>
      </c>
      <c r="N6" t="s">
        <v>46</v>
      </c>
      <c r="R6" t="s">
        <v>40</v>
      </c>
      <c r="S6" t="s">
        <v>47</v>
      </c>
    </row>
    <row r="7" spans="1:21">
      <c r="A7" t="s">
        <v>48</v>
      </c>
      <c r="F7" t="s">
        <v>49</v>
      </c>
      <c r="G7" t="s">
        <v>22</v>
      </c>
      <c r="H7" t="s">
        <v>50</v>
      </c>
      <c r="J7" t="s">
        <v>51</v>
      </c>
      <c r="M7" t="s">
        <v>25</v>
      </c>
      <c r="N7" t="s">
        <v>52</v>
      </c>
      <c r="R7" t="s">
        <v>40</v>
      </c>
      <c r="S7" t="s">
        <v>53</v>
      </c>
    </row>
    <row r="8" spans="1:21">
      <c r="A8" t="s">
        <v>35</v>
      </c>
      <c r="F8" t="s">
        <v>54</v>
      </c>
      <c r="G8" t="s">
        <v>22</v>
      </c>
      <c r="H8" t="s">
        <v>55</v>
      </c>
      <c r="J8" t="s">
        <v>38</v>
      </c>
      <c r="M8" t="s">
        <v>25</v>
      </c>
      <c r="N8" t="s">
        <v>56</v>
      </c>
      <c r="R8" t="s">
        <v>40</v>
      </c>
      <c r="S8" t="s">
        <v>57</v>
      </c>
    </row>
    <row r="9" spans="1:21">
      <c r="A9" t="s">
        <v>42</v>
      </c>
      <c r="F9" t="s">
        <v>58</v>
      </c>
      <c r="G9" t="s">
        <v>22</v>
      </c>
      <c r="H9" t="s">
        <v>59</v>
      </c>
      <c r="J9" t="s">
        <v>45</v>
      </c>
      <c r="M9" t="s">
        <v>25</v>
      </c>
      <c r="N9" t="s">
        <v>60</v>
      </c>
      <c r="R9" t="s">
        <v>40</v>
      </c>
      <c r="S9" t="s">
        <v>61</v>
      </c>
    </row>
    <row r="10" spans="1:21">
      <c r="A10" t="s">
        <v>48</v>
      </c>
      <c r="F10" t="s">
        <v>62</v>
      </c>
      <c r="G10" t="s">
        <v>22</v>
      </c>
      <c r="H10" t="s">
        <v>63</v>
      </c>
      <c r="J10" t="s">
        <v>51</v>
      </c>
      <c r="M10" t="s">
        <v>25</v>
      </c>
      <c r="N10" t="s">
        <v>52</v>
      </c>
      <c r="R10" t="s">
        <v>40</v>
      </c>
      <c r="S10" t="s">
        <v>64</v>
      </c>
    </row>
    <row r="11" spans="1:21">
      <c r="A11" t="s">
        <v>35</v>
      </c>
      <c r="F11" t="s">
        <v>65</v>
      </c>
      <c r="G11" t="s">
        <v>22</v>
      </c>
      <c r="H11" t="s">
        <v>66</v>
      </c>
      <c r="J11" t="s">
        <v>38</v>
      </c>
      <c r="M11" t="s">
        <v>25</v>
      </c>
      <c r="N11" t="s">
        <v>67</v>
      </c>
      <c r="R11" t="s">
        <v>40</v>
      </c>
      <c r="S11" t="s">
        <v>68</v>
      </c>
    </row>
    <row r="12" spans="1:21">
      <c r="A12" t="s">
        <v>42</v>
      </c>
      <c r="F12" t="s">
        <v>69</v>
      </c>
      <c r="G12" t="s">
        <v>22</v>
      </c>
      <c r="H12" t="s">
        <v>70</v>
      </c>
      <c r="J12" t="s">
        <v>45</v>
      </c>
      <c r="M12" t="s">
        <v>25</v>
      </c>
      <c r="N12" t="s">
        <v>71</v>
      </c>
      <c r="R12" t="s">
        <v>40</v>
      </c>
      <c r="S12" t="s">
        <v>72</v>
      </c>
    </row>
    <row r="13" spans="1:21">
      <c r="A13" t="s">
        <v>48</v>
      </c>
      <c r="F13" t="s">
        <v>73</v>
      </c>
      <c r="G13" t="s">
        <v>22</v>
      </c>
      <c r="H13" t="s">
        <v>74</v>
      </c>
      <c r="J13" t="s">
        <v>51</v>
      </c>
      <c r="M13" t="s">
        <v>25</v>
      </c>
      <c r="N13" t="s">
        <v>52</v>
      </c>
      <c r="R13" t="s">
        <v>40</v>
      </c>
      <c r="S13" t="s">
        <v>75</v>
      </c>
    </row>
    <row r="14" spans="1:21">
      <c r="A14" t="s">
        <v>76</v>
      </c>
      <c r="F14" t="s">
        <v>77</v>
      </c>
      <c r="G14" t="s">
        <v>22</v>
      </c>
      <c r="H14" t="s">
        <v>78</v>
      </c>
      <c r="J14" t="s">
        <v>79</v>
      </c>
      <c r="M14" t="s">
        <v>25</v>
      </c>
      <c r="N14" t="s">
        <v>80</v>
      </c>
      <c r="R14" t="s">
        <v>40</v>
      </c>
      <c r="S14" t="s">
        <v>81</v>
      </c>
    </row>
    <row r="15" spans="1:21">
      <c r="A15" t="s">
        <v>76</v>
      </c>
      <c r="F15" t="s">
        <v>82</v>
      </c>
      <c r="G15" t="s">
        <v>22</v>
      </c>
      <c r="H15" t="s">
        <v>83</v>
      </c>
      <c r="J15" t="s">
        <v>79</v>
      </c>
      <c r="M15" t="s">
        <v>25</v>
      </c>
      <c r="N15" t="s">
        <v>84</v>
      </c>
      <c r="R15" t="s">
        <v>40</v>
      </c>
      <c r="S15" t="s">
        <v>85</v>
      </c>
    </row>
    <row r="16" spans="1:21">
      <c r="A16" t="s">
        <v>76</v>
      </c>
      <c r="F16" t="s">
        <v>86</v>
      </c>
      <c r="G16" t="s">
        <v>22</v>
      </c>
      <c r="H16" t="s">
        <v>87</v>
      </c>
      <c r="J16" t="s">
        <v>79</v>
      </c>
      <c r="M16" t="s">
        <v>25</v>
      </c>
      <c r="N16" t="s">
        <v>88</v>
      </c>
      <c r="R16" t="s">
        <v>40</v>
      </c>
      <c r="S16" t="s">
        <v>89</v>
      </c>
    </row>
    <row r="17" spans="1:19">
      <c r="A17" t="s">
        <v>90</v>
      </c>
      <c r="F17" t="s">
        <v>91</v>
      </c>
      <c r="G17" t="s">
        <v>22</v>
      </c>
      <c r="H17" t="s">
        <v>92</v>
      </c>
      <c r="J17" t="s">
        <v>93</v>
      </c>
      <c r="M17" t="s">
        <v>25</v>
      </c>
      <c r="N17" t="s">
        <v>94</v>
      </c>
      <c r="R17" t="s">
        <v>40</v>
      </c>
      <c r="S17" t="s">
        <v>95</v>
      </c>
    </row>
    <row r="18" spans="1:19">
      <c r="A18" t="s">
        <v>90</v>
      </c>
      <c r="F18" t="s">
        <v>96</v>
      </c>
      <c r="G18" t="s">
        <v>22</v>
      </c>
      <c r="H18" t="s">
        <v>97</v>
      </c>
      <c r="J18" t="s">
        <v>93</v>
      </c>
      <c r="M18" t="s">
        <v>25</v>
      </c>
      <c r="N18" t="s">
        <v>98</v>
      </c>
      <c r="R18" t="s">
        <v>40</v>
      </c>
      <c r="S18" t="s">
        <v>99</v>
      </c>
    </row>
    <row r="19" spans="1:19">
      <c r="A19" t="s">
        <v>90</v>
      </c>
      <c r="F19" t="s">
        <v>100</v>
      </c>
      <c r="G19" t="s">
        <v>22</v>
      </c>
      <c r="H19" t="s">
        <v>101</v>
      </c>
      <c r="J19" t="s">
        <v>93</v>
      </c>
      <c r="M19" t="s">
        <v>25</v>
      </c>
      <c r="N19" t="s">
        <v>102</v>
      </c>
      <c r="R19" t="s">
        <v>40</v>
      </c>
      <c r="S19" t="s">
        <v>103</v>
      </c>
    </row>
    <row r="20" spans="1:19">
      <c r="A20" t="s">
        <v>20</v>
      </c>
      <c r="F20" t="s">
        <v>104</v>
      </c>
      <c r="G20" t="s">
        <v>22</v>
      </c>
      <c r="H20" t="s">
        <v>105</v>
      </c>
      <c r="J20" t="s">
        <v>24</v>
      </c>
      <c r="M20" t="s">
        <v>25</v>
      </c>
      <c r="N20" t="s">
        <v>106</v>
      </c>
      <c r="R20" t="s">
        <v>40</v>
      </c>
      <c r="S20" t="s">
        <v>107</v>
      </c>
    </row>
    <row r="21" spans="1:19">
      <c r="A21" t="s">
        <v>108</v>
      </c>
      <c r="F21" t="s">
        <v>109</v>
      </c>
      <c r="G21" t="s">
        <v>22</v>
      </c>
      <c r="H21" t="s">
        <v>110</v>
      </c>
      <c r="J21" t="s">
        <v>111</v>
      </c>
      <c r="M21" t="s">
        <v>25</v>
      </c>
      <c r="N21" t="s">
        <v>112</v>
      </c>
      <c r="R21" t="s">
        <v>40</v>
      </c>
      <c r="S21" t="s">
        <v>113</v>
      </c>
    </row>
    <row r="22" spans="1:19">
      <c r="A22" t="s">
        <v>20</v>
      </c>
      <c r="F22" t="s">
        <v>114</v>
      </c>
      <c r="G22" t="s">
        <v>22</v>
      </c>
      <c r="H22" t="s">
        <v>115</v>
      </c>
      <c r="J22" t="s">
        <v>24</v>
      </c>
      <c r="M22" t="s">
        <v>25</v>
      </c>
      <c r="N22" t="s">
        <v>116</v>
      </c>
      <c r="R22" t="s">
        <v>40</v>
      </c>
      <c r="S22" t="s">
        <v>117</v>
      </c>
    </row>
    <row r="23" spans="1:19">
      <c r="A23" t="s">
        <v>108</v>
      </c>
      <c r="F23" t="s">
        <v>118</v>
      </c>
      <c r="G23" t="s">
        <v>22</v>
      </c>
      <c r="H23" t="s">
        <v>119</v>
      </c>
      <c r="J23" t="s">
        <v>120</v>
      </c>
      <c r="M23" t="s">
        <v>25</v>
      </c>
      <c r="N23" t="s">
        <v>121</v>
      </c>
      <c r="R23" t="s">
        <v>40</v>
      </c>
      <c r="S23" t="s">
        <v>122</v>
      </c>
    </row>
    <row r="24" spans="1:19">
      <c r="A24" t="s">
        <v>20</v>
      </c>
      <c r="F24" t="s">
        <v>123</v>
      </c>
      <c r="G24" t="s">
        <v>22</v>
      </c>
      <c r="H24" t="s">
        <v>124</v>
      </c>
      <c r="J24" t="s">
        <v>24</v>
      </c>
      <c r="M24" t="s">
        <v>25</v>
      </c>
      <c r="N24" t="s">
        <v>106</v>
      </c>
      <c r="R24" t="s">
        <v>40</v>
      </c>
      <c r="S24" t="s">
        <v>125</v>
      </c>
    </row>
    <row r="25" spans="1:19">
      <c r="A25" t="s">
        <v>108</v>
      </c>
      <c r="F25" t="s">
        <v>126</v>
      </c>
      <c r="G25" t="s">
        <v>22</v>
      </c>
      <c r="H25" t="s">
        <v>127</v>
      </c>
      <c r="J25" t="s">
        <v>120</v>
      </c>
      <c r="M25" t="s">
        <v>25</v>
      </c>
      <c r="N25" t="s">
        <v>128</v>
      </c>
      <c r="R25" t="s">
        <v>40</v>
      </c>
      <c r="S25" t="s">
        <v>129</v>
      </c>
    </row>
    <row r="26" spans="1:19">
      <c r="A26" t="s">
        <v>130</v>
      </c>
      <c r="F26" t="s">
        <v>131</v>
      </c>
      <c r="G26" t="s">
        <v>22</v>
      </c>
      <c r="H26" t="s">
        <v>132</v>
      </c>
      <c r="J26" t="s">
        <v>24</v>
      </c>
      <c r="M26" t="s">
        <v>25</v>
      </c>
      <c r="N26" t="s">
        <v>133</v>
      </c>
      <c r="R26" t="s">
        <v>40</v>
      </c>
      <c r="S26" t="s">
        <v>134</v>
      </c>
    </row>
    <row r="27" spans="1:19">
      <c r="A27" t="s">
        <v>130</v>
      </c>
      <c r="F27" t="s">
        <v>135</v>
      </c>
      <c r="G27" t="s">
        <v>22</v>
      </c>
      <c r="H27" t="s">
        <v>136</v>
      </c>
      <c r="J27" t="s">
        <v>24</v>
      </c>
      <c r="M27" t="s">
        <v>25</v>
      </c>
      <c r="N27" t="s">
        <v>137</v>
      </c>
      <c r="R27" t="s">
        <v>40</v>
      </c>
      <c r="S27" t="s">
        <v>138</v>
      </c>
    </row>
    <row r="28" spans="1:19">
      <c r="A28" t="s">
        <v>139</v>
      </c>
      <c r="F28" t="s">
        <v>140</v>
      </c>
      <c r="G28" t="s">
        <v>22</v>
      </c>
      <c r="H28" t="s">
        <v>141</v>
      </c>
      <c r="J28" t="s">
        <v>24</v>
      </c>
      <c r="M28" t="s">
        <v>25</v>
      </c>
      <c r="N28" t="s">
        <v>142</v>
      </c>
      <c r="R28" t="s">
        <v>27</v>
      </c>
      <c r="S28" t="s">
        <v>143</v>
      </c>
    </row>
    <row r="29" spans="1:19">
      <c r="A29" t="s">
        <v>144</v>
      </c>
      <c r="F29" t="s">
        <v>145</v>
      </c>
      <c r="G29" t="s">
        <v>22</v>
      </c>
      <c r="H29" t="s">
        <v>146</v>
      </c>
      <c r="J29" t="s">
        <v>147</v>
      </c>
      <c r="M29" t="s">
        <v>25</v>
      </c>
      <c r="N29" t="s">
        <v>148</v>
      </c>
      <c r="R29" t="s">
        <v>25</v>
      </c>
      <c r="S29" t="s">
        <v>149</v>
      </c>
    </row>
    <row r="30" spans="1:19">
      <c r="A30" t="s">
        <v>150</v>
      </c>
      <c r="F30" t="s">
        <v>151</v>
      </c>
      <c r="G30" t="s">
        <v>22</v>
      </c>
      <c r="H30" t="s">
        <v>152</v>
      </c>
      <c r="J30" t="s">
        <v>153</v>
      </c>
      <c r="M30" t="s">
        <v>25</v>
      </c>
      <c r="N30" t="s">
        <v>154</v>
      </c>
      <c r="R30" t="s">
        <v>27</v>
      </c>
      <c r="S30" t="s">
        <v>155</v>
      </c>
    </row>
    <row r="31" spans="1:19">
      <c r="A31" t="s">
        <v>156</v>
      </c>
      <c r="F31" t="s">
        <v>157</v>
      </c>
      <c r="G31" t="s">
        <v>22</v>
      </c>
      <c r="H31" t="s">
        <v>158</v>
      </c>
      <c r="N31" t="s">
        <v>159</v>
      </c>
      <c r="R31" t="s">
        <v>40</v>
      </c>
      <c r="S31" t="s">
        <v>160</v>
      </c>
    </row>
    <row r="32" spans="1:19">
      <c r="A32" t="s">
        <v>161</v>
      </c>
      <c r="F32" t="s">
        <v>162</v>
      </c>
      <c r="G32" t="s">
        <v>22</v>
      </c>
      <c r="H32" t="s">
        <v>163</v>
      </c>
      <c r="N32" t="s">
        <v>164</v>
      </c>
      <c r="R32" t="s">
        <v>40</v>
      </c>
      <c r="S32" t="s">
        <v>165</v>
      </c>
    </row>
    <row r="33" spans="1:19">
      <c r="A33" t="s">
        <v>166</v>
      </c>
      <c r="F33" t="s">
        <v>167</v>
      </c>
      <c r="G33" t="s">
        <v>22</v>
      </c>
      <c r="H33" t="s">
        <v>168</v>
      </c>
      <c r="J33" t="s">
        <v>169</v>
      </c>
      <c r="M33" t="s">
        <v>25</v>
      </c>
      <c r="N33" t="s">
        <v>170</v>
      </c>
      <c r="R33" t="s">
        <v>40</v>
      </c>
      <c r="S33" t="s">
        <v>171</v>
      </c>
    </row>
    <row r="34" spans="1:19">
      <c r="A34" t="s">
        <v>172</v>
      </c>
      <c r="E34" t="s">
        <v>173</v>
      </c>
      <c r="F34" t="s">
        <v>174</v>
      </c>
      <c r="G34" t="s">
        <v>22</v>
      </c>
      <c r="H34" t="s">
        <v>175</v>
      </c>
      <c r="J34" t="s">
        <v>176</v>
      </c>
      <c r="M34" t="s">
        <v>25</v>
      </c>
      <c r="N34" t="s">
        <v>177</v>
      </c>
      <c r="R34" t="s">
        <v>25</v>
      </c>
      <c r="S34" t="s">
        <v>178</v>
      </c>
    </row>
    <row r="35" spans="1:19">
      <c r="A35" t="s">
        <v>179</v>
      </c>
      <c r="E35" t="s">
        <v>180</v>
      </c>
      <c r="F35" t="s">
        <v>181</v>
      </c>
      <c r="G35" t="s">
        <v>22</v>
      </c>
      <c r="H35" t="s">
        <v>182</v>
      </c>
      <c r="J35" t="s">
        <v>183</v>
      </c>
      <c r="M35" t="s">
        <v>25</v>
      </c>
      <c r="N35" t="s">
        <v>184</v>
      </c>
      <c r="R35" t="s">
        <v>25</v>
      </c>
      <c r="S35" t="s">
        <v>185</v>
      </c>
    </row>
    <row r="36" spans="1:19">
      <c r="A36" t="s">
        <v>186</v>
      </c>
      <c r="E36" t="s">
        <v>187</v>
      </c>
      <c r="F36" t="s">
        <v>188</v>
      </c>
      <c r="G36" t="s">
        <v>22</v>
      </c>
      <c r="H36" t="s">
        <v>189</v>
      </c>
      <c r="J36" t="s">
        <v>190</v>
      </c>
      <c r="M36" t="s">
        <v>25</v>
      </c>
      <c r="N36" t="s">
        <v>191</v>
      </c>
      <c r="R36" t="s">
        <v>25</v>
      </c>
      <c r="S36" t="s">
        <v>192</v>
      </c>
    </row>
    <row r="37" spans="1:19">
      <c r="A37" t="s">
        <v>193</v>
      </c>
      <c r="E37" t="s">
        <v>194</v>
      </c>
      <c r="F37" t="s">
        <v>195</v>
      </c>
      <c r="G37" t="s">
        <v>22</v>
      </c>
      <c r="H37" t="s">
        <v>196</v>
      </c>
      <c r="J37" t="s">
        <v>197</v>
      </c>
      <c r="M37" t="s">
        <v>25</v>
      </c>
      <c r="N37" t="s">
        <v>198</v>
      </c>
      <c r="R37" t="s">
        <v>25</v>
      </c>
      <c r="S37" t="s">
        <v>199</v>
      </c>
    </row>
    <row r="38" spans="1:19">
      <c r="A38" t="s">
        <v>200</v>
      </c>
      <c r="E38" t="s">
        <v>201</v>
      </c>
      <c r="F38" t="s">
        <v>202</v>
      </c>
      <c r="G38" t="s">
        <v>22</v>
      </c>
      <c r="H38" t="s">
        <v>203</v>
      </c>
      <c r="J38" t="s">
        <v>204</v>
      </c>
      <c r="M38" t="s">
        <v>25</v>
      </c>
      <c r="N38" t="s">
        <v>205</v>
      </c>
      <c r="R38" t="s">
        <v>25</v>
      </c>
      <c r="S38" t="s">
        <v>206</v>
      </c>
    </row>
    <row r="39" spans="1:19">
      <c r="A39" t="s">
        <v>207</v>
      </c>
      <c r="F39" t="s">
        <v>208</v>
      </c>
      <c r="G39" t="s">
        <v>22</v>
      </c>
      <c r="H39" t="s">
        <v>209</v>
      </c>
      <c r="J39" t="s">
        <v>210</v>
      </c>
      <c r="M39" t="s">
        <v>25</v>
      </c>
      <c r="N39" t="s">
        <v>211</v>
      </c>
      <c r="R39" t="s">
        <v>25</v>
      </c>
      <c r="S39" t="s">
        <v>212</v>
      </c>
    </row>
    <row r="40" spans="1:19">
      <c r="A40" t="s">
        <v>213</v>
      </c>
      <c r="F40" t="s">
        <v>214</v>
      </c>
      <c r="G40" t="s">
        <v>22</v>
      </c>
      <c r="H40" t="s">
        <v>215</v>
      </c>
      <c r="J40" t="s">
        <v>216</v>
      </c>
      <c r="M40" t="s">
        <v>25</v>
      </c>
      <c r="N40" t="s">
        <v>217</v>
      </c>
      <c r="R40" t="s">
        <v>25</v>
      </c>
      <c r="S40" t="s">
        <v>218</v>
      </c>
    </row>
    <row r="41" spans="1:19">
      <c r="A41" t="s">
        <v>219</v>
      </c>
      <c r="F41" t="s">
        <v>220</v>
      </c>
      <c r="G41" t="s">
        <v>22</v>
      </c>
      <c r="H41" t="s">
        <v>221</v>
      </c>
      <c r="J41" t="s">
        <v>51</v>
      </c>
      <c r="M41" t="s">
        <v>25</v>
      </c>
      <c r="N41" t="s">
        <v>222</v>
      </c>
      <c r="R41" t="s">
        <v>27</v>
      </c>
      <c r="S41" t="s">
        <v>223</v>
      </c>
    </row>
    <row r="42" spans="1:19">
      <c r="A42" t="s">
        <v>224</v>
      </c>
      <c r="F42" t="s">
        <v>225</v>
      </c>
      <c r="G42" t="s">
        <v>22</v>
      </c>
      <c r="H42" t="s">
        <v>226</v>
      </c>
      <c r="J42" t="s">
        <v>227</v>
      </c>
      <c r="M42" t="s">
        <v>25</v>
      </c>
      <c r="N42" t="s">
        <v>228</v>
      </c>
      <c r="R42" t="s">
        <v>27</v>
      </c>
      <c r="S42" t="s">
        <v>229</v>
      </c>
    </row>
    <row r="43" spans="1:19">
      <c r="A43" t="s">
        <v>230</v>
      </c>
      <c r="F43" t="s">
        <v>231</v>
      </c>
      <c r="G43" t="s">
        <v>22</v>
      </c>
      <c r="H43" t="s">
        <v>232</v>
      </c>
      <c r="J43" t="s">
        <v>233</v>
      </c>
      <c r="M43" t="s">
        <v>234</v>
      </c>
      <c r="N43" t="s">
        <v>235</v>
      </c>
      <c r="R43" t="s">
        <v>25</v>
      </c>
      <c r="S43" t="s">
        <v>236</v>
      </c>
    </row>
    <row r="44" spans="1:19">
      <c r="A44" t="s">
        <v>237</v>
      </c>
      <c r="F44" t="s">
        <v>238</v>
      </c>
      <c r="G44" t="s">
        <v>22</v>
      </c>
      <c r="H44" t="s">
        <v>239</v>
      </c>
      <c r="J44" t="s">
        <v>240</v>
      </c>
      <c r="M44" t="s">
        <v>25</v>
      </c>
      <c r="N44" t="s">
        <v>241</v>
      </c>
      <c r="R44" t="s">
        <v>27</v>
      </c>
      <c r="S44" t="s">
        <v>242</v>
      </c>
    </row>
    <row r="45" spans="1:19">
      <c r="A45" t="s">
        <v>243</v>
      </c>
      <c r="F45" t="s">
        <v>244</v>
      </c>
      <c r="G45" t="s">
        <v>22</v>
      </c>
      <c r="H45" t="s">
        <v>245</v>
      </c>
      <c r="J45" t="s">
        <v>246</v>
      </c>
      <c r="M45" t="s">
        <v>25</v>
      </c>
      <c r="N45" t="s">
        <v>247</v>
      </c>
      <c r="R45" t="s">
        <v>27</v>
      </c>
      <c r="S45" t="s">
        <v>248</v>
      </c>
    </row>
    <row r="46" spans="1:19">
      <c r="A46" t="s">
        <v>249</v>
      </c>
      <c r="F46" t="s">
        <v>250</v>
      </c>
      <c r="G46" t="s">
        <v>22</v>
      </c>
      <c r="H46" t="s">
        <v>251</v>
      </c>
      <c r="J46" t="s">
        <v>252</v>
      </c>
      <c r="M46" t="s">
        <v>25</v>
      </c>
      <c r="N46" t="s">
        <v>253</v>
      </c>
      <c r="R46" t="s">
        <v>27</v>
      </c>
      <c r="S46" t="s">
        <v>254</v>
      </c>
    </row>
    <row r="47" spans="1:19">
      <c r="A47" t="s">
        <v>255</v>
      </c>
      <c r="F47" t="s">
        <v>256</v>
      </c>
      <c r="G47" t="s">
        <v>22</v>
      </c>
      <c r="H47" t="s">
        <v>257</v>
      </c>
      <c r="J47" t="s">
        <v>258</v>
      </c>
      <c r="M47" t="s">
        <v>234</v>
      </c>
      <c r="N47" t="s">
        <v>259</v>
      </c>
      <c r="R47" t="s">
        <v>25</v>
      </c>
      <c r="S47" t="s">
        <v>260</v>
      </c>
    </row>
    <row r="48" spans="1:19">
      <c r="A48" t="s">
        <v>261</v>
      </c>
      <c r="F48" t="s">
        <v>262</v>
      </c>
      <c r="G48" t="s">
        <v>22</v>
      </c>
      <c r="H48" t="s">
        <v>263</v>
      </c>
      <c r="J48" t="s">
        <v>24</v>
      </c>
      <c r="M48" t="s">
        <v>25</v>
      </c>
      <c r="N48" t="s">
        <v>264</v>
      </c>
      <c r="R48" t="s">
        <v>27</v>
      </c>
      <c r="S48" t="s">
        <v>265</v>
      </c>
    </row>
    <row r="49" spans="1:19">
      <c r="A49" t="s">
        <v>266</v>
      </c>
      <c r="F49" t="s">
        <v>267</v>
      </c>
      <c r="G49" t="s">
        <v>22</v>
      </c>
      <c r="H49" t="s">
        <v>268</v>
      </c>
      <c r="J49" t="s">
        <v>269</v>
      </c>
      <c r="M49" t="s">
        <v>25</v>
      </c>
      <c r="N49" t="s">
        <v>270</v>
      </c>
      <c r="R49" t="s">
        <v>25</v>
      </c>
      <c r="S49" t="s">
        <v>271</v>
      </c>
    </row>
    <row r="50" spans="1:19">
      <c r="A50" t="s">
        <v>272</v>
      </c>
      <c r="F50" t="s">
        <v>273</v>
      </c>
      <c r="G50" t="s">
        <v>22</v>
      </c>
      <c r="H50" t="s">
        <v>274</v>
      </c>
      <c r="J50" t="s">
        <v>275</v>
      </c>
      <c r="M50" t="s">
        <v>25</v>
      </c>
      <c r="N50" t="s">
        <v>276</v>
      </c>
      <c r="R50" t="s">
        <v>25</v>
      </c>
      <c r="S50" t="s">
        <v>277</v>
      </c>
    </row>
    <row r="51" spans="1:19">
      <c r="A51" t="s">
        <v>278</v>
      </c>
      <c r="F51" t="s">
        <v>279</v>
      </c>
      <c r="G51" t="s">
        <v>22</v>
      </c>
      <c r="H51" t="s">
        <v>280</v>
      </c>
      <c r="J51" t="s">
        <v>281</v>
      </c>
      <c r="M51" t="s">
        <v>282</v>
      </c>
      <c r="N51" t="s">
        <v>283</v>
      </c>
      <c r="R51" t="s">
        <v>25</v>
      </c>
      <c r="S51" t="s">
        <v>284</v>
      </c>
    </row>
    <row r="52" spans="1:19">
      <c r="A52" t="s">
        <v>285</v>
      </c>
      <c r="F52" t="s">
        <v>286</v>
      </c>
      <c r="G52" t="s">
        <v>22</v>
      </c>
      <c r="H52" t="s">
        <v>287</v>
      </c>
      <c r="J52" t="s">
        <v>288</v>
      </c>
      <c r="M52" t="s">
        <v>282</v>
      </c>
      <c r="N52" t="s">
        <v>289</v>
      </c>
      <c r="R52" t="s">
        <v>25</v>
      </c>
      <c r="S52" t="s">
        <v>290</v>
      </c>
    </row>
    <row r="53" spans="1:19">
      <c r="A53" t="s">
        <v>291</v>
      </c>
      <c r="F53" t="s">
        <v>292</v>
      </c>
      <c r="G53" t="s">
        <v>22</v>
      </c>
      <c r="H53" t="s">
        <v>293</v>
      </c>
      <c r="J53" t="s">
        <v>294</v>
      </c>
      <c r="M53" t="s">
        <v>25</v>
      </c>
      <c r="N53" t="s">
        <v>295</v>
      </c>
      <c r="R53" t="s">
        <v>25</v>
      </c>
      <c r="S53" t="s">
        <v>296</v>
      </c>
    </row>
    <row r="54" spans="1:19">
      <c r="A54" t="s">
        <v>297</v>
      </c>
      <c r="F54" t="s">
        <v>298</v>
      </c>
      <c r="G54" t="s">
        <v>22</v>
      </c>
      <c r="H54" t="s">
        <v>299</v>
      </c>
      <c r="J54" t="s">
        <v>300</v>
      </c>
      <c r="M54" t="s">
        <v>25</v>
      </c>
      <c r="N54" t="s">
        <v>301</v>
      </c>
      <c r="R54" t="s">
        <v>25</v>
      </c>
      <c r="S54" t="s">
        <v>302</v>
      </c>
    </row>
    <row r="55" spans="1:19">
      <c r="A55" t="s">
        <v>303</v>
      </c>
      <c r="F55" t="s">
        <v>304</v>
      </c>
      <c r="G55" t="s">
        <v>22</v>
      </c>
      <c r="H55" t="s">
        <v>305</v>
      </c>
      <c r="J55" t="s">
        <v>306</v>
      </c>
      <c r="M55" t="s">
        <v>25</v>
      </c>
      <c r="N55" t="s">
        <v>307</v>
      </c>
      <c r="R55" t="s">
        <v>25</v>
      </c>
      <c r="S55" t="s">
        <v>308</v>
      </c>
    </row>
    <row r="56" spans="1:19">
      <c r="A56" t="s">
        <v>309</v>
      </c>
      <c r="F56" t="s">
        <v>310</v>
      </c>
      <c r="G56" t="s">
        <v>22</v>
      </c>
      <c r="H56" t="s">
        <v>311</v>
      </c>
      <c r="J56" t="s">
        <v>312</v>
      </c>
      <c r="M56" t="s">
        <v>25</v>
      </c>
      <c r="N56" t="s">
        <v>313</v>
      </c>
      <c r="R56" t="s">
        <v>25</v>
      </c>
      <c r="S56" t="s">
        <v>314</v>
      </c>
    </row>
    <row r="57" spans="1:19">
      <c r="A57" t="s">
        <v>315</v>
      </c>
      <c r="F57" t="s">
        <v>316</v>
      </c>
      <c r="G57" t="s">
        <v>22</v>
      </c>
      <c r="H57" t="s">
        <v>317</v>
      </c>
      <c r="J57" t="s">
        <v>38</v>
      </c>
      <c r="M57" t="s">
        <v>25</v>
      </c>
      <c r="N57" t="s">
        <v>318</v>
      </c>
      <c r="R57" t="s">
        <v>27</v>
      </c>
      <c r="S57" t="s">
        <v>319</v>
      </c>
    </row>
    <row r="58" spans="1:19">
      <c r="A58" t="s">
        <v>320</v>
      </c>
      <c r="F58" t="s">
        <v>321</v>
      </c>
      <c r="G58" t="s">
        <v>22</v>
      </c>
      <c r="H58" t="s">
        <v>322</v>
      </c>
      <c r="N58" t="s">
        <v>323</v>
      </c>
      <c r="R58" t="s">
        <v>40</v>
      </c>
      <c r="S58" t="s">
        <v>324</v>
      </c>
    </row>
    <row r="59" spans="1:19">
      <c r="A59" t="s">
        <v>325</v>
      </c>
      <c r="F59" t="s">
        <v>326</v>
      </c>
      <c r="G59" t="s">
        <v>22</v>
      </c>
      <c r="H59" t="s">
        <v>327</v>
      </c>
      <c r="N59" t="s">
        <v>328</v>
      </c>
      <c r="R59" t="s">
        <v>40</v>
      </c>
      <c r="S59" t="s">
        <v>329</v>
      </c>
    </row>
    <row r="60" spans="1:19">
      <c r="A60" t="s">
        <v>330</v>
      </c>
      <c r="F60" t="s">
        <v>331</v>
      </c>
      <c r="G60" t="s">
        <v>22</v>
      </c>
      <c r="H60" t="s">
        <v>332</v>
      </c>
      <c r="N60" t="s">
        <v>333</v>
      </c>
      <c r="R60" t="s">
        <v>40</v>
      </c>
      <c r="S60" t="s">
        <v>334</v>
      </c>
    </row>
    <row r="61" spans="1:19">
      <c r="A61" t="s">
        <v>335</v>
      </c>
      <c r="F61" t="s">
        <v>336</v>
      </c>
      <c r="G61" t="s">
        <v>22</v>
      </c>
      <c r="H61" t="s">
        <v>337</v>
      </c>
      <c r="N61" t="s">
        <v>338</v>
      </c>
      <c r="R61" t="s">
        <v>40</v>
      </c>
      <c r="S61" t="s">
        <v>339</v>
      </c>
    </row>
    <row r="62" spans="1:19">
      <c r="A62" t="s">
        <v>340</v>
      </c>
      <c r="F62" t="s">
        <v>341</v>
      </c>
      <c r="G62" t="s">
        <v>22</v>
      </c>
      <c r="H62" t="s">
        <v>342</v>
      </c>
      <c r="J62" t="s">
        <v>343</v>
      </c>
      <c r="M62" t="s">
        <v>25</v>
      </c>
      <c r="N62" t="s">
        <v>344</v>
      </c>
      <c r="R62" t="s">
        <v>40</v>
      </c>
      <c r="S62" t="s">
        <v>345</v>
      </c>
    </row>
    <row r="63" spans="1:19">
      <c r="A63" t="s">
        <v>346</v>
      </c>
      <c r="F63" t="s">
        <v>347</v>
      </c>
      <c r="G63" t="s">
        <v>22</v>
      </c>
      <c r="H63" t="s">
        <v>348</v>
      </c>
      <c r="N63" t="s">
        <v>349</v>
      </c>
      <c r="R63" t="s">
        <v>40</v>
      </c>
      <c r="S63" t="s">
        <v>350</v>
      </c>
    </row>
    <row r="64" spans="1:19">
      <c r="A64" t="s">
        <v>351</v>
      </c>
      <c r="F64" t="s">
        <v>352</v>
      </c>
      <c r="G64" t="s">
        <v>22</v>
      </c>
      <c r="H64" t="s">
        <v>353</v>
      </c>
      <c r="N64" t="s">
        <v>354</v>
      </c>
      <c r="R64" t="s">
        <v>40</v>
      </c>
      <c r="S64" t="s">
        <v>355</v>
      </c>
    </row>
    <row r="65" spans="1:19">
      <c r="A65" t="s">
        <v>356</v>
      </c>
      <c r="F65" t="s">
        <v>357</v>
      </c>
      <c r="G65" t="s">
        <v>22</v>
      </c>
      <c r="H65" t="s">
        <v>358</v>
      </c>
      <c r="N65" t="s">
        <v>359</v>
      </c>
      <c r="R65" t="s">
        <v>40</v>
      </c>
      <c r="S65" t="s">
        <v>360</v>
      </c>
    </row>
    <row r="66" spans="1:19">
      <c r="A66" t="s">
        <v>361</v>
      </c>
      <c r="F66" t="s">
        <v>362</v>
      </c>
      <c r="G66" t="s">
        <v>22</v>
      </c>
      <c r="H66" t="s">
        <v>363</v>
      </c>
      <c r="N66" t="s">
        <v>364</v>
      </c>
      <c r="R66" t="s">
        <v>40</v>
      </c>
      <c r="S66" t="s">
        <v>365</v>
      </c>
    </row>
    <row r="67" spans="1:19">
      <c r="A67" t="s">
        <v>366</v>
      </c>
      <c r="F67" t="s">
        <v>367</v>
      </c>
      <c r="G67" t="s">
        <v>22</v>
      </c>
      <c r="H67" t="s">
        <v>368</v>
      </c>
      <c r="N67" t="s">
        <v>369</v>
      </c>
      <c r="R67" t="s">
        <v>40</v>
      </c>
      <c r="S67" t="s">
        <v>370</v>
      </c>
    </row>
    <row r="68" spans="1:19">
      <c r="A68" t="s">
        <v>219</v>
      </c>
      <c r="F68" t="s">
        <v>371</v>
      </c>
      <c r="G68" t="s">
        <v>22</v>
      </c>
      <c r="H68" t="s">
        <v>372</v>
      </c>
      <c r="J68" t="s">
        <v>51</v>
      </c>
      <c r="M68" t="s">
        <v>25</v>
      </c>
      <c r="N68" t="s">
        <v>222</v>
      </c>
      <c r="R68" t="s">
        <v>27</v>
      </c>
      <c r="S68" t="s">
        <v>373</v>
      </c>
    </row>
    <row r="69" spans="1:19">
      <c r="A69" t="s">
        <v>224</v>
      </c>
      <c r="F69" t="s">
        <v>374</v>
      </c>
      <c r="G69" t="s">
        <v>22</v>
      </c>
      <c r="H69" t="s">
        <v>375</v>
      </c>
      <c r="J69" t="s">
        <v>227</v>
      </c>
      <c r="M69" t="s">
        <v>25</v>
      </c>
      <c r="N69" t="s">
        <v>376</v>
      </c>
      <c r="R69" t="s">
        <v>27</v>
      </c>
      <c r="S69" t="s">
        <v>377</v>
      </c>
    </row>
    <row r="70" spans="1:19">
      <c r="A70" t="s">
        <v>378</v>
      </c>
      <c r="F70" t="s">
        <v>379</v>
      </c>
      <c r="G70" t="s">
        <v>22</v>
      </c>
      <c r="H70" t="s">
        <v>380</v>
      </c>
      <c r="J70" t="s">
        <v>381</v>
      </c>
      <c r="M70" t="s">
        <v>25</v>
      </c>
      <c r="N70" t="s">
        <v>382</v>
      </c>
      <c r="R70" t="s">
        <v>25</v>
      </c>
      <c r="S70" t="s">
        <v>383</v>
      </c>
    </row>
    <row r="71" spans="1:19">
      <c r="A71" t="s">
        <v>384</v>
      </c>
      <c r="F71" t="s">
        <v>385</v>
      </c>
      <c r="G71" t="s">
        <v>22</v>
      </c>
      <c r="H71" t="s">
        <v>386</v>
      </c>
      <c r="J71" t="s">
        <v>387</v>
      </c>
      <c r="M71" t="s">
        <v>25</v>
      </c>
      <c r="N71" t="s">
        <v>388</v>
      </c>
      <c r="R71" t="s">
        <v>25</v>
      </c>
      <c r="S71" t="s">
        <v>389</v>
      </c>
    </row>
    <row r="72" spans="1:19">
      <c r="A72" t="s">
        <v>390</v>
      </c>
      <c r="F72" t="s">
        <v>391</v>
      </c>
      <c r="G72" t="s">
        <v>22</v>
      </c>
      <c r="H72" t="s">
        <v>392</v>
      </c>
      <c r="J72" t="s">
        <v>393</v>
      </c>
      <c r="M72" t="s">
        <v>25</v>
      </c>
      <c r="N72" t="s">
        <v>394</v>
      </c>
      <c r="R72" t="s">
        <v>25</v>
      </c>
      <c r="S72" t="s">
        <v>395</v>
      </c>
    </row>
    <row r="73" spans="1:19">
      <c r="A73" t="s">
        <v>396</v>
      </c>
      <c r="F73" t="s">
        <v>397</v>
      </c>
      <c r="G73" t="s">
        <v>22</v>
      </c>
      <c r="H73" t="s">
        <v>398</v>
      </c>
      <c r="J73" t="s">
        <v>399</v>
      </c>
      <c r="M73" t="s">
        <v>25</v>
      </c>
      <c r="N73" t="s">
        <v>400</v>
      </c>
      <c r="R73" t="s">
        <v>25</v>
      </c>
      <c r="S73" t="s">
        <v>401</v>
      </c>
    </row>
    <row r="74" spans="1:19">
      <c r="A74" t="s">
        <v>402</v>
      </c>
      <c r="F74" t="s">
        <v>403</v>
      </c>
      <c r="G74" t="s">
        <v>22</v>
      </c>
      <c r="H74" t="s">
        <v>404</v>
      </c>
      <c r="J74" t="s">
        <v>405</v>
      </c>
      <c r="M74" t="s">
        <v>25</v>
      </c>
      <c r="N74" t="s">
        <v>406</v>
      </c>
      <c r="R74" t="s">
        <v>25</v>
      </c>
      <c r="S74" t="s">
        <v>407</v>
      </c>
    </row>
    <row r="75" spans="1:19">
      <c r="A75" t="s">
        <v>408</v>
      </c>
      <c r="F75" t="s">
        <v>409</v>
      </c>
      <c r="G75" t="s">
        <v>22</v>
      </c>
      <c r="H75" t="s">
        <v>410</v>
      </c>
      <c r="J75" t="s">
        <v>411</v>
      </c>
      <c r="M75" t="s">
        <v>25</v>
      </c>
      <c r="N75" t="s">
        <v>412</v>
      </c>
      <c r="R75" t="s">
        <v>25</v>
      </c>
      <c r="S75" t="s">
        <v>413</v>
      </c>
    </row>
    <row r="76" spans="1:19">
      <c r="A76" t="s">
        <v>414</v>
      </c>
      <c r="F76" t="s">
        <v>415</v>
      </c>
      <c r="G76" t="s">
        <v>22</v>
      </c>
      <c r="H76" t="s">
        <v>416</v>
      </c>
      <c r="J76" t="s">
        <v>417</v>
      </c>
      <c r="M76" t="s">
        <v>25</v>
      </c>
      <c r="N76" t="s">
        <v>418</v>
      </c>
      <c r="R76" t="s">
        <v>25</v>
      </c>
      <c r="S76" t="s">
        <v>419</v>
      </c>
    </row>
    <row r="77" spans="1:19">
      <c r="A77" t="s">
        <v>420</v>
      </c>
      <c r="F77" t="s">
        <v>421</v>
      </c>
      <c r="G77" t="s">
        <v>22</v>
      </c>
      <c r="H77" t="s">
        <v>422</v>
      </c>
      <c r="J77" t="s">
        <v>423</v>
      </c>
      <c r="M77" t="s">
        <v>25</v>
      </c>
      <c r="N77" t="s">
        <v>424</v>
      </c>
      <c r="R77" t="s">
        <v>25</v>
      </c>
      <c r="S77" t="s">
        <v>425</v>
      </c>
    </row>
    <row r="78" spans="1:19">
      <c r="A78" t="s">
        <v>426</v>
      </c>
      <c r="F78" t="s">
        <v>427</v>
      </c>
      <c r="G78" t="s">
        <v>22</v>
      </c>
      <c r="H78" t="s">
        <v>428</v>
      </c>
      <c r="J78" t="s">
        <v>429</v>
      </c>
      <c r="M78" t="s">
        <v>282</v>
      </c>
      <c r="N78" t="s">
        <v>430</v>
      </c>
      <c r="R78" t="s">
        <v>431</v>
      </c>
      <c r="S78" t="s">
        <v>432</v>
      </c>
    </row>
    <row r="79" spans="1:19">
      <c r="A79" t="s">
        <v>433</v>
      </c>
      <c r="F79" t="s">
        <v>434</v>
      </c>
      <c r="G79" t="s">
        <v>22</v>
      </c>
      <c r="H79" t="s">
        <v>435</v>
      </c>
      <c r="J79" t="s">
        <v>436</v>
      </c>
      <c r="M79" t="s">
        <v>25</v>
      </c>
      <c r="N79" t="s">
        <v>437</v>
      </c>
      <c r="R79" t="s">
        <v>27</v>
      </c>
      <c r="S79" t="s">
        <v>438</v>
      </c>
    </row>
    <row r="80" spans="1:19">
      <c r="A80" t="s">
        <v>439</v>
      </c>
      <c r="F80" t="s">
        <v>440</v>
      </c>
      <c r="G80" t="s">
        <v>22</v>
      </c>
      <c r="H80" t="s">
        <v>441</v>
      </c>
      <c r="J80" t="s">
        <v>442</v>
      </c>
      <c r="M80" t="s">
        <v>25</v>
      </c>
      <c r="N80" t="s">
        <v>443</v>
      </c>
      <c r="R80" t="s">
        <v>25</v>
      </c>
      <c r="S80" t="s">
        <v>444</v>
      </c>
    </row>
    <row r="81" spans="1:19">
      <c r="A81" t="s">
        <v>445</v>
      </c>
      <c r="F81" t="s">
        <v>446</v>
      </c>
      <c r="G81" t="s">
        <v>22</v>
      </c>
      <c r="H81" t="s">
        <v>447</v>
      </c>
      <c r="J81" t="s">
        <v>448</v>
      </c>
      <c r="M81" t="s">
        <v>25</v>
      </c>
      <c r="N81" t="s">
        <v>449</v>
      </c>
      <c r="R81" t="s">
        <v>25</v>
      </c>
      <c r="S81" t="s">
        <v>450</v>
      </c>
    </row>
    <row r="82" spans="1:19">
      <c r="A82" t="s">
        <v>451</v>
      </c>
      <c r="F82" t="s">
        <v>452</v>
      </c>
      <c r="G82" t="s">
        <v>22</v>
      </c>
      <c r="H82" t="s">
        <v>453</v>
      </c>
      <c r="J82" t="s">
        <v>454</v>
      </c>
      <c r="M82" t="s">
        <v>25</v>
      </c>
      <c r="N82" t="s">
        <v>455</v>
      </c>
      <c r="R82" t="s">
        <v>25</v>
      </c>
      <c r="S82" t="s">
        <v>456</v>
      </c>
    </row>
    <row r="83" spans="1:19">
      <c r="A83" t="s">
        <v>457</v>
      </c>
      <c r="F83" t="s">
        <v>458</v>
      </c>
      <c r="G83" t="s">
        <v>22</v>
      </c>
      <c r="H83" t="s">
        <v>459</v>
      </c>
      <c r="J83" t="s">
        <v>460</v>
      </c>
      <c r="M83" t="s">
        <v>25</v>
      </c>
      <c r="N83" t="s">
        <v>461</v>
      </c>
      <c r="R83" t="s">
        <v>25</v>
      </c>
      <c r="S83" t="s">
        <v>462</v>
      </c>
    </row>
    <row r="84" spans="1:19">
      <c r="A84" t="s">
        <v>463</v>
      </c>
      <c r="F84" t="s">
        <v>464</v>
      </c>
      <c r="G84" t="s">
        <v>22</v>
      </c>
      <c r="H84" t="s">
        <v>465</v>
      </c>
      <c r="J84" t="s">
        <v>466</v>
      </c>
      <c r="M84" t="s">
        <v>25</v>
      </c>
      <c r="N84" t="s">
        <v>467</v>
      </c>
      <c r="R84" t="s">
        <v>25</v>
      </c>
      <c r="S84" t="s">
        <v>468</v>
      </c>
    </row>
    <row r="85" spans="1:19">
      <c r="A85" t="s">
        <v>469</v>
      </c>
      <c r="F85" t="s">
        <v>470</v>
      </c>
      <c r="G85" t="s">
        <v>22</v>
      </c>
      <c r="H85" t="s">
        <v>471</v>
      </c>
      <c r="J85" t="s">
        <v>472</v>
      </c>
      <c r="M85" t="s">
        <v>25</v>
      </c>
      <c r="N85" t="s">
        <v>473</v>
      </c>
      <c r="R85" t="s">
        <v>25</v>
      </c>
      <c r="S85" t="s">
        <v>474</v>
      </c>
    </row>
    <row r="86" spans="1:19">
      <c r="A86" t="s">
        <v>475</v>
      </c>
      <c r="F86" t="s">
        <v>476</v>
      </c>
      <c r="G86" t="s">
        <v>22</v>
      </c>
      <c r="H86" t="s">
        <v>477</v>
      </c>
      <c r="J86" t="s">
        <v>478</v>
      </c>
      <c r="M86" t="s">
        <v>25</v>
      </c>
      <c r="N86" t="s">
        <v>479</v>
      </c>
      <c r="R86" t="s">
        <v>25</v>
      </c>
      <c r="S86" t="s">
        <v>480</v>
      </c>
    </row>
    <row r="87" spans="1:19">
      <c r="A87" t="s">
        <v>481</v>
      </c>
      <c r="F87" t="s">
        <v>482</v>
      </c>
      <c r="G87" t="s">
        <v>22</v>
      </c>
      <c r="H87" t="s">
        <v>483</v>
      </c>
      <c r="J87" t="s">
        <v>484</v>
      </c>
      <c r="M87" t="s">
        <v>25</v>
      </c>
      <c r="N87" t="s">
        <v>485</v>
      </c>
      <c r="R87" t="s">
        <v>25</v>
      </c>
      <c r="S87" t="s">
        <v>486</v>
      </c>
    </row>
    <row r="88" spans="1:19">
      <c r="A88" t="s">
        <v>487</v>
      </c>
      <c r="F88" t="s">
        <v>488</v>
      </c>
      <c r="G88" t="s">
        <v>22</v>
      </c>
      <c r="H88" t="s">
        <v>489</v>
      </c>
      <c r="J88" t="s">
        <v>490</v>
      </c>
      <c r="M88" t="s">
        <v>25</v>
      </c>
      <c r="N88" t="s">
        <v>491</v>
      </c>
      <c r="R88" t="s">
        <v>25</v>
      </c>
      <c r="S88" t="s">
        <v>492</v>
      </c>
    </row>
    <row r="89" spans="1:19">
      <c r="A89" t="s">
        <v>493</v>
      </c>
      <c r="F89" t="s">
        <v>494</v>
      </c>
      <c r="G89" t="s">
        <v>22</v>
      </c>
      <c r="H89" t="s">
        <v>495</v>
      </c>
      <c r="J89" t="s">
        <v>496</v>
      </c>
      <c r="M89" t="s">
        <v>25</v>
      </c>
      <c r="N89" t="s">
        <v>497</v>
      </c>
      <c r="R89" t="s">
        <v>25</v>
      </c>
      <c r="S89" t="s">
        <v>498</v>
      </c>
    </row>
    <row r="90" spans="1:19">
      <c r="A90" t="s">
        <v>499</v>
      </c>
      <c r="F90" t="s">
        <v>500</v>
      </c>
      <c r="G90" t="s">
        <v>22</v>
      </c>
      <c r="H90" t="s">
        <v>501</v>
      </c>
      <c r="J90" t="s">
        <v>502</v>
      </c>
      <c r="M90" t="s">
        <v>25</v>
      </c>
      <c r="N90" t="s">
        <v>503</v>
      </c>
      <c r="R90" t="s">
        <v>25</v>
      </c>
      <c r="S90" t="s">
        <v>504</v>
      </c>
    </row>
    <row r="91" spans="1:19">
      <c r="A91" t="s">
        <v>505</v>
      </c>
      <c r="F91" t="s">
        <v>506</v>
      </c>
      <c r="G91" t="s">
        <v>22</v>
      </c>
      <c r="H91" t="s">
        <v>507</v>
      </c>
      <c r="J91" t="s">
        <v>508</v>
      </c>
      <c r="M91" t="s">
        <v>25</v>
      </c>
      <c r="N91" t="s">
        <v>509</v>
      </c>
      <c r="R91" t="s">
        <v>25</v>
      </c>
      <c r="S91" t="s">
        <v>510</v>
      </c>
    </row>
    <row r="92" spans="1:19">
      <c r="A92" t="s">
        <v>511</v>
      </c>
      <c r="F92" t="s">
        <v>512</v>
      </c>
      <c r="G92" t="s">
        <v>22</v>
      </c>
      <c r="H92" t="s">
        <v>513</v>
      </c>
      <c r="J92" t="s">
        <v>514</v>
      </c>
      <c r="M92" t="s">
        <v>25</v>
      </c>
      <c r="N92" t="s">
        <v>515</v>
      </c>
      <c r="R92" t="s">
        <v>25</v>
      </c>
      <c r="S92" t="s">
        <v>516</v>
      </c>
    </row>
    <row r="93" spans="1:19">
      <c r="A93" t="s">
        <v>517</v>
      </c>
      <c r="F93" t="s">
        <v>518</v>
      </c>
      <c r="G93" t="s">
        <v>22</v>
      </c>
      <c r="H93" t="s">
        <v>519</v>
      </c>
      <c r="J93" t="s">
        <v>520</v>
      </c>
      <c r="M93" t="s">
        <v>25</v>
      </c>
      <c r="N93" t="s">
        <v>521</v>
      </c>
      <c r="R93" t="s">
        <v>25</v>
      </c>
      <c r="S93" t="s">
        <v>522</v>
      </c>
    </row>
    <row r="94" spans="1:19">
      <c r="A94" t="s">
        <v>523</v>
      </c>
      <c r="F94" t="s">
        <v>524</v>
      </c>
      <c r="G94" t="s">
        <v>22</v>
      </c>
      <c r="H94" t="s">
        <v>525</v>
      </c>
      <c r="J94" t="s">
        <v>526</v>
      </c>
      <c r="M94" t="s">
        <v>25</v>
      </c>
      <c r="N94" t="s">
        <v>527</v>
      </c>
      <c r="R94" t="s">
        <v>25</v>
      </c>
      <c r="S94" t="s">
        <v>528</v>
      </c>
    </row>
    <row r="95" spans="1:19">
      <c r="A95" t="s">
        <v>529</v>
      </c>
      <c r="F95" t="s">
        <v>530</v>
      </c>
      <c r="G95" t="s">
        <v>22</v>
      </c>
      <c r="H95" t="s">
        <v>531</v>
      </c>
      <c r="J95" t="s">
        <v>532</v>
      </c>
      <c r="M95" t="s">
        <v>25</v>
      </c>
      <c r="N95" t="s">
        <v>533</v>
      </c>
      <c r="R95" t="s">
        <v>25</v>
      </c>
      <c r="S95" t="s">
        <v>534</v>
      </c>
    </row>
    <row r="96" spans="1:19">
      <c r="A96" t="s">
        <v>76</v>
      </c>
      <c r="F96" t="s">
        <v>535</v>
      </c>
      <c r="G96" t="s">
        <v>22</v>
      </c>
      <c r="H96" t="s">
        <v>536</v>
      </c>
      <c r="J96" t="s">
        <v>537</v>
      </c>
      <c r="M96" t="s">
        <v>25</v>
      </c>
      <c r="N96" t="s">
        <v>538</v>
      </c>
      <c r="R96" t="s">
        <v>27</v>
      </c>
      <c r="S96" t="s">
        <v>539</v>
      </c>
    </row>
    <row r="97" spans="1:19">
      <c r="A97" t="s">
        <v>48</v>
      </c>
      <c r="F97" t="s">
        <v>540</v>
      </c>
      <c r="G97" t="s">
        <v>22</v>
      </c>
      <c r="H97" t="s">
        <v>541</v>
      </c>
      <c r="J97" t="s">
        <v>51</v>
      </c>
      <c r="M97" t="s">
        <v>25</v>
      </c>
      <c r="N97" t="s">
        <v>542</v>
      </c>
      <c r="R97" t="s">
        <v>27</v>
      </c>
      <c r="S97" t="s">
        <v>543</v>
      </c>
    </row>
    <row r="98" spans="1:19">
      <c r="A98" t="s">
        <v>544</v>
      </c>
      <c r="F98" t="s">
        <v>545</v>
      </c>
      <c r="G98" t="s">
        <v>22</v>
      </c>
      <c r="H98" t="s">
        <v>546</v>
      </c>
      <c r="J98" t="s">
        <v>547</v>
      </c>
      <c r="M98" t="s">
        <v>25</v>
      </c>
      <c r="N98" t="s">
        <v>548</v>
      </c>
      <c r="R98" t="s">
        <v>27</v>
      </c>
      <c r="S98" t="s">
        <v>549</v>
      </c>
    </row>
    <row r="99" spans="1:19">
      <c r="A99" t="s">
        <v>550</v>
      </c>
      <c r="E99" t="s">
        <v>551</v>
      </c>
      <c r="G99" t="s">
        <v>22</v>
      </c>
      <c r="H99" t="s">
        <v>552</v>
      </c>
      <c r="R99" t="s">
        <v>553</v>
      </c>
      <c r="S99" t="s">
        <v>554</v>
      </c>
    </row>
    <row r="100" spans="1:19">
      <c r="A100" t="s">
        <v>555</v>
      </c>
      <c r="F100" t="s">
        <v>556</v>
      </c>
      <c r="G100" t="s">
        <v>22</v>
      </c>
      <c r="H100" t="s">
        <v>557</v>
      </c>
      <c r="N100" t="s">
        <v>558</v>
      </c>
      <c r="R100" t="s">
        <v>25</v>
      </c>
      <c r="S100" t="s">
        <v>559</v>
      </c>
    </row>
    <row r="101" spans="1:19">
      <c r="A101" t="s">
        <v>560</v>
      </c>
      <c r="F101" t="s">
        <v>561</v>
      </c>
      <c r="G101" t="s">
        <v>22</v>
      </c>
      <c r="H101" t="s">
        <v>562</v>
      </c>
      <c r="J101" t="s">
        <v>563</v>
      </c>
      <c r="M101" t="s">
        <v>234</v>
      </c>
      <c r="N101" t="s">
        <v>564</v>
      </c>
      <c r="R101" t="s">
        <v>25</v>
      </c>
      <c r="S101" t="s">
        <v>565</v>
      </c>
    </row>
    <row r="102" spans="1:19">
      <c r="A102" t="s">
        <v>566</v>
      </c>
      <c r="E102" t="s">
        <v>567</v>
      </c>
      <c r="G102" t="s">
        <v>22</v>
      </c>
      <c r="H102" t="s">
        <v>568</v>
      </c>
      <c r="J102" t="s">
        <v>569</v>
      </c>
      <c r="M102" t="s">
        <v>25</v>
      </c>
      <c r="N102" t="s">
        <v>564</v>
      </c>
      <c r="R102" t="s">
        <v>553</v>
      </c>
      <c r="S102" t="s">
        <v>570</v>
      </c>
    </row>
    <row r="103" spans="1:19">
      <c r="A103" t="s">
        <v>261</v>
      </c>
      <c r="F103" t="s">
        <v>262</v>
      </c>
      <c r="G103" t="s">
        <v>22</v>
      </c>
      <c r="H103" t="s">
        <v>263</v>
      </c>
      <c r="J103" t="s">
        <v>24</v>
      </c>
      <c r="M103" t="s">
        <v>25</v>
      </c>
      <c r="N103" t="s">
        <v>264</v>
      </c>
      <c r="R103" t="s">
        <v>27</v>
      </c>
      <c r="S103" t="s">
        <v>571</v>
      </c>
    </row>
    <row r="104" spans="1:19">
      <c r="A104" t="s">
        <v>572</v>
      </c>
      <c r="E104" t="s">
        <v>573</v>
      </c>
      <c r="F104" t="s">
        <v>574</v>
      </c>
      <c r="G104" t="s">
        <v>22</v>
      </c>
      <c r="H104" t="s">
        <v>575</v>
      </c>
      <c r="J104" t="s">
        <v>576</v>
      </c>
      <c r="M104" t="s">
        <v>25</v>
      </c>
      <c r="N104" t="s">
        <v>577</v>
      </c>
      <c r="R104" t="s">
        <v>25</v>
      </c>
      <c r="S104" t="s">
        <v>578</v>
      </c>
    </row>
    <row r="105" spans="1:19">
      <c r="A105" t="s">
        <v>579</v>
      </c>
      <c r="F105" t="s">
        <v>580</v>
      </c>
      <c r="G105" t="s">
        <v>22</v>
      </c>
      <c r="H105" t="s">
        <v>581</v>
      </c>
      <c r="J105" t="s">
        <v>582</v>
      </c>
      <c r="M105" t="s">
        <v>234</v>
      </c>
      <c r="N105" t="s">
        <v>583</v>
      </c>
      <c r="R105" t="s">
        <v>25</v>
      </c>
      <c r="S105" t="s">
        <v>584</v>
      </c>
    </row>
    <row r="106" spans="1:19">
      <c r="A106" t="s">
        <v>585</v>
      </c>
      <c r="E106" t="s">
        <v>586</v>
      </c>
      <c r="G106" t="s">
        <v>22</v>
      </c>
      <c r="H106" t="s">
        <v>587</v>
      </c>
      <c r="J106" t="s">
        <v>588</v>
      </c>
      <c r="M106" t="s">
        <v>25</v>
      </c>
      <c r="N106" t="s">
        <v>583</v>
      </c>
      <c r="R106" t="s">
        <v>553</v>
      </c>
      <c r="S106" t="s">
        <v>589</v>
      </c>
    </row>
    <row r="107" spans="1:19">
      <c r="A107" t="s">
        <v>590</v>
      </c>
      <c r="E107" t="s">
        <v>591</v>
      </c>
      <c r="F107" t="s">
        <v>592</v>
      </c>
      <c r="G107" t="s">
        <v>22</v>
      </c>
      <c r="H107" t="s">
        <v>593</v>
      </c>
      <c r="J107" t="s">
        <v>594</v>
      </c>
      <c r="M107" t="s">
        <v>25</v>
      </c>
      <c r="N107" t="s">
        <v>595</v>
      </c>
      <c r="R107" t="s">
        <v>25</v>
      </c>
      <c r="S107" t="s">
        <v>596</v>
      </c>
    </row>
    <row r="108" spans="1:19">
      <c r="A108" t="s">
        <v>597</v>
      </c>
      <c r="F108" t="s">
        <v>598</v>
      </c>
      <c r="G108" t="s">
        <v>22</v>
      </c>
      <c r="H108" t="s">
        <v>599</v>
      </c>
      <c r="J108" t="s">
        <v>600</v>
      </c>
      <c r="M108" t="s">
        <v>234</v>
      </c>
      <c r="N108" t="s">
        <v>601</v>
      </c>
      <c r="R108" t="s">
        <v>25</v>
      </c>
      <c r="S108" t="s">
        <v>602</v>
      </c>
    </row>
    <row r="109" spans="1:19">
      <c r="A109" t="s">
        <v>603</v>
      </c>
      <c r="F109" t="s">
        <v>604</v>
      </c>
      <c r="G109" t="s">
        <v>22</v>
      </c>
      <c r="H109" t="s">
        <v>605</v>
      </c>
      <c r="J109" t="s">
        <v>606</v>
      </c>
      <c r="M109" t="s">
        <v>234</v>
      </c>
      <c r="N109" t="s">
        <v>607</v>
      </c>
      <c r="R109" t="s">
        <v>25</v>
      </c>
      <c r="S109" t="s">
        <v>608</v>
      </c>
    </row>
    <row r="110" spans="1:19">
      <c r="A110" t="s">
        <v>609</v>
      </c>
      <c r="E110" t="s">
        <v>610</v>
      </c>
      <c r="F110" t="s">
        <v>611</v>
      </c>
      <c r="G110" t="s">
        <v>22</v>
      </c>
      <c r="H110" t="s">
        <v>612</v>
      </c>
      <c r="J110" t="s">
        <v>613</v>
      </c>
      <c r="M110" t="s">
        <v>25</v>
      </c>
      <c r="N110" t="s">
        <v>614</v>
      </c>
      <c r="R110" t="s">
        <v>25</v>
      </c>
      <c r="S110" t="s">
        <v>615</v>
      </c>
    </row>
    <row r="111" spans="1:19">
      <c r="A111" t="s">
        <v>616</v>
      </c>
      <c r="E111" t="s">
        <v>617</v>
      </c>
      <c r="F111" t="s">
        <v>618</v>
      </c>
      <c r="G111" t="s">
        <v>22</v>
      </c>
      <c r="H111" t="s">
        <v>619</v>
      </c>
      <c r="J111" t="s">
        <v>620</v>
      </c>
      <c r="M111" t="s">
        <v>25</v>
      </c>
      <c r="N111" t="s">
        <v>621</v>
      </c>
      <c r="R111" t="s">
        <v>25</v>
      </c>
      <c r="S111" t="s">
        <v>622</v>
      </c>
    </row>
    <row r="112" spans="1:19">
      <c r="A112" t="s">
        <v>623</v>
      </c>
      <c r="F112" t="s">
        <v>624</v>
      </c>
      <c r="G112" t="s">
        <v>22</v>
      </c>
      <c r="H112" t="s">
        <v>625</v>
      </c>
      <c r="J112" t="s">
        <v>626</v>
      </c>
      <c r="M112" t="s">
        <v>234</v>
      </c>
      <c r="N112" t="s">
        <v>627</v>
      </c>
      <c r="R112" t="s">
        <v>25</v>
      </c>
      <c r="S112" t="s">
        <v>628</v>
      </c>
    </row>
    <row r="113" spans="1:19">
      <c r="A113" t="s">
        <v>629</v>
      </c>
      <c r="F113" t="s">
        <v>630</v>
      </c>
      <c r="G113" t="s">
        <v>22</v>
      </c>
      <c r="H113" t="s">
        <v>631</v>
      </c>
      <c r="J113" t="s">
        <v>632</v>
      </c>
      <c r="M113" t="s">
        <v>234</v>
      </c>
      <c r="N113" t="s">
        <v>633</v>
      </c>
      <c r="R113" t="s">
        <v>25</v>
      </c>
      <c r="S113" t="s">
        <v>634</v>
      </c>
    </row>
    <row r="114" spans="1:19">
      <c r="A114" t="s">
        <v>635</v>
      </c>
      <c r="E114" t="s">
        <v>636</v>
      </c>
      <c r="F114" t="s">
        <v>637</v>
      </c>
      <c r="G114" t="s">
        <v>22</v>
      </c>
      <c r="H114" t="s">
        <v>638</v>
      </c>
      <c r="J114" t="s">
        <v>639</v>
      </c>
      <c r="M114" t="s">
        <v>25</v>
      </c>
      <c r="N114" t="s">
        <v>640</v>
      </c>
      <c r="R114" t="s">
        <v>25</v>
      </c>
      <c r="S114" t="s">
        <v>641</v>
      </c>
    </row>
    <row r="115" spans="1:19">
      <c r="A115" t="s">
        <v>642</v>
      </c>
      <c r="E115" t="s">
        <v>643</v>
      </c>
      <c r="G115" t="s">
        <v>22</v>
      </c>
      <c r="H115" t="s">
        <v>644</v>
      </c>
      <c r="J115" t="s">
        <v>645</v>
      </c>
      <c r="M115" t="s">
        <v>25</v>
      </c>
      <c r="N115" t="s">
        <v>646</v>
      </c>
      <c r="R115" t="s">
        <v>553</v>
      </c>
      <c r="S115" t="s">
        <v>647</v>
      </c>
    </row>
    <row r="116" spans="1:19">
      <c r="A116" t="s">
        <v>648</v>
      </c>
      <c r="F116" t="s">
        <v>649</v>
      </c>
      <c r="G116" t="s">
        <v>22</v>
      </c>
      <c r="H116" t="s">
        <v>650</v>
      </c>
      <c r="J116" t="s">
        <v>651</v>
      </c>
      <c r="M116" t="s">
        <v>234</v>
      </c>
      <c r="N116" t="s">
        <v>646</v>
      </c>
      <c r="R116" t="s">
        <v>25</v>
      </c>
      <c r="S116" t="s">
        <v>652</v>
      </c>
    </row>
    <row r="117" spans="1:19">
      <c r="A117" t="s">
        <v>653</v>
      </c>
      <c r="F117" t="s">
        <v>654</v>
      </c>
      <c r="G117" t="s">
        <v>22</v>
      </c>
      <c r="H117" t="s">
        <v>655</v>
      </c>
      <c r="J117" t="s">
        <v>656</v>
      </c>
      <c r="M117" t="s">
        <v>25</v>
      </c>
      <c r="N117" t="s">
        <v>657</v>
      </c>
      <c r="R117" t="s">
        <v>25</v>
      </c>
      <c r="S117" t="s">
        <v>658</v>
      </c>
    </row>
    <row r="118" spans="1:19">
      <c r="A118" t="s">
        <v>659</v>
      </c>
      <c r="E118" t="s">
        <v>660</v>
      </c>
      <c r="F118" t="s">
        <v>661</v>
      </c>
      <c r="G118" t="s">
        <v>22</v>
      </c>
      <c r="H118" t="s">
        <v>662</v>
      </c>
      <c r="J118" t="s">
        <v>663</v>
      </c>
      <c r="M118" t="s">
        <v>25</v>
      </c>
      <c r="N118" t="s">
        <v>664</v>
      </c>
      <c r="R118" t="s">
        <v>25</v>
      </c>
      <c r="S118" t="s">
        <v>665</v>
      </c>
    </row>
    <row r="119" spans="1:19">
      <c r="A119" t="s">
        <v>666</v>
      </c>
      <c r="F119" t="s">
        <v>667</v>
      </c>
      <c r="G119" t="s">
        <v>22</v>
      </c>
      <c r="H119" t="s">
        <v>668</v>
      </c>
      <c r="J119" t="s">
        <v>669</v>
      </c>
      <c r="M119" t="s">
        <v>234</v>
      </c>
      <c r="N119" t="s">
        <v>670</v>
      </c>
      <c r="R119" t="s">
        <v>25</v>
      </c>
      <c r="S119" t="s">
        <v>671</v>
      </c>
    </row>
    <row r="120" spans="1:19">
      <c r="A120" t="s">
        <v>672</v>
      </c>
      <c r="F120" t="s">
        <v>673</v>
      </c>
      <c r="G120" t="s">
        <v>22</v>
      </c>
      <c r="H120" t="s">
        <v>674</v>
      </c>
      <c r="J120" t="s">
        <v>675</v>
      </c>
      <c r="M120" t="s">
        <v>25</v>
      </c>
      <c r="N120" t="s">
        <v>676</v>
      </c>
      <c r="R120" t="s">
        <v>25</v>
      </c>
      <c r="S120" t="s">
        <v>677</v>
      </c>
    </row>
    <row r="121" spans="1:19">
      <c r="A121" t="s">
        <v>678</v>
      </c>
      <c r="F121" t="s">
        <v>679</v>
      </c>
      <c r="G121" t="s">
        <v>22</v>
      </c>
      <c r="H121" t="s">
        <v>680</v>
      </c>
      <c r="J121" t="s">
        <v>681</v>
      </c>
      <c r="M121" t="s">
        <v>25</v>
      </c>
      <c r="N121" t="s">
        <v>682</v>
      </c>
      <c r="R121" t="s">
        <v>25</v>
      </c>
      <c r="S121" t="s">
        <v>683</v>
      </c>
    </row>
    <row r="122" spans="1:19">
      <c r="A122" t="s">
        <v>684</v>
      </c>
      <c r="F122" t="s">
        <v>685</v>
      </c>
      <c r="G122" t="s">
        <v>22</v>
      </c>
      <c r="H122" t="s">
        <v>686</v>
      </c>
      <c r="J122" t="s">
        <v>687</v>
      </c>
      <c r="M122" t="s">
        <v>25</v>
      </c>
      <c r="N122" t="s">
        <v>688</v>
      </c>
      <c r="R122" t="s">
        <v>25</v>
      </c>
      <c r="S122" t="s">
        <v>689</v>
      </c>
    </row>
    <row r="123" spans="1:19">
      <c r="A123" t="s">
        <v>690</v>
      </c>
      <c r="G123" t="s">
        <v>22</v>
      </c>
      <c r="H123" t="s">
        <v>691</v>
      </c>
      <c r="J123" t="s">
        <v>692</v>
      </c>
      <c r="M123" t="s">
        <v>234</v>
      </c>
      <c r="R123" t="s">
        <v>693</v>
      </c>
      <c r="S123" t="s">
        <v>694</v>
      </c>
    </row>
    <row r="124" spans="1:19">
      <c r="A124" t="s">
        <v>695</v>
      </c>
      <c r="G124" t="s">
        <v>22</v>
      </c>
      <c r="H124" t="s">
        <v>696</v>
      </c>
      <c r="J124" t="s">
        <v>697</v>
      </c>
      <c r="M124" t="s">
        <v>234</v>
      </c>
      <c r="R124" t="s">
        <v>693</v>
      </c>
      <c r="S124" t="s">
        <v>698</v>
      </c>
    </row>
    <row r="125" spans="1:19">
      <c r="A125" t="s">
        <v>699</v>
      </c>
      <c r="G125" t="s">
        <v>22</v>
      </c>
      <c r="H125" t="s">
        <v>700</v>
      </c>
      <c r="J125" t="s">
        <v>701</v>
      </c>
      <c r="M125" t="s">
        <v>234</v>
      </c>
      <c r="R125" t="s">
        <v>693</v>
      </c>
      <c r="S125" t="s">
        <v>702</v>
      </c>
    </row>
    <row r="126" spans="1:19">
      <c r="A126" t="s">
        <v>703</v>
      </c>
      <c r="G126" t="s">
        <v>22</v>
      </c>
      <c r="H126" t="s">
        <v>704</v>
      </c>
      <c r="J126" t="s">
        <v>705</v>
      </c>
      <c r="M126" t="s">
        <v>234</v>
      </c>
      <c r="R126" t="s">
        <v>693</v>
      </c>
      <c r="S126" t="s">
        <v>706</v>
      </c>
    </row>
    <row r="127" spans="1:19">
      <c r="A127" t="s">
        <v>707</v>
      </c>
      <c r="E127" t="s">
        <v>708</v>
      </c>
      <c r="F127" t="s">
        <v>709</v>
      </c>
      <c r="G127" t="s">
        <v>22</v>
      </c>
      <c r="H127" t="s">
        <v>710</v>
      </c>
      <c r="J127" t="s">
        <v>711</v>
      </c>
      <c r="M127" t="s">
        <v>25</v>
      </c>
      <c r="N127" t="s">
        <v>712</v>
      </c>
      <c r="R127" t="s">
        <v>25</v>
      </c>
      <c r="S127" t="s">
        <v>713</v>
      </c>
    </row>
  </sheetData>
  <mergeCells count="3">
    <mergeCell ref="A1:C1"/>
    <mergeCell ref="J1:L1"/>
    <mergeCell ref="E1:H1"/>
  </mergeCells>
  <conditionalFormatting sqref="B3:B1048576">
    <cfRule type="expression" dxfId="104" priority="1">
      <formula>B3="TRUE"</formula>
    </cfRule>
    <cfRule type="expression" dxfId="103" priority="2">
      <formula>B3="FALSE"</formula>
    </cfRule>
    <cfRule type="expression" dxfId="102" priority="3">
      <formula>B3="WRONG"</formula>
    </cfRule>
    <cfRule type="expression" dxfId="101" priority="4">
      <formula>B3="UNKNOWN"</formula>
    </cfRule>
    <cfRule type="expression" dxfId="100" priority="5">
      <formula>B3="MATCHED_SOURCE"</formula>
    </cfRule>
  </conditionalFormatting>
  <conditionalFormatting sqref="Q3:Q1048576">
    <cfRule type="expression" dxfId="99" priority="6">
      <formula>Q3="TRUE"</formula>
    </cfRule>
    <cfRule type="expression" dxfId="98" priority="7">
      <formula>Q3="FALSE"</formula>
    </cfRule>
    <cfRule type="expression" dxfId="97" priority="8">
      <formula>Q3="WRONG"</formula>
    </cfRule>
    <cfRule type="expression" dxfId="96" priority="9">
      <formula>Q3="UNKNOWN"</formula>
    </cfRule>
    <cfRule type="expression" dxfId="95" priority="10">
      <formula>Q3="MATCHED_SOURCE"</formula>
    </cfRule>
  </conditionalFormatting>
  <conditionalFormatting sqref="K3:K1048576">
    <cfRule type="expression" dxfId="94" priority="11">
      <formula>K3="TRUE"</formula>
    </cfRule>
    <cfRule type="expression" dxfId="93" priority="12">
      <formula>K3="FALSE"</formula>
    </cfRule>
    <cfRule type="expression" dxfId="92" priority="13">
      <formula>K3="WRONG"</formula>
    </cfRule>
    <cfRule type="expression" dxfId="91" priority="14">
      <formula>K3="UNKNOWN"</formula>
    </cfRule>
    <cfRule type="expression" dxfId="90" priority="15">
      <formula>K3="MATCHED_SOURCE"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5"/>
  <sheetData>
    <row r="1" spans="1:4">
      <c r="A1" s="2" t="s">
        <v>714</v>
      </c>
    </row>
    <row r="2" spans="1:4">
      <c r="A2" t="s">
        <v>715</v>
      </c>
      <c r="B2" t="s">
        <v>716</v>
      </c>
      <c r="C2" t="s">
        <v>717</v>
      </c>
      <c r="D2" t="s">
        <v>718</v>
      </c>
    </row>
    <row r="3" spans="1:4">
      <c r="A3" t="s">
        <v>719</v>
      </c>
      <c r="B3" s="3">
        <f>IFERROR(COUNTIF(Evaluation_Data!$B:$B,"TRUE")/COUNTIF(Evaluation_Data!$B:$B,"&lt;&gt;"),0)</f>
        <v>0</v>
      </c>
      <c r="C3" s="3">
        <f>IFERROR(COUNTIF(Evaluation_Data!$Q:$Q,"TRUE")/COUNTIF(Evaluation_Data!$Q:$Q,"&lt;&gt;"),0)</f>
        <v>0</v>
      </c>
      <c r="D3" s="3">
        <f>IFERROR(COUNTIF(Evaluation_Data!$K:$K,"TRUE")/COUNTIF(Evaluation_Data!$K:$K,"&lt;&gt;"),0)</f>
        <v>0</v>
      </c>
    </row>
    <row r="5" spans="1:4">
      <c r="A5" t="s">
        <v>720</v>
      </c>
    </row>
    <row r="6" spans="1:4">
      <c r="A6" t="s">
        <v>16</v>
      </c>
      <c r="B6" t="s">
        <v>716</v>
      </c>
      <c r="C6" t="s">
        <v>717</v>
      </c>
      <c r="D6" t="s">
        <v>718</v>
      </c>
    </row>
    <row r="7" spans="1:4">
      <c r="A7" t="s">
        <v>431</v>
      </c>
      <c r="B7" s="3">
        <f>IFERROR(COUNTIFS(Evaluation_Data!$B:$B,"TRUE",Evaluation_Data!$R:$R,"Heading")/COUNTIFS(Evaluation_Data!$B:$B,"&lt;&gt;",Evaluation_Data!$R:$R,"Heading"),0)</f>
        <v>0</v>
      </c>
      <c r="C7" s="3">
        <f>IFERROR(COUNTIFS(Evaluation_Data!$Q:$Q,"TRUE",Evaluation_Data!$R:$R,"Heading")/COUNTIFS(Evaluation_Data!$Q:$Q,"&lt;&gt;",Evaluation_Data!$R:$R,"Heading"),0)</f>
        <v>0</v>
      </c>
      <c r="D7" s="3">
        <f>IFERROR(COUNTIFS(Evaluation_Data!$K:$K,"TRUE",Evaluation_Data!$R:$R,"Heading")/COUNTIFS(Evaluation_Data!$K:$K,"&lt;&gt;",Evaluation_Data!$R:$R,"Heading"),0)</f>
        <v>0</v>
      </c>
    </row>
    <row r="8" spans="1:4">
      <c r="A8" t="s">
        <v>27</v>
      </c>
      <c r="B8" s="3">
        <f>IFERROR(COUNTIFS(Evaluation_Data!$B:$B,"TRUE",Evaluation_Data!$R:$R,"Inline")/COUNTIFS(Evaluation_Data!$B:$B,"&lt;&gt;",Evaluation_Data!$R:$R,"Inline"),0)</f>
        <v>0</v>
      </c>
      <c r="C8" s="3">
        <f>IFERROR(COUNTIFS(Evaluation_Data!$Q:$Q,"TRUE",Evaluation_Data!$R:$R,"Inline")/COUNTIFS(Evaluation_Data!$Q:$Q,"&lt;&gt;",Evaluation_Data!$R:$R,"Inline"),0)</f>
        <v>0</v>
      </c>
      <c r="D8" s="3">
        <f>IFERROR(COUNTIFS(Evaluation_Data!$K:$K,"TRUE",Evaluation_Data!$R:$R,"Inline")/COUNTIFS(Evaluation_Data!$K:$K,"&lt;&gt;",Evaluation_Data!$R:$R,"Inline"),0)</f>
        <v>0</v>
      </c>
    </row>
    <row r="9" spans="1:4">
      <c r="A9" t="s">
        <v>693</v>
      </c>
      <c r="B9" s="3">
        <f>IFERROR(COUNTIFS(Evaluation_Data!$B:$B,"TRUE",Evaluation_Data!$R:$R,"InternalTableCitation")/COUNTIFS(Evaluation_Data!$B:$B,"&lt;&gt;",Evaluation_Data!$R:$R,"InternalTableCitation"),0)</f>
        <v>0</v>
      </c>
      <c r="C9" s="3">
        <f>IFERROR(COUNTIFS(Evaluation_Data!$Q:$Q,"TRUE",Evaluation_Data!$R:$R,"InternalTableCitation")/COUNTIFS(Evaluation_Data!$Q:$Q,"&lt;&gt;",Evaluation_Data!$R:$R,"InternalTableCitation"),0)</f>
        <v>0</v>
      </c>
      <c r="D9" s="3">
        <f>IFERROR(COUNTIFS(Evaluation_Data!$K:$K,"TRUE",Evaluation_Data!$R:$R,"InternalTableCitation")/COUNTIFS(Evaluation_Data!$K:$K,"&lt;&gt;",Evaluation_Data!$R:$R,"InternalTableCitation"),0)</f>
        <v>0</v>
      </c>
    </row>
    <row r="10" spans="1:4">
      <c r="A10" t="s">
        <v>553</v>
      </c>
      <c r="B10" s="3">
        <f>IFERROR(COUNTIFS(Evaluation_Data!$B:$B,"TRUE",Evaluation_Data!$R:$R,"InternalTableSummary")/COUNTIFS(Evaluation_Data!$B:$B,"&lt;&gt;",Evaluation_Data!$R:$R,"InternalTableSummary"),0)</f>
        <v>0</v>
      </c>
      <c r="C10" s="3">
        <f>IFERROR(COUNTIFS(Evaluation_Data!$Q:$Q,"TRUE",Evaluation_Data!$R:$R,"InternalTableSummary")/COUNTIFS(Evaluation_Data!$Q:$Q,"&lt;&gt;",Evaluation_Data!$R:$R,"InternalTableSummary"),0)</f>
        <v>0</v>
      </c>
      <c r="D10" s="3">
        <f>IFERROR(COUNTIFS(Evaluation_Data!$K:$K,"TRUE",Evaluation_Data!$R:$R,"InternalTableSummary")/COUNTIFS(Evaluation_Data!$K:$K,"&lt;&gt;",Evaluation_Data!$R:$R,"InternalTableSummary"),0)</f>
        <v>0</v>
      </c>
    </row>
    <row r="11" spans="1:4">
      <c r="A11" t="s">
        <v>40</v>
      </c>
      <c r="B11" s="3">
        <f>IFERROR(COUNTIFS(Evaluation_Data!$B:$B,"TRUE",Evaluation_Data!$R:$R,"KeyValue")/COUNTIFS(Evaluation_Data!$B:$B,"&lt;&gt;",Evaluation_Data!$R:$R,"KeyValue"),0)</f>
        <v>0</v>
      </c>
      <c r="C11" s="3">
        <f>IFERROR(COUNTIFS(Evaluation_Data!$Q:$Q,"TRUE",Evaluation_Data!$R:$R,"KeyValue")/COUNTIFS(Evaluation_Data!$Q:$Q,"&lt;&gt;",Evaluation_Data!$R:$R,"KeyValue"),0)</f>
        <v>0</v>
      </c>
      <c r="D11" s="3">
        <f>IFERROR(COUNTIFS(Evaluation_Data!$K:$K,"TRUE",Evaluation_Data!$R:$R,"KeyValue")/COUNTIFS(Evaluation_Data!$K:$K,"&lt;&gt;",Evaluation_Data!$R:$R,"KeyValue"),0)</f>
        <v>0</v>
      </c>
    </row>
    <row r="12" spans="1:4">
      <c r="A12" t="s">
        <v>25</v>
      </c>
      <c r="B12" s="3">
        <f>IFERROR(COUNTIFS(Evaluation_Data!$B:$B,"TRUE",Evaluation_Data!$R:$R,"Paragraph")/COUNTIFS(Evaluation_Data!$B:$B,"&lt;&gt;",Evaluation_Data!$R:$R,"Paragraph"),0)</f>
        <v>0</v>
      </c>
      <c r="C12" s="3">
        <f>IFERROR(COUNTIFS(Evaluation_Data!$Q:$Q,"TRUE",Evaluation_Data!$R:$R,"Paragraph")/COUNTIFS(Evaluation_Data!$Q:$Q,"&lt;&gt;",Evaluation_Data!$R:$R,"Paragraph"),0)</f>
        <v>0</v>
      </c>
      <c r="D12" s="3">
        <f>IFERROR(COUNTIFS(Evaluation_Data!$K:$K,"TRUE",Evaluation_Data!$R:$R,"Paragraph")/COUNTIFS(Evaluation_Data!$K:$K,"&lt;&gt;",Evaluation_Data!$R:$R,"Paragraph"),0)</f>
        <v>0</v>
      </c>
    </row>
    <row r="14" spans="1:4">
      <c r="A14" t="s">
        <v>721</v>
      </c>
    </row>
    <row r="15" spans="1:4">
      <c r="A15" t="s">
        <v>11</v>
      </c>
      <c r="B15" t="s">
        <v>716</v>
      </c>
      <c r="C15" t="s">
        <v>717</v>
      </c>
      <c r="D15" t="s">
        <v>718</v>
      </c>
    </row>
    <row r="16" spans="1:4">
      <c r="A16" t="s">
        <v>282</v>
      </c>
      <c r="B16" s="3">
        <f>IFERROR(COUNTIFS(Evaluation_Data!$B:$B,"TRUE",Evaluation_Data!$M:$M,"List")/COUNTIFS(Evaluation_Data!$B:$B,"&lt;&gt;",Evaluation_Data!$M:$M,"List"),0)</f>
        <v>0</v>
      </c>
      <c r="C16" s="3">
        <f>IFERROR(COUNTIFS(Evaluation_Data!$Q:$Q,"TRUE",Evaluation_Data!$M:$M,"List")/COUNTIFS(Evaluation_Data!$Q:$Q,"&lt;&gt;",Evaluation_Data!$M:$M,"List"),0)</f>
        <v>0</v>
      </c>
      <c r="D16" s="3">
        <f>IFERROR(COUNTIFS(Evaluation_Data!$K:$K,"TRUE",Evaluation_Data!$M:$M,"List")/COUNTIFS(Evaluation_Data!$K:$K,"&lt;&gt;",Evaluation_Data!$M:$M,"List"),0)</f>
        <v>0</v>
      </c>
    </row>
    <row r="17" spans="1:4">
      <c r="A17" t="s">
        <v>25</v>
      </c>
      <c r="B17" s="3">
        <f>IFERROR(COUNTIFS(Evaluation_Data!$B:$B,"TRUE",Evaluation_Data!$M:$M,"Paragraph")/COUNTIFS(Evaluation_Data!$B:$B,"&lt;&gt;",Evaluation_Data!$M:$M,"Paragraph"),0)</f>
        <v>0</v>
      </c>
      <c r="C17" s="3">
        <f>IFERROR(COUNTIFS(Evaluation_Data!$Q:$Q,"TRUE",Evaluation_Data!$M:$M,"Paragraph")/COUNTIFS(Evaluation_Data!$Q:$Q,"&lt;&gt;",Evaluation_Data!$M:$M,"Paragraph"),0)</f>
        <v>0</v>
      </c>
      <c r="D17" s="3">
        <f>IFERROR(COUNTIFS(Evaluation_Data!$K:$K,"TRUE",Evaluation_Data!$M:$M,"Paragraph")/COUNTIFS(Evaluation_Data!$K:$K,"&lt;&gt;",Evaluation_Data!$M:$M,"Paragraph"),0)</f>
        <v>0</v>
      </c>
    </row>
    <row r="18" spans="1:4">
      <c r="A18" t="s">
        <v>234</v>
      </c>
      <c r="B18" s="3">
        <f>IFERROR(COUNTIFS(Evaluation_Data!$B:$B,"TRUE",Evaluation_Data!$M:$M,"Table")/COUNTIFS(Evaluation_Data!$B:$B,"&lt;&gt;",Evaluation_Data!$M:$M,"Table"),0)</f>
        <v>0</v>
      </c>
      <c r="C18" s="3">
        <f>IFERROR(COUNTIFS(Evaluation_Data!$Q:$Q,"TRUE",Evaluation_Data!$M:$M,"Table")/COUNTIFS(Evaluation_Data!$Q:$Q,"&lt;&gt;",Evaluation_Data!$M:$M,"Table"),0)</f>
        <v>0</v>
      </c>
      <c r="D18" s="3">
        <f>IFERROR(COUNTIFS(Evaluation_Data!$K:$K,"TRUE",Evaluation_Data!$M:$M,"Table")/COUNTIFS(Evaluation_Data!$K:$K,"&lt;&gt;",Evaluation_Data!$M:$M,"Table"),0)</f>
        <v>0</v>
      </c>
    </row>
  </sheetData>
  <conditionalFormatting sqref="B3">
    <cfRule type="cellIs" dxfId="89" priority="1" operator="greaterThanOrEqual">
      <formula>0.95</formula>
    </cfRule>
    <cfRule type="cellIs" dxfId="88" priority="2" operator="between">
      <formula>0.85</formula>
      <formula>0.95</formula>
    </cfRule>
    <cfRule type="cellIs" dxfId="87" priority="3" operator="lessThan">
      <formula>0.85</formula>
    </cfRule>
  </conditionalFormatting>
  <conditionalFormatting sqref="C3">
    <cfRule type="cellIs" dxfId="86" priority="4" operator="greaterThanOrEqual">
      <formula>0.95</formula>
    </cfRule>
    <cfRule type="cellIs" dxfId="85" priority="5" operator="between">
      <formula>0.85</formula>
      <formula>0.95</formula>
    </cfRule>
    <cfRule type="cellIs" dxfId="84" priority="6" operator="lessThan">
      <formula>0.85</formula>
    </cfRule>
  </conditionalFormatting>
  <conditionalFormatting sqref="D3">
    <cfRule type="cellIs" dxfId="83" priority="7" operator="greaterThanOrEqual">
      <formula>0.95</formula>
    </cfRule>
    <cfRule type="cellIs" dxfId="82" priority="8" operator="between">
      <formula>0.85</formula>
      <formula>0.95</formula>
    </cfRule>
    <cfRule type="cellIs" dxfId="81" priority="9" operator="lessThan">
      <formula>0.85</formula>
    </cfRule>
  </conditionalFormatting>
  <conditionalFormatting sqref="B7">
    <cfRule type="cellIs" dxfId="80" priority="10" operator="greaterThanOrEqual">
      <formula>0.95</formula>
    </cfRule>
    <cfRule type="cellIs" dxfId="79" priority="11" operator="between">
      <formula>0.85</formula>
      <formula>0.95</formula>
    </cfRule>
    <cfRule type="cellIs" dxfId="78" priority="12" operator="lessThan">
      <formula>0.85</formula>
    </cfRule>
  </conditionalFormatting>
  <conditionalFormatting sqref="C7">
    <cfRule type="cellIs" dxfId="77" priority="13" operator="greaterThanOrEqual">
      <formula>0.95</formula>
    </cfRule>
    <cfRule type="cellIs" dxfId="76" priority="14" operator="between">
      <formula>0.85</formula>
      <formula>0.95</formula>
    </cfRule>
    <cfRule type="cellIs" dxfId="75" priority="15" operator="lessThan">
      <formula>0.85</formula>
    </cfRule>
  </conditionalFormatting>
  <conditionalFormatting sqref="D7">
    <cfRule type="cellIs" dxfId="74" priority="16" operator="greaterThanOrEqual">
      <formula>0.95</formula>
    </cfRule>
    <cfRule type="cellIs" dxfId="73" priority="17" operator="between">
      <formula>0.85</formula>
      <formula>0.95</formula>
    </cfRule>
    <cfRule type="cellIs" dxfId="72" priority="18" operator="lessThan">
      <formula>0.85</formula>
    </cfRule>
  </conditionalFormatting>
  <conditionalFormatting sqref="B8">
    <cfRule type="cellIs" dxfId="71" priority="19" operator="greaterThanOrEqual">
      <formula>0.95</formula>
    </cfRule>
    <cfRule type="cellIs" dxfId="70" priority="20" operator="between">
      <formula>0.85</formula>
      <formula>0.95</formula>
    </cfRule>
    <cfRule type="cellIs" dxfId="69" priority="21" operator="lessThan">
      <formula>0.85</formula>
    </cfRule>
  </conditionalFormatting>
  <conditionalFormatting sqref="C8">
    <cfRule type="cellIs" dxfId="68" priority="22" operator="greaterThanOrEqual">
      <formula>0.95</formula>
    </cfRule>
    <cfRule type="cellIs" dxfId="67" priority="23" operator="between">
      <formula>0.85</formula>
      <formula>0.95</formula>
    </cfRule>
    <cfRule type="cellIs" dxfId="66" priority="24" operator="lessThan">
      <formula>0.85</formula>
    </cfRule>
  </conditionalFormatting>
  <conditionalFormatting sqref="D8">
    <cfRule type="cellIs" dxfId="65" priority="25" operator="greaterThanOrEqual">
      <formula>0.95</formula>
    </cfRule>
    <cfRule type="cellIs" dxfId="64" priority="26" operator="between">
      <formula>0.85</formula>
      <formula>0.95</formula>
    </cfRule>
    <cfRule type="cellIs" dxfId="63" priority="27" operator="lessThan">
      <formula>0.85</formula>
    </cfRule>
  </conditionalFormatting>
  <conditionalFormatting sqref="B9">
    <cfRule type="cellIs" dxfId="62" priority="28" operator="greaterThanOrEqual">
      <formula>0.95</formula>
    </cfRule>
    <cfRule type="cellIs" dxfId="61" priority="29" operator="between">
      <formula>0.85</formula>
      <formula>0.95</formula>
    </cfRule>
    <cfRule type="cellIs" dxfId="60" priority="30" operator="lessThan">
      <formula>0.85</formula>
    </cfRule>
  </conditionalFormatting>
  <conditionalFormatting sqref="C9">
    <cfRule type="cellIs" dxfId="59" priority="31" operator="greaterThanOrEqual">
      <formula>0.95</formula>
    </cfRule>
    <cfRule type="cellIs" dxfId="58" priority="32" operator="between">
      <formula>0.85</formula>
      <formula>0.95</formula>
    </cfRule>
    <cfRule type="cellIs" dxfId="57" priority="33" operator="lessThan">
      <formula>0.85</formula>
    </cfRule>
  </conditionalFormatting>
  <conditionalFormatting sqref="D9">
    <cfRule type="cellIs" dxfId="56" priority="34" operator="greaterThanOrEqual">
      <formula>0.95</formula>
    </cfRule>
    <cfRule type="cellIs" dxfId="55" priority="35" operator="between">
      <formula>0.85</formula>
      <formula>0.95</formula>
    </cfRule>
    <cfRule type="cellIs" dxfId="54" priority="36" operator="lessThan">
      <formula>0.85</formula>
    </cfRule>
  </conditionalFormatting>
  <conditionalFormatting sqref="B10">
    <cfRule type="cellIs" dxfId="53" priority="37" operator="greaterThanOrEqual">
      <formula>0.95</formula>
    </cfRule>
    <cfRule type="cellIs" dxfId="52" priority="38" operator="between">
      <formula>0.85</formula>
      <formula>0.95</formula>
    </cfRule>
    <cfRule type="cellIs" dxfId="51" priority="39" operator="lessThan">
      <formula>0.85</formula>
    </cfRule>
  </conditionalFormatting>
  <conditionalFormatting sqref="C10">
    <cfRule type="cellIs" dxfId="50" priority="40" operator="greaterThanOrEqual">
      <formula>0.95</formula>
    </cfRule>
    <cfRule type="cellIs" dxfId="49" priority="41" operator="between">
      <formula>0.85</formula>
      <formula>0.95</formula>
    </cfRule>
    <cfRule type="cellIs" dxfId="48" priority="42" operator="lessThan">
      <formula>0.85</formula>
    </cfRule>
  </conditionalFormatting>
  <conditionalFormatting sqref="D10">
    <cfRule type="cellIs" dxfId="47" priority="43" operator="greaterThanOrEqual">
      <formula>0.95</formula>
    </cfRule>
    <cfRule type="cellIs" dxfId="46" priority="44" operator="between">
      <formula>0.85</formula>
      <formula>0.95</formula>
    </cfRule>
    <cfRule type="cellIs" dxfId="45" priority="45" operator="lessThan">
      <formula>0.85</formula>
    </cfRule>
  </conditionalFormatting>
  <conditionalFormatting sqref="B11">
    <cfRule type="cellIs" dxfId="44" priority="46" operator="greaterThanOrEqual">
      <formula>0.95</formula>
    </cfRule>
    <cfRule type="cellIs" dxfId="43" priority="47" operator="between">
      <formula>0.85</formula>
      <formula>0.95</formula>
    </cfRule>
    <cfRule type="cellIs" dxfId="42" priority="48" operator="lessThan">
      <formula>0.85</formula>
    </cfRule>
  </conditionalFormatting>
  <conditionalFormatting sqref="C11">
    <cfRule type="cellIs" dxfId="41" priority="49" operator="greaterThanOrEqual">
      <formula>0.95</formula>
    </cfRule>
    <cfRule type="cellIs" dxfId="40" priority="50" operator="between">
      <formula>0.85</formula>
      <formula>0.95</formula>
    </cfRule>
    <cfRule type="cellIs" dxfId="39" priority="51" operator="lessThan">
      <formula>0.85</formula>
    </cfRule>
  </conditionalFormatting>
  <conditionalFormatting sqref="D11">
    <cfRule type="cellIs" dxfId="38" priority="52" operator="greaterThanOrEqual">
      <formula>0.95</formula>
    </cfRule>
    <cfRule type="cellIs" dxfId="37" priority="53" operator="between">
      <formula>0.85</formula>
      <formula>0.95</formula>
    </cfRule>
    <cfRule type="cellIs" dxfId="36" priority="54" operator="lessThan">
      <formula>0.85</formula>
    </cfRule>
  </conditionalFormatting>
  <conditionalFormatting sqref="B12">
    <cfRule type="cellIs" dxfId="35" priority="55" operator="greaterThanOrEqual">
      <formula>0.95</formula>
    </cfRule>
    <cfRule type="cellIs" dxfId="34" priority="56" operator="between">
      <formula>0.85</formula>
      <formula>0.95</formula>
    </cfRule>
    <cfRule type="cellIs" dxfId="33" priority="57" operator="lessThan">
      <formula>0.85</formula>
    </cfRule>
  </conditionalFormatting>
  <conditionalFormatting sqref="C12">
    <cfRule type="cellIs" dxfId="32" priority="58" operator="greaterThanOrEqual">
      <formula>0.95</formula>
    </cfRule>
    <cfRule type="cellIs" dxfId="31" priority="59" operator="between">
      <formula>0.85</formula>
      <formula>0.95</formula>
    </cfRule>
    <cfRule type="cellIs" dxfId="30" priority="60" operator="lessThan">
      <formula>0.85</formula>
    </cfRule>
  </conditionalFormatting>
  <conditionalFormatting sqref="D12">
    <cfRule type="cellIs" dxfId="29" priority="61" operator="greaterThanOrEqual">
      <formula>0.95</formula>
    </cfRule>
    <cfRule type="cellIs" dxfId="28" priority="62" operator="between">
      <formula>0.85</formula>
      <formula>0.95</formula>
    </cfRule>
    <cfRule type="cellIs" dxfId="27" priority="63" operator="lessThan">
      <formula>0.85</formula>
    </cfRule>
  </conditionalFormatting>
  <conditionalFormatting sqref="B16">
    <cfRule type="cellIs" dxfId="26" priority="64" operator="greaterThanOrEqual">
      <formula>0.95</formula>
    </cfRule>
    <cfRule type="cellIs" dxfId="25" priority="65" operator="between">
      <formula>0.85</formula>
      <formula>0.95</formula>
    </cfRule>
    <cfRule type="cellIs" dxfId="24" priority="66" operator="lessThan">
      <formula>0.85</formula>
    </cfRule>
  </conditionalFormatting>
  <conditionalFormatting sqref="C16">
    <cfRule type="cellIs" dxfId="23" priority="67" operator="greaterThanOrEqual">
      <formula>0.95</formula>
    </cfRule>
    <cfRule type="cellIs" dxfId="22" priority="68" operator="between">
      <formula>0.85</formula>
      <formula>0.95</formula>
    </cfRule>
    <cfRule type="cellIs" dxfId="21" priority="69" operator="lessThan">
      <formula>0.85</formula>
    </cfRule>
  </conditionalFormatting>
  <conditionalFormatting sqref="D16">
    <cfRule type="cellIs" dxfId="20" priority="70" operator="greaterThanOrEqual">
      <formula>0.95</formula>
    </cfRule>
    <cfRule type="cellIs" dxfId="19" priority="71" operator="between">
      <formula>0.85</formula>
      <formula>0.95</formula>
    </cfRule>
    <cfRule type="cellIs" dxfId="18" priority="72" operator="lessThan">
      <formula>0.85</formula>
    </cfRule>
  </conditionalFormatting>
  <conditionalFormatting sqref="B17">
    <cfRule type="cellIs" dxfId="17" priority="73" operator="greaterThanOrEqual">
      <formula>0.95</formula>
    </cfRule>
    <cfRule type="cellIs" dxfId="16" priority="74" operator="between">
      <formula>0.85</formula>
      <formula>0.95</formula>
    </cfRule>
    <cfRule type="cellIs" dxfId="15" priority="75" operator="lessThan">
      <formula>0.85</formula>
    </cfRule>
  </conditionalFormatting>
  <conditionalFormatting sqref="C17">
    <cfRule type="cellIs" dxfId="14" priority="76" operator="greaterThanOrEqual">
      <formula>0.95</formula>
    </cfRule>
    <cfRule type="cellIs" dxfId="13" priority="77" operator="between">
      <formula>0.85</formula>
      <formula>0.95</formula>
    </cfRule>
    <cfRule type="cellIs" dxfId="12" priority="78" operator="lessThan">
      <formula>0.85</formula>
    </cfRule>
  </conditionalFormatting>
  <conditionalFormatting sqref="D17">
    <cfRule type="cellIs" dxfId="11" priority="79" operator="greaterThanOrEqual">
      <formula>0.95</formula>
    </cfRule>
    <cfRule type="cellIs" dxfId="10" priority="80" operator="between">
      <formula>0.85</formula>
      <formula>0.95</formula>
    </cfRule>
    <cfRule type="cellIs" dxfId="9" priority="81" operator="lessThan">
      <formula>0.85</formula>
    </cfRule>
  </conditionalFormatting>
  <conditionalFormatting sqref="B18">
    <cfRule type="cellIs" dxfId="8" priority="82" operator="greaterThanOrEqual">
      <formula>0.95</formula>
    </cfRule>
    <cfRule type="cellIs" dxfId="7" priority="83" operator="between">
      <formula>0.85</formula>
      <formula>0.95</formula>
    </cfRule>
    <cfRule type="cellIs" dxfId="6" priority="84" operator="lessThan">
      <formula>0.85</formula>
    </cfRule>
  </conditionalFormatting>
  <conditionalFormatting sqref="C18">
    <cfRule type="cellIs" dxfId="5" priority="85" operator="greaterThanOrEqual">
      <formula>0.95</formula>
    </cfRule>
    <cfRule type="cellIs" dxfId="4" priority="86" operator="between">
      <formula>0.85</formula>
      <formula>0.95</formula>
    </cfRule>
    <cfRule type="cellIs" dxfId="3" priority="87" operator="lessThan">
      <formula>0.85</formula>
    </cfRule>
  </conditionalFormatting>
  <conditionalFormatting sqref="D18">
    <cfRule type="cellIs" dxfId="2" priority="88" operator="greaterThanOrEqual">
      <formula>0.95</formula>
    </cfRule>
    <cfRule type="cellIs" dxfId="1" priority="89" operator="between">
      <formula>0.85</formula>
      <formula>0.95</formula>
    </cfRule>
    <cfRule type="cellIs" dxfId="0" priority="90" operator="lessThan">
      <formula>0.85</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87f620-306b-4eac-92fa-0dd126b0fa6d">
      <Terms xmlns="http://schemas.microsoft.com/office/infopath/2007/PartnerControls"/>
    </lcf76f155ced4ddcb4097134ff3c332f>
    <TaxCatchAll xmlns="7d460eb0-d6e3-4304-bbc8-354818987f0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5915226BE4454D8719C5EF69B2EC10" ma:contentTypeVersion="9" ma:contentTypeDescription="Create a new document." ma:contentTypeScope="" ma:versionID="000e6e758342267ac7d10b32789c691d">
  <xsd:schema xmlns:xsd="http://www.w3.org/2001/XMLSchema" xmlns:xs="http://www.w3.org/2001/XMLSchema" xmlns:p="http://schemas.microsoft.com/office/2006/metadata/properties" xmlns:ns2="ae87f620-306b-4eac-92fa-0dd126b0fa6d" xmlns:ns3="7d460eb0-d6e3-4304-bbc8-354818987f05" targetNamespace="http://schemas.microsoft.com/office/2006/metadata/properties" ma:root="true" ma:fieldsID="fd8501fb71ac2437759b29d96502850f" ns2:_="" ns3:_="">
    <xsd:import namespace="ae87f620-306b-4eac-92fa-0dd126b0fa6d"/>
    <xsd:import namespace="7d460eb0-d6e3-4304-bbc8-354818987f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87f620-306b-4eac-92fa-0dd126b0fa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cf65f6-994a-46d4-aafe-a3ecec16076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460eb0-d6e3-4304-bbc8-354818987f0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02a3ee2-d2b2-4828-a62b-272f38093576}" ma:internalName="TaxCatchAll" ma:showField="CatchAllData" ma:web="7d460eb0-d6e3-4304-bbc8-354818987f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9486D2-9555-44EA-A034-05DFB47EAD7D}"/>
</file>

<file path=customXml/itemProps2.xml><?xml version="1.0" encoding="utf-8"?>
<ds:datastoreItem xmlns:ds="http://schemas.openxmlformats.org/officeDocument/2006/customXml" ds:itemID="{0D1D9C63-095B-4324-9F8B-1F53242EC817}"/>
</file>

<file path=customXml/itemProps3.xml><?xml version="1.0" encoding="utf-8"?>
<ds:datastoreItem xmlns:ds="http://schemas.openxmlformats.org/officeDocument/2006/customXml" ds:itemID="{E1C45042-F633-40BB-AF3D-69A4A472A2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2026-06-11T06:08:19Z</dcterms:created>
  <dcterms:modified xsi:type="dcterms:W3CDTF">2026-06-11T08:05:06Z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0x0101006F5915226BE4454D8719C5EF69B2EC10</vt:lpwstr>
  </property>
  <property fmtid="{D5CDD505-2E9C-101B-9397-08002B2CF9AE}" pid="3" name="MediaServiceImageTags">
    <vt:lpwstr/>
  </property>
</Properties>
</file>