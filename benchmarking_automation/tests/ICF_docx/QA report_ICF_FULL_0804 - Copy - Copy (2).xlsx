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03"/>
  <workbookPr filterPrivacy="1"/>
  <xr:revisionPtr revIDLastSave="0" documentId="8_{8AA66622-4FDB-4547-B2A1-ACB508391DD5}" xr6:coauthVersionLast="47" xr6:coauthVersionMax="47" xr10:uidLastSave="{00000000-0000-0000-0000-000000000000}"/>
  <bookViews>
    <workbookView xWindow="-108" yWindow="-108" windowWidth="23256" windowHeight="12720" firstSheet="1" activeTab="1" xr2:uid="{00000000-000D-0000-FFFF-FFFF00000000}"/>
  </bookViews>
  <sheets>
    <sheet name="Summary" sheetId="1" r:id="rId1"/>
    <sheet name="QA" sheetId="2" r:id="rId2"/>
    <sheet name="Inline" sheetId="3" r:id="rId3"/>
    <sheet name="Paragraph" sheetId="4" r:id="rId4"/>
    <sheet name="KeyValue" sheetId="7" r:id="rId5"/>
    <sheet name="Lists" sheetId="5" r:id="rId6"/>
    <sheet name="Table" sheetId="8" r:id="rId7"/>
    <sheet name="Multi Tables" sheetId="6" r:id="rId8"/>
  </sheets>
  <definedNames>
    <definedName name="AnnualCostOfTime_BuyCar">#REF!</definedName>
    <definedName name="AnnualCostOfTime_Ridesharing">#REF!</definedName>
    <definedName name="AnnualFareCost">#REF!</definedName>
    <definedName name="AnnualFuelCost">#REF!</definedName>
    <definedName name="AnnualPurchaseCost">#REF!</definedName>
    <definedName name="AnnualUsageCost">#REF!</definedName>
    <definedName name="AveDistancePerTrip">Summary!$D$24</definedName>
    <definedName name="AveParkingTime">#REF!</definedName>
    <definedName name="AverageTripsPerDay">Summary!$D$19</definedName>
    <definedName name="AveSurgeMultiplier">#REF!</definedName>
    <definedName name="AveTimePerTrip">Summary!$D$20</definedName>
    <definedName name="AveWaitTime">#REF!</definedName>
    <definedName name="BaseFare">#REF!</definedName>
    <definedName name="DistanceFare">#REF!</definedName>
    <definedName name="DownPayment">#REF!</definedName>
    <definedName name="FuelCost">#REF!</definedName>
    <definedName name="FuelEfficiency">#REF!</definedName>
    <definedName name="GarageExpenses">#REF!</definedName>
    <definedName name="GaragePropertyTax">#REF!</definedName>
    <definedName name="Insurance">#REF!</definedName>
    <definedName name="InterestRate">#REF!</definedName>
    <definedName name="LoanTerm">#REF!</definedName>
    <definedName name="MaintenanceAndRepairs">#REF!</definedName>
    <definedName name="Parking">#REF!</definedName>
    <definedName name="PercentRideDuringSurge">#REF!</definedName>
    <definedName name="PriceOfCar">#REF!</definedName>
    <definedName name="ProductivePercent">#REF!</definedName>
    <definedName name="PurchaseFees">#REF!</definedName>
    <definedName name="RatePerHour">Summary!$D$65</definedName>
    <definedName name="RegistrationAndTaxes">#REF!</definedName>
    <definedName name="SalesTax">#REF!</definedName>
    <definedName name="TimeFare">#REF!</definedName>
    <definedName name="TotalMileage">Summary!#REF!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8" l="1" a="1"/>
  <c r="A3" i="8"/>
  <c r="O3" i="2" a="1"/>
  <c r="O3" i="2"/>
  <c r="N3" i="2" a="1"/>
  <c r="N3" i="2"/>
  <c r="M3" i="2" a="1"/>
  <c r="M3" i="2"/>
  <c r="AI128" i="2"/>
  <c r="AI123" i="2"/>
  <c r="AI121" i="2"/>
  <c r="AI120" i="2"/>
  <c r="AI119" i="2"/>
  <c r="AI118" i="2"/>
  <c r="AI116" i="2"/>
  <c r="AI115" i="2"/>
  <c r="AI114" i="2"/>
  <c r="AI113" i="2"/>
  <c r="AI108" i="2"/>
  <c r="AI104" i="2"/>
  <c r="AI99" i="2"/>
  <c r="AI98" i="2"/>
  <c r="AI97" i="2"/>
  <c r="AI96" i="2"/>
  <c r="AI95" i="2"/>
  <c r="AI91" i="2"/>
  <c r="AI90" i="2"/>
  <c r="AI88" i="2"/>
  <c r="AI87" i="2"/>
  <c r="AI86" i="2"/>
  <c r="AI80" i="2"/>
  <c r="AI77" i="2"/>
  <c r="AI70" i="2"/>
  <c r="AI67" i="2"/>
  <c r="AI64" i="2"/>
  <c r="AI63" i="2"/>
  <c r="AI62" i="2"/>
  <c r="AI59" i="2"/>
  <c r="AI57" i="2"/>
  <c r="AI55" i="2"/>
  <c r="AI54" i="2"/>
  <c r="AI52" i="2"/>
  <c r="AI51" i="2"/>
  <c r="AI47" i="2"/>
  <c r="AI45" i="2"/>
  <c r="AI39" i="2"/>
  <c r="AI37" i="2"/>
  <c r="AI30" i="2"/>
  <c r="AI26" i="2"/>
  <c r="AI22" i="2"/>
  <c r="AI19" i="2"/>
  <c r="AI18" i="2"/>
  <c r="AI8" i="2"/>
  <c r="AH128" i="2"/>
  <c r="AH123" i="2"/>
  <c r="AH121" i="2"/>
  <c r="AH120" i="2"/>
  <c r="AH119" i="2"/>
  <c r="AH118" i="2"/>
  <c r="AH116" i="2"/>
  <c r="AH115" i="2"/>
  <c r="AH114" i="2"/>
  <c r="AH113" i="2"/>
  <c r="AH108" i="2"/>
  <c r="AH104" i="2"/>
  <c r="AH99" i="2"/>
  <c r="AH98" i="2"/>
  <c r="AH97" i="2"/>
  <c r="AH96" i="2"/>
  <c r="AH95" i="2"/>
  <c r="AH91" i="2"/>
  <c r="AH90" i="2"/>
  <c r="AH88" i="2"/>
  <c r="AH87" i="2"/>
  <c r="AH86" i="2"/>
  <c r="AH80" i="2"/>
  <c r="AH77" i="2"/>
  <c r="AH70" i="2"/>
  <c r="AH67" i="2"/>
  <c r="AH64" i="2"/>
  <c r="AH63" i="2"/>
  <c r="AH62" i="2"/>
  <c r="AH59" i="2"/>
  <c r="AH57" i="2"/>
  <c r="AH55" i="2"/>
  <c r="AH54" i="2"/>
  <c r="AH52" i="2"/>
  <c r="AH51" i="2"/>
  <c r="AH47" i="2"/>
  <c r="AH45" i="2"/>
  <c r="AH39" i="2"/>
  <c r="AH37" i="2"/>
  <c r="AH30" i="2"/>
  <c r="AH26" i="2"/>
  <c r="AH22" i="2"/>
  <c r="AH19" i="2"/>
  <c r="AH18" i="2"/>
  <c r="AH8" i="2"/>
  <c r="AI72" i="2"/>
  <c r="AH72" i="2"/>
  <c r="AI69" i="2"/>
  <c r="AH69" i="2"/>
  <c r="AI68" i="2"/>
  <c r="AH68" i="2"/>
  <c r="AI65" i="2"/>
  <c r="AH65" i="2"/>
  <c r="AI53" i="2"/>
  <c r="AH53" i="2"/>
  <c r="AI48" i="2"/>
  <c r="AH48" i="2"/>
  <c r="AI46" i="2"/>
  <c r="AH46" i="2"/>
  <c r="AI44" i="2"/>
  <c r="AH44" i="2"/>
  <c r="AI40" i="2"/>
  <c r="AH40" i="2"/>
  <c r="AI36" i="2"/>
  <c r="AH36" i="2"/>
  <c r="AI35" i="2"/>
  <c r="AH35" i="2"/>
  <c r="AI29" i="2"/>
  <c r="AH29" i="2"/>
  <c r="AI16" i="2"/>
  <c r="AH16" i="2"/>
  <c r="AI13" i="2"/>
  <c r="AH13" i="2"/>
  <c r="AI12" i="2"/>
  <c r="AH12" i="2"/>
  <c r="AI11" i="2"/>
  <c r="AH11" i="2"/>
  <c r="A3" i="4" a="1"/>
  <c r="A3" i="4"/>
  <c r="D37" i="1" s="1"/>
  <c r="J3" i="2"/>
  <c r="L3" i="2" a="1"/>
  <c r="L3" i="2"/>
  <c r="I3" i="2" a="1"/>
  <c r="I3" i="2"/>
  <c r="K6" i="5" a="1"/>
  <c r="K6" i="5"/>
  <c r="N110" i="2" a="1"/>
  <c r="N110" i="2" s="1"/>
  <c r="O110" i="2" s="1" a="1"/>
  <c r="O110" i="2" s="1"/>
  <c r="L110" i="2" a="1"/>
  <c r="L110" i="2" s="1"/>
  <c r="M110" i="2" s="1" a="1"/>
  <c r="M110" i="2" s="1"/>
  <c r="J110" i="2"/>
  <c r="I110" i="2" a="1"/>
  <c r="I110" i="2" s="1"/>
  <c r="N109" i="2" a="1"/>
  <c r="N109" i="2" s="1"/>
  <c r="O109" i="2" s="1" a="1"/>
  <c r="O109" i="2" s="1"/>
  <c r="L109" i="2" a="1"/>
  <c r="L109" i="2" s="1"/>
  <c r="M109" i="2" s="1" a="1"/>
  <c r="M109" i="2" s="1"/>
  <c r="J109" i="2"/>
  <c r="I109" i="2" a="1"/>
  <c r="I109" i="2" s="1"/>
  <c r="N108" i="2" a="1"/>
  <c r="N108" i="2" s="1"/>
  <c r="O108" i="2" s="1" a="1"/>
  <c r="O108" i="2" s="1"/>
  <c r="L108" i="2" a="1"/>
  <c r="L108" i="2" s="1"/>
  <c r="M108" i="2" s="1" a="1"/>
  <c r="M108" i="2" s="1"/>
  <c r="J108" i="2"/>
  <c r="I108" i="2" a="1"/>
  <c r="I108" i="2" s="1"/>
  <c r="N107" i="2" a="1"/>
  <c r="N107" i="2" s="1"/>
  <c r="O107" i="2" s="1" a="1"/>
  <c r="O107" i="2" s="1"/>
  <c r="L107" i="2" a="1"/>
  <c r="L107" i="2" s="1"/>
  <c r="M107" i="2" s="1" a="1"/>
  <c r="M107" i="2" s="1"/>
  <c r="J107" i="2"/>
  <c r="I107" i="2" a="1"/>
  <c r="I107" i="2" s="1"/>
  <c r="N106" i="2" a="1"/>
  <c r="N106" i="2" s="1"/>
  <c r="O106" i="2" s="1" a="1"/>
  <c r="O106" i="2" s="1"/>
  <c r="L106" i="2" a="1"/>
  <c r="L106" i="2" s="1"/>
  <c r="M106" i="2" s="1" a="1"/>
  <c r="M106" i="2" s="1"/>
  <c r="J106" i="2"/>
  <c r="I106" i="2" a="1"/>
  <c r="I106" i="2" s="1"/>
  <c r="N105" i="2" a="1"/>
  <c r="N105" i="2" s="1"/>
  <c r="O105" i="2" s="1" a="1"/>
  <c r="O105" i="2" s="1"/>
  <c r="L105" i="2" a="1"/>
  <c r="L105" i="2" s="1"/>
  <c r="M105" i="2" s="1" a="1"/>
  <c r="M105" i="2" s="1"/>
  <c r="J105" i="2"/>
  <c r="I105" i="2" a="1"/>
  <c r="I105" i="2" s="1"/>
  <c r="N104" i="2" a="1"/>
  <c r="N104" i="2" s="1"/>
  <c r="O104" i="2" s="1" a="1"/>
  <c r="O104" i="2" s="1"/>
  <c r="L104" i="2" a="1"/>
  <c r="L104" i="2" s="1"/>
  <c r="M104" i="2" s="1" a="1"/>
  <c r="M104" i="2" s="1"/>
  <c r="J104" i="2"/>
  <c r="I104" i="2" a="1"/>
  <c r="I104" i="2" s="1"/>
  <c r="N103" i="2" a="1"/>
  <c r="N103" i="2" s="1"/>
  <c r="O103" i="2" s="1" a="1"/>
  <c r="O103" i="2" s="1"/>
  <c r="L103" i="2" a="1"/>
  <c r="L103" i="2" s="1"/>
  <c r="M103" i="2" s="1" a="1"/>
  <c r="M103" i="2" s="1"/>
  <c r="J103" i="2"/>
  <c r="I103" i="2" a="1"/>
  <c r="I103" i="2" s="1"/>
  <c r="N102" i="2" a="1"/>
  <c r="N102" i="2" s="1"/>
  <c r="O102" i="2" s="1" a="1"/>
  <c r="O102" i="2" s="1"/>
  <c r="L102" i="2" a="1"/>
  <c r="L102" i="2" s="1"/>
  <c r="M102" i="2" s="1" a="1"/>
  <c r="M102" i="2" s="1"/>
  <c r="J102" i="2"/>
  <c r="I102" i="2" a="1"/>
  <c r="I102" i="2" s="1"/>
  <c r="N101" i="2" a="1"/>
  <c r="N101" i="2" s="1"/>
  <c r="O101" i="2" s="1" a="1"/>
  <c r="O101" i="2" s="1"/>
  <c r="L101" i="2" a="1"/>
  <c r="L101" i="2" s="1"/>
  <c r="M101" i="2" s="1" a="1"/>
  <c r="M101" i="2" s="1"/>
  <c r="J101" i="2"/>
  <c r="I101" i="2" a="1"/>
  <c r="I101" i="2" s="1"/>
  <c r="N100" i="2" a="1"/>
  <c r="N100" i="2" s="1"/>
  <c r="O100" i="2" s="1" a="1"/>
  <c r="O100" i="2" s="1"/>
  <c r="L100" i="2" a="1"/>
  <c r="L100" i="2" s="1"/>
  <c r="M100" i="2" s="1" a="1"/>
  <c r="M100" i="2" s="1"/>
  <c r="J100" i="2"/>
  <c r="I100" i="2" a="1"/>
  <c r="I100" i="2" s="1"/>
  <c r="N99" i="2" a="1"/>
  <c r="N99" i="2" s="1"/>
  <c r="O99" i="2" s="1" a="1"/>
  <c r="O99" i="2" s="1"/>
  <c r="L99" i="2" a="1"/>
  <c r="L99" i="2" s="1"/>
  <c r="M99" i="2" s="1" a="1"/>
  <c r="M99" i="2" s="1"/>
  <c r="J99" i="2"/>
  <c r="I99" i="2" a="1"/>
  <c r="I99" i="2" s="1"/>
  <c r="N98" i="2" a="1"/>
  <c r="N98" i="2" s="1"/>
  <c r="O98" i="2" s="1" a="1"/>
  <c r="O98" i="2" s="1"/>
  <c r="L98" i="2" a="1"/>
  <c r="L98" i="2" s="1"/>
  <c r="M98" i="2" s="1" a="1"/>
  <c r="M98" i="2" s="1"/>
  <c r="J98" i="2"/>
  <c r="I98" i="2" a="1"/>
  <c r="I98" i="2" s="1"/>
  <c r="N97" i="2" a="1"/>
  <c r="N97" i="2" s="1"/>
  <c r="O97" i="2" s="1" a="1"/>
  <c r="O97" i="2" s="1"/>
  <c r="L97" i="2" a="1"/>
  <c r="L97" i="2" s="1"/>
  <c r="M97" i="2" s="1" a="1"/>
  <c r="M97" i="2" s="1"/>
  <c r="J97" i="2"/>
  <c r="I97" i="2" a="1"/>
  <c r="I97" i="2" s="1"/>
  <c r="N96" i="2" a="1"/>
  <c r="N96" i="2" s="1"/>
  <c r="O96" i="2" s="1" a="1"/>
  <c r="O96" i="2" s="1"/>
  <c r="L96" i="2" a="1"/>
  <c r="L96" i="2" s="1"/>
  <c r="M96" i="2" s="1" a="1"/>
  <c r="M96" i="2" s="1"/>
  <c r="J96" i="2"/>
  <c r="I96" i="2" a="1"/>
  <c r="I96" i="2" s="1"/>
  <c r="N95" i="2" a="1"/>
  <c r="N95" i="2" s="1"/>
  <c r="O95" i="2" s="1" a="1"/>
  <c r="O95" i="2" s="1"/>
  <c r="L95" i="2" a="1"/>
  <c r="L95" i="2" s="1"/>
  <c r="M95" i="2" s="1" a="1"/>
  <c r="M95" i="2" s="1"/>
  <c r="J95" i="2"/>
  <c r="I95" i="2" a="1"/>
  <c r="I95" i="2" s="1"/>
  <c r="N94" i="2" a="1"/>
  <c r="N94" i="2" s="1"/>
  <c r="O94" i="2" s="1" a="1"/>
  <c r="O94" i="2" s="1"/>
  <c r="L94" i="2" a="1"/>
  <c r="L94" i="2" s="1"/>
  <c r="M94" i="2" s="1" a="1"/>
  <c r="M94" i="2" s="1"/>
  <c r="J94" i="2"/>
  <c r="I94" i="2" a="1"/>
  <c r="I94" i="2" s="1"/>
  <c r="N93" i="2" a="1"/>
  <c r="N93" i="2" s="1"/>
  <c r="O93" i="2" s="1" a="1"/>
  <c r="O93" i="2" s="1"/>
  <c r="L93" i="2" a="1"/>
  <c r="L93" i="2" s="1"/>
  <c r="M93" i="2" s="1" a="1"/>
  <c r="M93" i="2" s="1"/>
  <c r="J93" i="2"/>
  <c r="I93" i="2" a="1"/>
  <c r="I93" i="2" s="1"/>
  <c r="N92" i="2" a="1"/>
  <c r="N92" i="2" s="1"/>
  <c r="O92" i="2" s="1" a="1"/>
  <c r="O92" i="2" s="1"/>
  <c r="L92" i="2" a="1"/>
  <c r="L92" i="2" s="1"/>
  <c r="M92" i="2" s="1" a="1"/>
  <c r="M92" i="2" s="1"/>
  <c r="J92" i="2"/>
  <c r="I92" i="2" a="1"/>
  <c r="I92" i="2" s="1"/>
  <c r="N91" i="2" a="1"/>
  <c r="N91" i="2" s="1"/>
  <c r="O91" i="2" s="1" a="1"/>
  <c r="O91" i="2" s="1"/>
  <c r="L91" i="2" a="1"/>
  <c r="L91" i="2" s="1"/>
  <c r="M91" i="2" s="1" a="1"/>
  <c r="M91" i="2" s="1"/>
  <c r="J91" i="2"/>
  <c r="I91" i="2" a="1"/>
  <c r="I91" i="2" s="1"/>
  <c r="N90" i="2" a="1"/>
  <c r="N90" i="2" s="1"/>
  <c r="O90" i="2" s="1" a="1"/>
  <c r="O90" i="2" s="1"/>
  <c r="L90" i="2" a="1"/>
  <c r="L90" i="2" s="1"/>
  <c r="M90" i="2" s="1" a="1"/>
  <c r="M90" i="2" s="1"/>
  <c r="J90" i="2"/>
  <c r="I90" i="2" a="1"/>
  <c r="I90" i="2" s="1"/>
  <c r="N89" i="2" a="1"/>
  <c r="N89" i="2" s="1"/>
  <c r="O89" i="2" s="1" a="1"/>
  <c r="O89" i="2" s="1"/>
  <c r="L89" i="2" a="1"/>
  <c r="L89" i="2" s="1"/>
  <c r="M89" i="2" s="1" a="1"/>
  <c r="M89" i="2" s="1"/>
  <c r="J89" i="2"/>
  <c r="I89" i="2" a="1"/>
  <c r="I89" i="2" s="1"/>
  <c r="N88" i="2" a="1"/>
  <c r="N88" i="2" s="1"/>
  <c r="O88" i="2" s="1" a="1"/>
  <c r="O88" i="2" s="1"/>
  <c r="L88" i="2" a="1"/>
  <c r="L88" i="2" s="1"/>
  <c r="M88" i="2" s="1" a="1"/>
  <c r="M88" i="2" s="1"/>
  <c r="J88" i="2"/>
  <c r="I88" i="2" a="1"/>
  <c r="I88" i="2" s="1"/>
  <c r="N87" i="2" a="1"/>
  <c r="N87" i="2" s="1"/>
  <c r="O87" i="2" s="1" a="1"/>
  <c r="O87" i="2" s="1"/>
  <c r="L87" i="2" a="1"/>
  <c r="L87" i="2" s="1"/>
  <c r="M87" i="2" s="1" a="1"/>
  <c r="M87" i="2" s="1"/>
  <c r="J87" i="2"/>
  <c r="I87" i="2" a="1"/>
  <c r="I87" i="2" s="1"/>
  <c r="N86" i="2" a="1"/>
  <c r="N86" i="2" s="1"/>
  <c r="O86" i="2" s="1" a="1"/>
  <c r="O86" i="2" s="1"/>
  <c r="L86" i="2" a="1"/>
  <c r="L86" i="2" s="1"/>
  <c r="M86" i="2" s="1" a="1"/>
  <c r="M86" i="2" s="1"/>
  <c r="J86" i="2"/>
  <c r="I86" i="2" a="1"/>
  <c r="I86" i="2" s="1"/>
  <c r="N85" i="2" a="1"/>
  <c r="N85" i="2" s="1"/>
  <c r="O85" i="2" s="1" a="1"/>
  <c r="O85" i="2" s="1"/>
  <c r="L85" i="2" a="1"/>
  <c r="L85" i="2" s="1"/>
  <c r="M85" i="2" s="1" a="1"/>
  <c r="M85" i="2" s="1"/>
  <c r="J85" i="2"/>
  <c r="I85" i="2" a="1"/>
  <c r="I85" i="2" s="1"/>
  <c r="N84" i="2" a="1"/>
  <c r="N84" i="2" s="1"/>
  <c r="O84" i="2" s="1" a="1"/>
  <c r="O84" i="2" s="1"/>
  <c r="L84" i="2" a="1"/>
  <c r="L84" i="2" s="1"/>
  <c r="M84" i="2" s="1" a="1"/>
  <c r="M84" i="2" s="1"/>
  <c r="J84" i="2"/>
  <c r="I84" i="2" a="1"/>
  <c r="I84" i="2" s="1"/>
  <c r="N83" i="2" a="1"/>
  <c r="N83" i="2" s="1"/>
  <c r="O83" i="2" s="1" a="1"/>
  <c r="O83" i="2" s="1"/>
  <c r="L83" i="2" a="1"/>
  <c r="L83" i="2" s="1"/>
  <c r="M83" i="2" s="1" a="1"/>
  <c r="M83" i="2" s="1"/>
  <c r="J83" i="2"/>
  <c r="I83" i="2" a="1"/>
  <c r="I83" i="2" s="1"/>
  <c r="N82" i="2" a="1"/>
  <c r="N82" i="2" s="1"/>
  <c r="O82" i="2" s="1" a="1"/>
  <c r="O82" i="2" s="1"/>
  <c r="L82" i="2" a="1"/>
  <c r="L82" i="2" s="1"/>
  <c r="M82" i="2" s="1" a="1"/>
  <c r="M82" i="2" s="1"/>
  <c r="J82" i="2"/>
  <c r="I82" i="2" a="1"/>
  <c r="I82" i="2" s="1"/>
  <c r="N81" i="2" a="1"/>
  <c r="N81" i="2" s="1"/>
  <c r="O81" i="2" s="1" a="1"/>
  <c r="O81" i="2" s="1"/>
  <c r="L81" i="2" a="1"/>
  <c r="L81" i="2" s="1"/>
  <c r="M81" i="2" s="1" a="1"/>
  <c r="M81" i="2" s="1"/>
  <c r="J81" i="2"/>
  <c r="I81" i="2" a="1"/>
  <c r="I81" i="2" s="1"/>
  <c r="N80" i="2" a="1"/>
  <c r="N80" i="2" s="1"/>
  <c r="O80" i="2" s="1" a="1"/>
  <c r="O80" i="2" s="1"/>
  <c r="L80" i="2" a="1"/>
  <c r="L80" i="2" s="1"/>
  <c r="M80" i="2" s="1" a="1"/>
  <c r="M80" i="2" s="1"/>
  <c r="J80" i="2"/>
  <c r="I80" i="2" a="1"/>
  <c r="I80" i="2" s="1"/>
  <c r="N79" i="2" a="1"/>
  <c r="N79" i="2" s="1"/>
  <c r="O79" i="2" s="1" a="1"/>
  <c r="O79" i="2" s="1"/>
  <c r="L79" i="2" a="1"/>
  <c r="L79" i="2" s="1"/>
  <c r="M79" i="2" s="1" a="1"/>
  <c r="M79" i="2" s="1"/>
  <c r="J79" i="2"/>
  <c r="I79" i="2" a="1"/>
  <c r="I79" i="2" s="1"/>
  <c r="N78" i="2" a="1"/>
  <c r="N78" i="2" s="1"/>
  <c r="O78" i="2" s="1" a="1"/>
  <c r="O78" i="2" s="1"/>
  <c r="L78" i="2" a="1"/>
  <c r="L78" i="2" s="1"/>
  <c r="M78" i="2" s="1" a="1"/>
  <c r="M78" i="2" s="1"/>
  <c r="J78" i="2"/>
  <c r="I78" i="2" a="1"/>
  <c r="I78" i="2" s="1"/>
  <c r="N77" i="2" a="1"/>
  <c r="N77" i="2" s="1"/>
  <c r="O77" i="2" s="1" a="1"/>
  <c r="O77" i="2" s="1"/>
  <c r="L77" i="2" a="1"/>
  <c r="L77" i="2" s="1"/>
  <c r="M77" i="2" s="1" a="1"/>
  <c r="M77" i="2" s="1"/>
  <c r="J77" i="2"/>
  <c r="I77" i="2" a="1"/>
  <c r="I77" i="2" s="1"/>
  <c r="N76" i="2" a="1"/>
  <c r="N76" i="2" s="1"/>
  <c r="O76" i="2" s="1" a="1"/>
  <c r="O76" i="2" s="1"/>
  <c r="L76" i="2" a="1"/>
  <c r="L76" i="2" s="1"/>
  <c r="M76" i="2" s="1" a="1"/>
  <c r="M76" i="2" s="1"/>
  <c r="J76" i="2"/>
  <c r="I76" i="2" a="1"/>
  <c r="I76" i="2" s="1"/>
  <c r="N75" i="2" a="1"/>
  <c r="N75" i="2" s="1"/>
  <c r="O75" i="2" s="1" a="1"/>
  <c r="O75" i="2" s="1"/>
  <c r="L75" i="2" a="1"/>
  <c r="L75" i="2" s="1"/>
  <c r="M75" i="2" s="1" a="1"/>
  <c r="M75" i="2" s="1"/>
  <c r="J75" i="2"/>
  <c r="I75" i="2" a="1"/>
  <c r="I75" i="2" s="1"/>
  <c r="N74" i="2" a="1"/>
  <c r="N74" i="2" s="1"/>
  <c r="O74" i="2" s="1" a="1"/>
  <c r="O74" i="2" s="1"/>
  <c r="L74" i="2" a="1"/>
  <c r="L74" i="2" s="1"/>
  <c r="M74" i="2" s="1" a="1"/>
  <c r="M74" i="2" s="1"/>
  <c r="J74" i="2"/>
  <c r="I74" i="2" a="1"/>
  <c r="I74" i="2" s="1"/>
  <c r="N73" i="2" a="1"/>
  <c r="N73" i="2" s="1"/>
  <c r="O73" i="2" s="1" a="1"/>
  <c r="O73" i="2" s="1"/>
  <c r="L73" i="2" a="1"/>
  <c r="L73" i="2" s="1"/>
  <c r="M73" i="2" s="1" a="1"/>
  <c r="M73" i="2" s="1"/>
  <c r="J73" i="2"/>
  <c r="I73" i="2" a="1"/>
  <c r="I73" i="2" s="1"/>
  <c r="N72" i="2" a="1"/>
  <c r="N72" i="2" s="1"/>
  <c r="O72" i="2" s="1" a="1"/>
  <c r="O72" i="2" s="1"/>
  <c r="L72" i="2" a="1"/>
  <c r="L72" i="2" s="1"/>
  <c r="M72" i="2" s="1" a="1"/>
  <c r="M72" i="2" s="1"/>
  <c r="J72" i="2"/>
  <c r="I72" i="2" a="1"/>
  <c r="I72" i="2" s="1"/>
  <c r="N71" i="2" a="1"/>
  <c r="N71" i="2" s="1"/>
  <c r="O71" i="2" s="1" a="1"/>
  <c r="O71" i="2" s="1"/>
  <c r="L71" i="2" a="1"/>
  <c r="L71" i="2" s="1"/>
  <c r="M71" i="2" s="1" a="1"/>
  <c r="M71" i="2" s="1"/>
  <c r="J71" i="2"/>
  <c r="I71" i="2" a="1"/>
  <c r="I71" i="2" s="1"/>
  <c r="N70" i="2" a="1"/>
  <c r="N70" i="2" s="1"/>
  <c r="O70" i="2" s="1" a="1"/>
  <c r="O70" i="2" s="1"/>
  <c r="L70" i="2" a="1"/>
  <c r="L70" i="2" s="1"/>
  <c r="M70" i="2" s="1" a="1"/>
  <c r="M70" i="2" s="1"/>
  <c r="J70" i="2"/>
  <c r="I70" i="2" a="1"/>
  <c r="I70" i="2" s="1"/>
  <c r="N69" i="2" a="1"/>
  <c r="N69" i="2" s="1"/>
  <c r="O69" i="2" s="1" a="1"/>
  <c r="O69" i="2" s="1"/>
  <c r="L69" i="2" a="1"/>
  <c r="L69" i="2" s="1"/>
  <c r="M69" i="2" s="1" a="1"/>
  <c r="M69" i="2" s="1"/>
  <c r="J69" i="2"/>
  <c r="I69" i="2" a="1"/>
  <c r="I69" i="2" s="1"/>
  <c r="N68" i="2" a="1"/>
  <c r="N68" i="2" s="1"/>
  <c r="O68" i="2" s="1" a="1"/>
  <c r="O68" i="2" s="1"/>
  <c r="L68" i="2" a="1"/>
  <c r="L68" i="2" s="1"/>
  <c r="M68" i="2" s="1" a="1"/>
  <c r="M68" i="2" s="1"/>
  <c r="J68" i="2"/>
  <c r="I68" i="2" a="1"/>
  <c r="I68" i="2" s="1"/>
  <c r="N67" i="2" a="1"/>
  <c r="N67" i="2" s="1"/>
  <c r="O67" i="2" s="1" a="1"/>
  <c r="O67" i="2" s="1"/>
  <c r="L67" i="2" a="1"/>
  <c r="L67" i="2" s="1"/>
  <c r="M67" i="2" s="1" a="1"/>
  <c r="M67" i="2" s="1"/>
  <c r="J67" i="2"/>
  <c r="I67" i="2" a="1"/>
  <c r="I67" i="2" s="1"/>
  <c r="N66" i="2" a="1"/>
  <c r="N66" i="2" s="1"/>
  <c r="O66" i="2" s="1" a="1"/>
  <c r="O66" i="2" s="1"/>
  <c r="L66" i="2" a="1"/>
  <c r="L66" i="2" s="1"/>
  <c r="M66" i="2" s="1" a="1"/>
  <c r="M66" i="2" s="1"/>
  <c r="J66" i="2"/>
  <c r="I66" i="2" a="1"/>
  <c r="I66" i="2" s="1"/>
  <c r="N65" i="2" a="1"/>
  <c r="N65" i="2" s="1"/>
  <c r="O65" i="2" s="1" a="1"/>
  <c r="O65" i="2" s="1"/>
  <c r="L65" i="2" a="1"/>
  <c r="L65" i="2" s="1"/>
  <c r="M65" i="2" s="1" a="1"/>
  <c r="M65" i="2" s="1"/>
  <c r="J65" i="2"/>
  <c r="I65" i="2" a="1"/>
  <c r="I65" i="2" s="1"/>
  <c r="N64" i="2" a="1"/>
  <c r="N64" i="2" s="1"/>
  <c r="O64" i="2" s="1" a="1"/>
  <c r="O64" i="2" s="1"/>
  <c r="L64" i="2" a="1"/>
  <c r="L64" i="2" s="1"/>
  <c r="M64" i="2" s="1" a="1"/>
  <c r="M64" i="2" s="1"/>
  <c r="J64" i="2"/>
  <c r="I64" i="2" a="1"/>
  <c r="I64" i="2" s="1"/>
  <c r="N63" i="2" a="1"/>
  <c r="N63" i="2" s="1"/>
  <c r="O63" i="2" s="1" a="1"/>
  <c r="O63" i="2" s="1"/>
  <c r="L63" i="2" a="1"/>
  <c r="L63" i="2" s="1"/>
  <c r="M63" i="2" s="1" a="1"/>
  <c r="M63" i="2" s="1"/>
  <c r="J63" i="2"/>
  <c r="I63" i="2" a="1"/>
  <c r="I63" i="2" s="1"/>
  <c r="N62" i="2" a="1"/>
  <c r="N62" i="2" s="1"/>
  <c r="O62" i="2" s="1" a="1"/>
  <c r="O62" i="2" s="1"/>
  <c r="L62" i="2" a="1"/>
  <c r="L62" i="2" s="1"/>
  <c r="M62" i="2" s="1" a="1"/>
  <c r="M62" i="2" s="1"/>
  <c r="J62" i="2"/>
  <c r="I62" i="2" a="1"/>
  <c r="I62" i="2" s="1"/>
  <c r="N61" i="2" a="1"/>
  <c r="N61" i="2" s="1"/>
  <c r="O61" i="2" s="1" a="1"/>
  <c r="O61" i="2" s="1"/>
  <c r="L61" i="2" a="1"/>
  <c r="L61" i="2" s="1"/>
  <c r="M61" i="2" s="1" a="1"/>
  <c r="M61" i="2" s="1"/>
  <c r="J61" i="2"/>
  <c r="I61" i="2" a="1"/>
  <c r="I61" i="2" s="1"/>
  <c r="N60" i="2" a="1"/>
  <c r="N60" i="2" s="1"/>
  <c r="O60" i="2" s="1" a="1"/>
  <c r="O60" i="2" s="1"/>
  <c r="L60" i="2" a="1"/>
  <c r="L60" i="2" s="1"/>
  <c r="M60" i="2" s="1" a="1"/>
  <c r="M60" i="2" s="1"/>
  <c r="J60" i="2"/>
  <c r="I60" i="2" a="1"/>
  <c r="I60" i="2" s="1"/>
  <c r="N59" i="2" a="1"/>
  <c r="N59" i="2" s="1"/>
  <c r="O59" i="2" s="1" a="1"/>
  <c r="O59" i="2" s="1"/>
  <c r="L59" i="2" a="1"/>
  <c r="L59" i="2" s="1"/>
  <c r="M59" i="2" s="1" a="1"/>
  <c r="M59" i="2" s="1"/>
  <c r="J59" i="2"/>
  <c r="I59" i="2" a="1"/>
  <c r="I59" i="2" s="1"/>
  <c r="N58" i="2" a="1"/>
  <c r="N58" i="2" s="1"/>
  <c r="O58" i="2" s="1" a="1"/>
  <c r="O58" i="2" s="1"/>
  <c r="L58" i="2" a="1"/>
  <c r="L58" i="2" s="1"/>
  <c r="M58" i="2" s="1" a="1"/>
  <c r="M58" i="2" s="1"/>
  <c r="J58" i="2"/>
  <c r="I58" i="2" a="1"/>
  <c r="I58" i="2" s="1"/>
  <c r="N57" i="2" a="1"/>
  <c r="N57" i="2" s="1"/>
  <c r="O57" i="2" s="1" a="1"/>
  <c r="O57" i="2" s="1"/>
  <c r="L57" i="2" a="1"/>
  <c r="L57" i="2" s="1"/>
  <c r="M57" i="2" s="1" a="1"/>
  <c r="M57" i="2" s="1"/>
  <c r="J57" i="2"/>
  <c r="I57" i="2" a="1"/>
  <c r="I57" i="2" s="1"/>
  <c r="N56" i="2" a="1"/>
  <c r="N56" i="2" s="1"/>
  <c r="O56" i="2" s="1" a="1"/>
  <c r="O56" i="2" s="1"/>
  <c r="L56" i="2" a="1"/>
  <c r="L56" i="2" s="1"/>
  <c r="M56" i="2" s="1" a="1"/>
  <c r="M56" i="2" s="1"/>
  <c r="J56" i="2"/>
  <c r="I56" i="2" a="1"/>
  <c r="I56" i="2" s="1"/>
  <c r="N55" i="2" a="1"/>
  <c r="N55" i="2" s="1"/>
  <c r="O55" i="2" s="1" a="1"/>
  <c r="O55" i="2" s="1"/>
  <c r="L55" i="2" a="1"/>
  <c r="L55" i="2" s="1"/>
  <c r="M55" i="2" s="1" a="1"/>
  <c r="M55" i="2" s="1"/>
  <c r="J55" i="2"/>
  <c r="I55" i="2" a="1"/>
  <c r="I55" i="2" s="1"/>
  <c r="N54" i="2" a="1"/>
  <c r="N54" i="2" s="1"/>
  <c r="O54" i="2" s="1" a="1"/>
  <c r="O54" i="2" s="1"/>
  <c r="L54" i="2" a="1"/>
  <c r="L54" i="2" s="1"/>
  <c r="M54" i="2" s="1" a="1"/>
  <c r="M54" i="2" s="1"/>
  <c r="J54" i="2"/>
  <c r="I54" i="2" a="1"/>
  <c r="I54" i="2" s="1"/>
  <c r="N53" i="2" a="1"/>
  <c r="N53" i="2" s="1"/>
  <c r="O53" i="2" s="1" a="1"/>
  <c r="O53" i="2" s="1"/>
  <c r="L53" i="2" a="1"/>
  <c r="L53" i="2" s="1"/>
  <c r="M53" i="2" s="1" a="1"/>
  <c r="M53" i="2" s="1"/>
  <c r="J53" i="2"/>
  <c r="I53" i="2" a="1"/>
  <c r="I53" i="2" s="1"/>
  <c r="N52" i="2" a="1"/>
  <c r="N52" i="2" s="1"/>
  <c r="O52" i="2" s="1" a="1"/>
  <c r="O52" i="2" s="1"/>
  <c r="L52" i="2" a="1"/>
  <c r="L52" i="2" s="1"/>
  <c r="M52" i="2" s="1" a="1"/>
  <c r="M52" i="2" s="1"/>
  <c r="J52" i="2"/>
  <c r="I52" i="2" a="1"/>
  <c r="I52" i="2" s="1"/>
  <c r="N51" i="2" a="1"/>
  <c r="N51" i="2" s="1"/>
  <c r="O51" i="2" s="1" a="1"/>
  <c r="O51" i="2" s="1"/>
  <c r="L51" i="2" a="1"/>
  <c r="L51" i="2" s="1"/>
  <c r="M51" i="2" s="1" a="1"/>
  <c r="M51" i="2" s="1"/>
  <c r="J51" i="2"/>
  <c r="I51" i="2" a="1"/>
  <c r="I51" i="2" s="1"/>
  <c r="N50" i="2" a="1"/>
  <c r="N50" i="2" s="1"/>
  <c r="O50" i="2" s="1" a="1"/>
  <c r="O50" i="2" s="1"/>
  <c r="L50" i="2" a="1"/>
  <c r="L50" i="2" s="1"/>
  <c r="M50" i="2" s="1" a="1"/>
  <c r="M50" i="2" s="1"/>
  <c r="J50" i="2"/>
  <c r="I50" i="2" a="1"/>
  <c r="I50" i="2" s="1"/>
  <c r="N49" i="2" a="1"/>
  <c r="N49" i="2" s="1"/>
  <c r="O49" i="2" s="1" a="1"/>
  <c r="O49" i="2" s="1"/>
  <c r="L49" i="2" a="1"/>
  <c r="L49" i="2" s="1"/>
  <c r="M49" i="2" s="1" a="1"/>
  <c r="M49" i="2" s="1"/>
  <c r="J49" i="2"/>
  <c r="I49" i="2" a="1"/>
  <c r="I49" i="2" s="1"/>
  <c r="N48" i="2" a="1"/>
  <c r="N48" i="2" s="1"/>
  <c r="O48" i="2" s="1" a="1"/>
  <c r="O48" i="2" s="1"/>
  <c r="L48" i="2" a="1"/>
  <c r="L48" i="2" s="1"/>
  <c r="M48" i="2" s="1" a="1"/>
  <c r="M48" i="2" s="1"/>
  <c r="J48" i="2"/>
  <c r="I48" i="2" a="1"/>
  <c r="I48" i="2" s="1"/>
  <c r="N47" i="2" a="1"/>
  <c r="N47" i="2" s="1"/>
  <c r="O47" i="2" s="1" a="1"/>
  <c r="O47" i="2" s="1"/>
  <c r="L47" i="2" a="1"/>
  <c r="L47" i="2" s="1"/>
  <c r="M47" i="2" s="1" a="1"/>
  <c r="M47" i="2" s="1"/>
  <c r="J47" i="2"/>
  <c r="I47" i="2" a="1"/>
  <c r="I47" i="2" s="1"/>
  <c r="N46" i="2" a="1"/>
  <c r="N46" i="2" s="1"/>
  <c r="O46" i="2" s="1" a="1"/>
  <c r="O46" i="2" s="1"/>
  <c r="L46" i="2" a="1"/>
  <c r="L46" i="2" s="1"/>
  <c r="M46" i="2" s="1" a="1"/>
  <c r="M46" i="2" s="1"/>
  <c r="J46" i="2"/>
  <c r="I46" i="2" a="1"/>
  <c r="I46" i="2" s="1"/>
  <c r="N45" i="2" a="1"/>
  <c r="N45" i="2" s="1"/>
  <c r="O45" i="2" s="1" a="1"/>
  <c r="O45" i="2" s="1"/>
  <c r="L45" i="2" a="1"/>
  <c r="L45" i="2" s="1"/>
  <c r="M45" i="2" s="1" a="1"/>
  <c r="M45" i="2" s="1"/>
  <c r="J45" i="2"/>
  <c r="I45" i="2" a="1"/>
  <c r="I45" i="2" s="1"/>
  <c r="N44" i="2" a="1"/>
  <c r="N44" i="2" s="1"/>
  <c r="O44" i="2" s="1" a="1"/>
  <c r="O44" i="2" s="1"/>
  <c r="L44" i="2" a="1"/>
  <c r="L44" i="2" s="1"/>
  <c r="M44" i="2" s="1" a="1"/>
  <c r="M44" i="2" s="1"/>
  <c r="J44" i="2"/>
  <c r="I44" i="2" a="1"/>
  <c r="I44" i="2" s="1"/>
  <c r="N43" i="2" a="1"/>
  <c r="N43" i="2" s="1"/>
  <c r="O43" i="2" s="1" a="1"/>
  <c r="O43" i="2" s="1"/>
  <c r="L43" i="2" a="1"/>
  <c r="L43" i="2" s="1"/>
  <c r="M43" i="2" s="1" a="1"/>
  <c r="M43" i="2" s="1"/>
  <c r="J43" i="2"/>
  <c r="I43" i="2" a="1"/>
  <c r="I43" i="2" s="1"/>
  <c r="N42" i="2" a="1"/>
  <c r="N42" i="2" s="1"/>
  <c r="O42" i="2" s="1" a="1"/>
  <c r="O42" i="2" s="1"/>
  <c r="L42" i="2" a="1"/>
  <c r="L42" i="2" s="1"/>
  <c r="M42" i="2" s="1" a="1"/>
  <c r="M42" i="2" s="1"/>
  <c r="J42" i="2"/>
  <c r="I42" i="2" a="1"/>
  <c r="I42" i="2" s="1"/>
  <c r="N41" i="2" a="1"/>
  <c r="N41" i="2" s="1"/>
  <c r="O41" i="2" s="1" a="1"/>
  <c r="O41" i="2" s="1"/>
  <c r="L41" i="2" a="1"/>
  <c r="L41" i="2" s="1"/>
  <c r="M41" i="2" s="1" a="1"/>
  <c r="M41" i="2" s="1"/>
  <c r="J41" i="2"/>
  <c r="I41" i="2" a="1"/>
  <c r="I41" i="2" s="1"/>
  <c r="N40" i="2" a="1"/>
  <c r="N40" i="2" s="1"/>
  <c r="O40" i="2" s="1" a="1"/>
  <c r="O40" i="2" s="1"/>
  <c r="L40" i="2" a="1"/>
  <c r="L40" i="2" s="1"/>
  <c r="M40" i="2" s="1" a="1"/>
  <c r="M40" i="2" s="1"/>
  <c r="J40" i="2"/>
  <c r="I40" i="2" a="1"/>
  <c r="I40" i="2" s="1"/>
  <c r="N39" i="2" a="1"/>
  <c r="N39" i="2" s="1"/>
  <c r="O39" i="2" s="1" a="1"/>
  <c r="O39" i="2" s="1"/>
  <c r="L39" i="2" a="1"/>
  <c r="L39" i="2" s="1"/>
  <c r="M39" i="2" s="1" a="1"/>
  <c r="M39" i="2" s="1"/>
  <c r="J39" i="2"/>
  <c r="I39" i="2" a="1"/>
  <c r="I39" i="2" s="1"/>
  <c r="N38" i="2" a="1"/>
  <c r="N38" i="2" s="1"/>
  <c r="O38" i="2" s="1" a="1"/>
  <c r="O38" i="2" s="1"/>
  <c r="L38" i="2" a="1"/>
  <c r="L38" i="2" s="1"/>
  <c r="M38" i="2" s="1" a="1"/>
  <c r="M38" i="2" s="1"/>
  <c r="J38" i="2"/>
  <c r="I38" i="2" a="1"/>
  <c r="I38" i="2" s="1"/>
  <c r="N37" i="2" a="1"/>
  <c r="N37" i="2" s="1"/>
  <c r="O37" i="2" s="1" a="1"/>
  <c r="O37" i="2" s="1"/>
  <c r="L37" i="2" a="1"/>
  <c r="L37" i="2" s="1"/>
  <c r="M37" i="2" s="1" a="1"/>
  <c r="M37" i="2" s="1"/>
  <c r="J37" i="2"/>
  <c r="I37" i="2" a="1"/>
  <c r="I37" i="2" s="1"/>
  <c r="N36" i="2" a="1"/>
  <c r="N36" i="2" s="1"/>
  <c r="O36" i="2" s="1" a="1"/>
  <c r="O36" i="2" s="1"/>
  <c r="L36" i="2" a="1"/>
  <c r="L36" i="2" s="1"/>
  <c r="M36" i="2" s="1" a="1"/>
  <c r="M36" i="2" s="1"/>
  <c r="J36" i="2"/>
  <c r="I36" i="2" a="1"/>
  <c r="I36" i="2" s="1"/>
  <c r="N35" i="2" a="1"/>
  <c r="N35" i="2" s="1"/>
  <c r="O35" i="2" s="1" a="1"/>
  <c r="O35" i="2" s="1"/>
  <c r="L35" i="2" a="1"/>
  <c r="L35" i="2" s="1"/>
  <c r="M35" i="2" s="1" a="1"/>
  <c r="M35" i="2" s="1"/>
  <c r="J35" i="2"/>
  <c r="I35" i="2" a="1"/>
  <c r="I35" i="2" s="1"/>
  <c r="N34" i="2" a="1"/>
  <c r="N34" i="2" s="1"/>
  <c r="O34" i="2" s="1" a="1"/>
  <c r="O34" i="2" s="1"/>
  <c r="L34" i="2" a="1"/>
  <c r="L34" i="2" s="1"/>
  <c r="M34" i="2" s="1" a="1"/>
  <c r="M34" i="2" s="1"/>
  <c r="J34" i="2"/>
  <c r="I34" i="2" a="1"/>
  <c r="I34" i="2" s="1"/>
  <c r="N33" i="2" a="1"/>
  <c r="N33" i="2" s="1"/>
  <c r="O33" i="2" s="1" a="1"/>
  <c r="O33" i="2" s="1"/>
  <c r="L33" i="2" a="1"/>
  <c r="L33" i="2" s="1"/>
  <c r="M33" i="2" s="1" a="1"/>
  <c r="M33" i="2" s="1"/>
  <c r="J33" i="2"/>
  <c r="I33" i="2" a="1"/>
  <c r="I33" i="2" s="1"/>
  <c r="N32" i="2" a="1"/>
  <c r="N32" i="2" s="1"/>
  <c r="O32" i="2" s="1" a="1"/>
  <c r="O32" i="2" s="1"/>
  <c r="L32" i="2" a="1"/>
  <c r="L32" i="2" s="1"/>
  <c r="M32" i="2" s="1" a="1"/>
  <c r="M32" i="2" s="1"/>
  <c r="J32" i="2"/>
  <c r="I32" i="2" a="1"/>
  <c r="I32" i="2" s="1"/>
  <c r="N31" i="2" a="1"/>
  <c r="N31" i="2" s="1"/>
  <c r="O31" i="2" s="1" a="1"/>
  <c r="O31" i="2" s="1"/>
  <c r="L31" i="2" a="1"/>
  <c r="L31" i="2" s="1"/>
  <c r="M31" i="2" s="1" a="1"/>
  <c r="M31" i="2" s="1"/>
  <c r="J31" i="2"/>
  <c r="I31" i="2" a="1"/>
  <c r="I31" i="2" s="1"/>
  <c r="N30" i="2" a="1"/>
  <c r="N30" i="2" s="1"/>
  <c r="O30" i="2" s="1" a="1"/>
  <c r="O30" i="2" s="1"/>
  <c r="L30" i="2" a="1"/>
  <c r="L30" i="2" s="1"/>
  <c r="M30" i="2" s="1" a="1"/>
  <c r="M30" i="2" s="1"/>
  <c r="J30" i="2"/>
  <c r="I30" i="2" a="1"/>
  <c r="I30" i="2" s="1"/>
  <c r="N29" i="2" a="1"/>
  <c r="N29" i="2" s="1"/>
  <c r="O29" i="2" s="1" a="1"/>
  <c r="O29" i="2" s="1"/>
  <c r="L29" i="2" a="1"/>
  <c r="L29" i="2" s="1"/>
  <c r="M29" i="2" s="1" a="1"/>
  <c r="M29" i="2" s="1"/>
  <c r="J29" i="2"/>
  <c r="I29" i="2" a="1"/>
  <c r="I29" i="2" s="1"/>
  <c r="N28" i="2" a="1"/>
  <c r="N28" i="2" s="1"/>
  <c r="O28" i="2" s="1" a="1"/>
  <c r="O28" i="2" s="1"/>
  <c r="L28" i="2" a="1"/>
  <c r="L28" i="2" s="1"/>
  <c r="M28" i="2" s="1" a="1"/>
  <c r="M28" i="2" s="1"/>
  <c r="J28" i="2"/>
  <c r="I28" i="2" a="1"/>
  <c r="I28" i="2" s="1"/>
  <c r="N27" i="2" a="1"/>
  <c r="N27" i="2" s="1"/>
  <c r="O27" i="2" s="1" a="1"/>
  <c r="O27" i="2" s="1"/>
  <c r="L27" i="2" a="1"/>
  <c r="L27" i="2" s="1"/>
  <c r="M27" i="2" s="1" a="1"/>
  <c r="M27" i="2" s="1"/>
  <c r="J27" i="2"/>
  <c r="I27" i="2" a="1"/>
  <c r="I27" i="2" s="1"/>
  <c r="N26" i="2" a="1"/>
  <c r="N26" i="2" s="1"/>
  <c r="O26" i="2" s="1" a="1"/>
  <c r="O26" i="2" s="1"/>
  <c r="L26" i="2" a="1"/>
  <c r="L26" i="2" s="1"/>
  <c r="M26" i="2" s="1" a="1"/>
  <c r="M26" i="2" s="1"/>
  <c r="J26" i="2"/>
  <c r="I26" i="2" a="1"/>
  <c r="I26" i="2" s="1"/>
  <c r="N25" i="2" a="1"/>
  <c r="N25" i="2" s="1"/>
  <c r="O25" i="2" s="1" a="1"/>
  <c r="O25" i="2" s="1"/>
  <c r="L25" i="2" a="1"/>
  <c r="L25" i="2" s="1"/>
  <c r="M25" i="2" s="1" a="1"/>
  <c r="M25" i="2" s="1"/>
  <c r="J25" i="2"/>
  <c r="I25" i="2" a="1"/>
  <c r="I25" i="2" s="1"/>
  <c r="N24" i="2" a="1"/>
  <c r="N24" i="2" s="1"/>
  <c r="O24" i="2" s="1" a="1"/>
  <c r="O24" i="2" s="1"/>
  <c r="L24" i="2" a="1"/>
  <c r="L24" i="2" s="1"/>
  <c r="M24" i="2" s="1" a="1"/>
  <c r="M24" i="2" s="1"/>
  <c r="J24" i="2"/>
  <c r="I24" i="2" a="1"/>
  <c r="I24" i="2" s="1"/>
  <c r="N23" i="2" a="1"/>
  <c r="N23" i="2" s="1"/>
  <c r="O23" i="2" s="1" a="1"/>
  <c r="O23" i="2" s="1"/>
  <c r="L23" i="2" a="1"/>
  <c r="L23" i="2" s="1"/>
  <c r="M23" i="2" s="1" a="1"/>
  <c r="M23" i="2" s="1"/>
  <c r="J23" i="2"/>
  <c r="I23" i="2" a="1"/>
  <c r="I23" i="2" s="1"/>
  <c r="N22" i="2" a="1"/>
  <c r="N22" i="2" s="1"/>
  <c r="O22" i="2" s="1" a="1"/>
  <c r="O22" i="2" s="1"/>
  <c r="L22" i="2" a="1"/>
  <c r="L22" i="2" s="1"/>
  <c r="M22" i="2" s="1" a="1"/>
  <c r="M22" i="2" s="1"/>
  <c r="J22" i="2"/>
  <c r="I22" i="2" a="1"/>
  <c r="I22" i="2" s="1"/>
  <c r="N21" i="2" a="1"/>
  <c r="N21" i="2" s="1"/>
  <c r="O21" i="2" s="1" a="1"/>
  <c r="O21" i="2" s="1"/>
  <c r="L21" i="2" a="1"/>
  <c r="L21" i="2" s="1"/>
  <c r="M21" i="2" s="1" a="1"/>
  <c r="M21" i="2" s="1"/>
  <c r="J21" i="2"/>
  <c r="I21" i="2" a="1"/>
  <c r="I21" i="2" s="1"/>
  <c r="N20" i="2" a="1"/>
  <c r="N20" i="2" s="1"/>
  <c r="O20" i="2" s="1" a="1"/>
  <c r="O20" i="2" s="1"/>
  <c r="L20" i="2" a="1"/>
  <c r="L20" i="2" s="1"/>
  <c r="M20" i="2" s="1" a="1"/>
  <c r="M20" i="2" s="1"/>
  <c r="J20" i="2"/>
  <c r="I20" i="2" a="1"/>
  <c r="I20" i="2" s="1"/>
  <c r="N19" i="2" a="1"/>
  <c r="N19" i="2" s="1"/>
  <c r="O19" i="2" s="1" a="1"/>
  <c r="O19" i="2" s="1"/>
  <c r="L19" i="2" a="1"/>
  <c r="L19" i="2" s="1"/>
  <c r="M19" i="2" s="1" a="1"/>
  <c r="M19" i="2" s="1"/>
  <c r="J19" i="2"/>
  <c r="I19" i="2" a="1"/>
  <c r="I19" i="2" s="1"/>
  <c r="N18" i="2" a="1"/>
  <c r="N18" i="2" s="1"/>
  <c r="O18" i="2" s="1" a="1"/>
  <c r="O18" i="2" s="1"/>
  <c r="L18" i="2" a="1"/>
  <c r="L18" i="2" s="1"/>
  <c r="M18" i="2" s="1" a="1"/>
  <c r="M18" i="2" s="1"/>
  <c r="J18" i="2"/>
  <c r="I18" i="2" a="1"/>
  <c r="I18" i="2" s="1"/>
  <c r="N17" i="2" a="1"/>
  <c r="N17" i="2" s="1"/>
  <c r="O17" i="2" s="1" a="1"/>
  <c r="O17" i="2" s="1"/>
  <c r="L17" i="2" a="1"/>
  <c r="L17" i="2" s="1"/>
  <c r="M17" i="2" s="1" a="1"/>
  <c r="M17" i="2" s="1"/>
  <c r="J17" i="2"/>
  <c r="I17" i="2" a="1"/>
  <c r="I17" i="2" s="1"/>
  <c r="N16" i="2" a="1"/>
  <c r="N16" i="2" s="1"/>
  <c r="O16" i="2" s="1" a="1"/>
  <c r="O16" i="2" s="1"/>
  <c r="L16" i="2" a="1"/>
  <c r="L16" i="2" s="1"/>
  <c r="M16" i="2" s="1" a="1"/>
  <c r="M16" i="2" s="1"/>
  <c r="J16" i="2"/>
  <c r="I16" i="2" a="1"/>
  <c r="I16" i="2" s="1"/>
  <c r="N15" i="2" a="1"/>
  <c r="N15" i="2" s="1"/>
  <c r="O15" i="2" s="1" a="1"/>
  <c r="O15" i="2" s="1"/>
  <c r="L15" i="2" a="1"/>
  <c r="L15" i="2" s="1"/>
  <c r="M15" i="2" s="1" a="1"/>
  <c r="M15" i="2" s="1"/>
  <c r="J15" i="2"/>
  <c r="I15" i="2" a="1"/>
  <c r="I15" i="2" s="1"/>
  <c r="N14" i="2" a="1"/>
  <c r="N14" i="2" s="1"/>
  <c r="O14" i="2" s="1" a="1"/>
  <c r="O14" i="2" s="1"/>
  <c r="L14" i="2" a="1"/>
  <c r="L14" i="2" s="1"/>
  <c r="M14" i="2" s="1" a="1"/>
  <c r="M14" i="2" s="1"/>
  <c r="J14" i="2"/>
  <c r="I14" i="2" a="1"/>
  <c r="I14" i="2" s="1"/>
  <c r="N13" i="2" a="1"/>
  <c r="N13" i="2" s="1"/>
  <c r="O13" i="2" s="1" a="1"/>
  <c r="O13" i="2" s="1"/>
  <c r="L13" i="2" a="1"/>
  <c r="L13" i="2" s="1"/>
  <c r="M13" i="2" s="1" a="1"/>
  <c r="M13" i="2" s="1"/>
  <c r="J13" i="2"/>
  <c r="I13" i="2" a="1"/>
  <c r="I13" i="2" s="1"/>
  <c r="N12" i="2" a="1"/>
  <c r="N12" i="2" s="1"/>
  <c r="O12" i="2" s="1" a="1"/>
  <c r="O12" i="2" s="1"/>
  <c r="L12" i="2" a="1"/>
  <c r="L12" i="2" s="1"/>
  <c r="M12" i="2" s="1" a="1"/>
  <c r="M12" i="2" s="1"/>
  <c r="J12" i="2"/>
  <c r="I12" i="2" a="1"/>
  <c r="I12" i="2" s="1"/>
  <c r="N11" i="2" a="1"/>
  <c r="N11" i="2" s="1"/>
  <c r="O11" i="2" s="1" a="1"/>
  <c r="O11" i="2" s="1"/>
  <c r="L11" i="2" a="1"/>
  <c r="L11" i="2" s="1"/>
  <c r="M11" i="2" s="1" a="1"/>
  <c r="M11" i="2" s="1"/>
  <c r="J11" i="2"/>
  <c r="I11" i="2" a="1"/>
  <c r="I11" i="2" s="1"/>
  <c r="N10" i="2" a="1"/>
  <c r="N10" i="2" s="1"/>
  <c r="O10" i="2" s="1" a="1"/>
  <c r="O10" i="2" s="1"/>
  <c r="L10" i="2" a="1"/>
  <c r="L10" i="2" s="1"/>
  <c r="M10" i="2" s="1" a="1"/>
  <c r="M10" i="2" s="1"/>
  <c r="J10" i="2"/>
  <c r="I10" i="2" a="1"/>
  <c r="I10" i="2" s="1"/>
  <c r="N9" i="2" a="1"/>
  <c r="N9" i="2" s="1"/>
  <c r="O9" i="2" s="1" a="1"/>
  <c r="O9" i="2" s="1"/>
  <c r="L9" i="2" a="1"/>
  <c r="L9" i="2" s="1"/>
  <c r="M9" i="2" s="1" a="1"/>
  <c r="M9" i="2" s="1"/>
  <c r="J9" i="2"/>
  <c r="I9" i="2" a="1"/>
  <c r="I9" i="2" s="1"/>
  <c r="N8" i="2" a="1"/>
  <c r="N8" i="2" s="1"/>
  <c r="O8" i="2" s="1" a="1"/>
  <c r="O8" i="2" s="1"/>
  <c r="L8" i="2" a="1"/>
  <c r="L8" i="2" s="1"/>
  <c r="M8" i="2" s="1" a="1"/>
  <c r="M8" i="2" s="1"/>
  <c r="J8" i="2"/>
  <c r="I8" i="2" a="1"/>
  <c r="I8" i="2" s="1"/>
  <c r="N7" i="2" a="1"/>
  <c r="N7" i="2" s="1"/>
  <c r="O7" i="2" s="1" a="1"/>
  <c r="O7" i="2" s="1"/>
  <c r="L7" i="2" a="1"/>
  <c r="L7" i="2" s="1"/>
  <c r="M7" i="2" s="1" a="1"/>
  <c r="M7" i="2" s="1"/>
  <c r="J7" i="2"/>
  <c r="I7" i="2" a="1"/>
  <c r="I7" i="2" s="1"/>
  <c r="N6" i="2" a="1"/>
  <c r="N6" i="2" s="1"/>
  <c r="O6" i="2" s="1" a="1"/>
  <c r="O6" i="2" s="1"/>
  <c r="L6" i="2" a="1"/>
  <c r="L6" i="2" s="1"/>
  <c r="M6" i="2" s="1" a="1"/>
  <c r="M6" i="2" s="1"/>
  <c r="J6" i="2"/>
  <c r="I6" i="2" a="1"/>
  <c r="I6" i="2" s="1"/>
  <c r="N5" i="2" a="1"/>
  <c r="N5" i="2" s="1"/>
  <c r="O5" i="2" s="1" a="1"/>
  <c r="O5" i="2" s="1"/>
  <c r="L5" i="2" a="1"/>
  <c r="L5" i="2" s="1"/>
  <c r="M5" i="2" s="1" a="1"/>
  <c r="M5" i="2" s="1"/>
  <c r="J5" i="2"/>
  <c r="I5" i="2" a="1"/>
  <c r="I5" i="2" s="1"/>
  <c r="N4" i="2" a="1"/>
  <c r="N4" i="2" s="1"/>
  <c r="O4" i="2" s="1" a="1"/>
  <c r="O4" i="2" s="1"/>
  <c r="L4" i="2" a="1"/>
  <c r="L4" i="2" s="1"/>
  <c r="M4" i="2" s="1" a="1"/>
  <c r="M4" i="2" s="1"/>
  <c r="J4" i="2"/>
  <c r="I4" i="2" a="1"/>
  <c r="I4" i="2" s="1"/>
  <c r="D24" i="1"/>
  <c r="D21" i="1"/>
  <c r="D20" i="1"/>
  <c r="D53" i="1"/>
  <c r="A3" i="6" a="1"/>
  <c r="A3" i="6"/>
  <c r="D25" i="1"/>
  <c r="D23" i="1"/>
  <c r="D22" i="1"/>
  <c r="D26" i="1"/>
  <c r="E19" i="1"/>
  <c r="D19" i="1"/>
  <c r="D39" i="1" l="1"/>
  <c r="D38" i="1"/>
  <c r="A3" i="3" a="1"/>
  <c r="A3" i="5" a="1"/>
  <c r="A3" i="5" s="1"/>
  <c r="A3" i="7" a="1"/>
  <c r="D45" i="1" s="1"/>
  <c r="D46" i="1"/>
  <c r="D47" i="1" s="1"/>
  <c r="E47" i="1" s="1"/>
  <c r="D40" i="1"/>
  <c r="E38" i="1"/>
  <c r="A3" i="7" l="1"/>
  <c r="D44" i="1" s="1"/>
  <c r="D54" i="1"/>
  <c r="E54" i="1" s="1"/>
  <c r="D51" i="1"/>
  <c r="D52" i="1"/>
  <c r="A3" i="3"/>
  <c r="D30" i="1" s="1"/>
  <c r="D31" i="1"/>
  <c r="E31" i="1" s="1"/>
  <c r="D32" i="1"/>
  <c r="E45" i="1"/>
  <c r="E46" i="1"/>
  <c r="E40" i="1"/>
  <c r="E39" i="1"/>
  <c r="E52" i="1" l="1"/>
  <c r="E53" i="1"/>
  <c r="D33" i="1"/>
  <c r="E33" i="1" s="1"/>
  <c r="E3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futureMetadata>
  <cellMetadata count="1">
    <bk>
      <rc t="1" v="0"/>
    </bk>
  </cellMetadata>
  <valueMetadata count="9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valueMetadata>
</metadata>
</file>

<file path=xl/sharedStrings.xml><?xml version="1.0" encoding="utf-8"?>
<sst xmlns="http://schemas.openxmlformats.org/spreadsheetml/2006/main" count="1090" uniqueCount="346">
  <si>
    <t>ICF FULL Report</t>
  </si>
  <si>
    <t>Report ID</t>
  </si>
  <si>
    <t>CSR_08/04/2026</t>
  </si>
  <si>
    <t>Generated doc</t>
  </si>
  <si>
    <t>AW version</t>
  </si>
  <si>
    <t>Sandbox</t>
  </si>
  <si>
    <t>Clean Ver</t>
  </si>
  <si>
    <t>Generated By</t>
  </si>
  <si>
    <t>Paras</t>
  </si>
  <si>
    <t>Date</t>
  </si>
  <si>
    <t>No. of Pages</t>
  </si>
  <si>
    <t>Remarks</t>
  </si>
  <si>
    <t>Generation Time</t>
  </si>
  <si>
    <t>Destination Template</t>
  </si>
  <si>
    <t>.docx - 2 pages</t>
  </si>
  <si>
    <t>Source Documents</t>
  </si>
  <si>
    <t>Protocol Example (28Sep2023) 1</t>
  </si>
  <si>
    <t>Doc Type</t>
  </si>
  <si>
    <t>.docx</t>
  </si>
  <si>
    <t>.rtf</t>
  </si>
  <si>
    <t>Placeholder Analysis</t>
  </si>
  <si>
    <t>Accuracy Analysis</t>
  </si>
  <si>
    <t>Column1</t>
  </si>
  <si>
    <t>Column2</t>
  </si>
  <si>
    <t>Column3</t>
  </si>
  <si>
    <t>Column4</t>
  </si>
  <si>
    <t>Count</t>
  </si>
  <si>
    <t>Replaced</t>
  </si>
  <si>
    <t>Total Placeholders Identified</t>
  </si>
  <si>
    <t>Unique Placeholders</t>
  </si>
  <si>
    <t>Paragraph Placeholders</t>
  </si>
  <si>
    <t>Inline Placeholders</t>
  </si>
  <si>
    <t>List Placeholders</t>
  </si>
  <si>
    <t>Table Placeholders</t>
  </si>
  <si>
    <t>Multi Tables Placeholders</t>
  </si>
  <si>
    <t>Figure Placeholders</t>
  </si>
  <si>
    <t>Inline placeholders</t>
  </si>
  <si>
    <t>Total Inline placeholders</t>
  </si>
  <si>
    <t>QA/Debugging ↓</t>
  </si>
  <si>
    <t>Inline Replaced</t>
  </si>
  <si>
    <t>Inline Replaced correctly</t>
  </si>
  <si>
    <t>Inline Formatted correctly</t>
  </si>
  <si>
    <t>Paragraph placeholders</t>
  </si>
  <si>
    <t>Total paragraph placeholders</t>
  </si>
  <si>
    <t>Paragraphs Replaced</t>
  </si>
  <si>
    <t>Paragraphs Replaced correctly</t>
  </si>
  <si>
    <t>Paragraphs Formatted correctly</t>
  </si>
  <si>
    <t>KeyValue placeholders</t>
  </si>
  <si>
    <t>KeyValues Replaced</t>
  </si>
  <si>
    <t>KeyValues Replaced correctly</t>
  </si>
  <si>
    <t>keyValues Formatted correctly</t>
  </si>
  <si>
    <t>Table placeholders</t>
  </si>
  <si>
    <t>Total Tables Expected</t>
  </si>
  <si>
    <t>Tables Replaced</t>
  </si>
  <si>
    <t>Tables content replaced correctly</t>
  </si>
  <si>
    <t>Tables Formatted correctly</t>
  </si>
  <si>
    <t>Multi Table placeholders</t>
  </si>
  <si>
    <t>Figure placeholders</t>
  </si>
  <si>
    <t>Table</t>
  </si>
  <si>
    <t>Paragraph</t>
  </si>
  <si>
    <t>Placeholder</t>
  </si>
  <si>
    <t>Placeholder Type</t>
  </si>
  <si>
    <t>Expected Value</t>
  </si>
  <si>
    <t>Source Document</t>
  </si>
  <si>
    <t>Writing instruction</t>
  </si>
  <si>
    <t>AI Replaced Text</t>
  </si>
  <si>
    <t xml:space="preserve">Ai detected Source </t>
  </si>
  <si>
    <t>Matching Accuracy</t>
  </si>
  <si>
    <t>Similarity Score</t>
  </si>
  <si>
    <t>Source Match</t>
  </si>
  <si>
    <t>Expected Rows</t>
  </si>
  <si>
    <t>Expected Colunms</t>
  </si>
  <si>
    <t>Expected Footnote</t>
  </si>
  <si>
    <t>AI replaced Rows</t>
  </si>
  <si>
    <t>AI replaced Colunms</t>
  </si>
  <si>
    <t>AI replaced Footnotes</t>
  </si>
  <si>
    <t>Alignment(yes/no)</t>
  </si>
  <si>
    <t>Number of point</t>
  </si>
  <si>
    <t>AI Number of point</t>
  </si>
  <si>
    <t>Point matching(yes/no)</t>
  </si>
  <si>
    <t>Status(with formula)</t>
  </si>
  <si>
    <t>Status(human)</t>
  </si>
  <si>
    <t>Header Availablity</t>
  </si>
  <si>
    <t>AI Header Availablity</t>
  </si>
  <si>
    <t>Status(True/false)</t>
  </si>
  <si>
    <t>Content matching status</t>
  </si>
  <si>
    <t>&lt;Sponsor Name&gt;</t>
  </si>
  <si>
    <t>KeyValue</t>
  </si>
  <si>
    <t>Stendarr, Inc. </t>
  </si>
  <si>
    <t>Insert the official sponsor name in line with protocol header formatting.</t>
  </si>
  <si>
    <t>Stendarr, Inc.</t>
  </si>
  <si>
    <t>&lt;Protocol Number&gt;</t>
  </si>
  <si>
    <t>SKY-2000-101 </t>
  </si>
  <si>
    <t>Insert the official protocol number in the format used in the source document.</t>
  </si>
  <si>
    <t>SKY-2000-101</t>
  </si>
  <si>
    <t>&lt;Principal Investigator Name&gt;</t>
  </si>
  <si>
    <r>
      <t>Karliah N. Gale, MD</t>
    </r>
    <r>
      <rPr>
        <sz val="11"/>
        <rFont val="Times New Roman"/>
        <charset val="1"/>
      </rPr>
      <t>​</t>
    </r>
    <r>
      <rPr>
        <sz val="12"/>
        <color rgb="FF000000"/>
        <rFont val="Times New Roman"/>
        <charset val="1"/>
      </rPr>
      <t>profe</t>
    </r>
    <r>
      <rPr>
        <sz val="11"/>
        <rFont val="Times New Roman"/>
        <charset val="1"/>
      </rPr>
      <t>​</t>
    </r>
    <r>
      <rPr>
        <sz val="12"/>
        <color rgb="FF000000"/>
        <rFont val="Times New Roman"/>
        <charset val="1"/>
      </rPr>
      <t> </t>
    </r>
  </si>
  <si>
    <t>&lt;IRB Company Name&gt;</t>
  </si>
  <si>
    <t>Insert the IRB company name in a concise, inline format.</t>
  </si>
  <si>
    <t>&lt;Sponsor&gt;</t>
  </si>
  <si>
    <t>Insert the sponsor's name in line with the protocol header formatting.</t>
  </si>
  <si>
    <t>&lt;Full protocol title&gt;</t>
  </si>
  <si>
    <r>
      <t>A First-In-Human, Phase 1, Randomized, Double-Blind, Placebo-Controlled Study to Evaluate the Safety, Tolerability, and Pharmacokinetics of ABC-123 as a Single Dose in Healthy Participants and as Multiple Doses in Participants with Grade 2 </t>
    </r>
    <r>
      <rPr>
        <sz val="12"/>
        <color rgb="FFFFFFFF"/>
        <rFont val="Times New Roman"/>
        <charset val="1"/>
      </rPr>
      <t>Boneitis</t>
    </r>
  </si>
  <si>
    <t>Insert the full protocol title verbatim, maintaining inline continuity.</t>
  </si>
  <si>
    <t>A First-In-Human, Phase 1, Randomized, Double-Blind, Placebo-Controlled Study to Evaluate the Safety, Tolerability, and Pharmacokinetics of ABC-123 as a Single Dose in Healthy Participants and as Multiple Doses in Participants with Grade 2 Boneitis</t>
  </si>
  <si>
    <t>yes</t>
  </si>
  <si>
    <t>&lt;Telephone&gt;</t>
  </si>
  <si>
    <t>555-999-1111 </t>
  </si>
  <si>
    <t>Insert the Principal Investigator's telephone number in standard format after 'Telephone:'.</t>
  </si>
  <si>
    <t>&lt;Address&gt;</t>
  </si>
  <si>
    <r>
      <t> </t>
    </r>
    <r>
      <rPr>
        <sz val="12"/>
        <color rgb="FF000000"/>
        <rFont val="Times New Roman"/>
        <charset val="1"/>
      </rPr>
      <t>123 Fake Street, Anytown, CO, USA 80002</t>
    </r>
  </si>
  <si>
    <t>Insert the registered address in standard mailing format, maintaining inline continuity.</t>
  </si>
  <si>
    <t>123 Fake Street, Anytown, CO, USA 80002</t>
  </si>
  <si>
    <t>&lt;disease&gt;</t>
  </si>
  <si>
    <t>Boneitis</t>
  </si>
  <si>
    <t>&lt;brief lay description of disease&gt;</t>
  </si>
  <si>
    <t>ABC-123 is intended for use in patients with boneitis, a disease that causes bones to change shape or disappear.</t>
  </si>
  <si>
    <t>Provide a brief, clear lay description of boneitis to fit seamlessly within the sentence.</t>
  </si>
  <si>
    <t>a disease that causes bones to change shape or disappear</t>
  </si>
  <si>
    <t>&lt;type of study (eg, first-in-human, Phase 1, Phase 2)&gt;</t>
  </si>
  <si>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t>
  </si>
  <si>
    <t>Provide the study type in concise, inline format (e.g., first-in-human, Phase 1) to maintain paragraph continuity.</t>
  </si>
  <si>
    <t>first-in-human, Phase 1</t>
  </si>
  <si>
    <t>no</t>
  </si>
  <si>
    <t>&lt;XX participants&gt;</t>
  </si>
  <si>
    <t>56 participants</t>
  </si>
  <si>
    <t>Provide the maximum number of participants expected in this study, formatted for inline continuity.</t>
  </si>
  <si>
    <t>up to 28 participants</t>
  </si>
  <si>
    <t>&lt;Brief lay description of study design including purpose/objectives&gt;</t>
  </si>
  <si>
    <t xml:space="preserve">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 
</t>
  </si>
  <si>
    <t>Write a brief lay description of the study design, purpose, and objectives suitable for participant information.</t>
  </si>
  <si>
    <t>&lt;li&gt;This study is designed to test ABC-123, a new therapy, in healthy volunteers and participants with boneitis.&lt;/li&gt;&lt;li&gt;The purpose is to evaluate safety, tolerability, and pharmacodynamic effects of ABC-123.&lt;/li&gt;&lt;li&gt;The study includes a single ascending dose (SAD) portion that is double-blind, randomized, and placebo-controlled.&lt;/li&gt;&lt;liParticipants may help advance treatment options for boneitis and contribute to medical research.&lt;/li&gt;</t>
  </si>
  <si>
    <t xml:space="preserve">Abbreviations: ADA = antidrug antibodies; AE = adverse event. </t>
  </si>
  <si>
    <t>NA</t>
  </si>
  <si>
    <t>&lt;lay terminology for SAD portion of study&gt;</t>
  </si>
  <si>
    <t>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t>
  </si>
  <si>
    <t>Provide a concise lay term for the SAD portion of the study, matching the flow for an inline reference.</t>
  </si>
  <si>
    <t>the single-dose part of the study</t>
  </si>
  <si>
    <t>&lt;XX applicable time unit&gt;</t>
  </si>
  <si>
    <t>5 week</t>
  </si>
  <si>
    <t>Replace the placeholder with the estimated total time commitment (in appropriate units) for study participation.</t>
  </si>
  <si>
    <t>2 to 4 weeks</t>
  </si>
  <si>
    <t>&lt;lay terminology for route of administration of study drug&gt;</t>
  </si>
  <si>
    <t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t>
  </si>
  <si>
    <t>Replace with a lay term for subcutaneous administration of the study drug.</t>
  </si>
  <si>
    <t>shot under the skin</t>
  </si>
  <si>
    <t xml:space="preserve">Abbreviations: FDA = Food and Drug Administration; IMP = investigational medicinal product; NA = not applicable; NIMP = noninvestigational medicinal product. </t>
  </si>
  <si>
    <t>&lt;study drug ID&gt;</t>
  </si>
  <si>
    <t>ABC-123</t>
  </si>
  <si>
    <t>&lt;lay terminology for repeat-dose portion of study&gt;</t>
  </si>
  <si>
    <t>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t>
  </si>
  <si>
    <t>&lt;lay terminology for dosing regimen/duration&gt;</t>
  </si>
  <si>
    <t>Following Check-out from the CRU, all participants will return for Follow-up study visits up to 6 weeks post dosing in the first 3 cohorts and 10 weeks post dosing in the remaining cohorts as shown in the Schedule of Assessments</t>
  </si>
  <si>
    <t>Rewrite the dosing regimen and duration in clear lay terms suitable for an informed consent document.</t>
  </si>
  <si>
    <t>every other week for 3 doses over up to 6 weeks</t>
  </si>
  <si>
    <t>&lt;CRO Name&gt;</t>
  </si>
  <si>
    <t>Insert the disease name treated by the investigational drug, formatted for inline continuity.</t>
  </si>
  <si>
    <t>boneitis</t>
  </si>
  <si>
    <t>Write a brief, layperson-oriented paragraph describing the study design, including its main goals and what will be assessed.</t>
  </si>
  <si>
    <t>This study is being conducted to evaluate the safety and effects of a new investigational drug, ABC-123. It includes both healthy volunteers and participants with boneitis. The study will help researchers learn how the drug works in the body, how safe it is, and how it affects certain health measurements. The results will provide important information for future studies and may help identify the best dose and people who could benefit from ABC-123.</t>
  </si>
  <si>
    <t>&lt;X cohorts (or groups) of X participants&gt;</t>
  </si>
  <si>
    <t>3 cohorts of 56 participants</t>
  </si>
  <si>
    <t>Insert the number of cohorts and participants per cohort for the SAD phase in the format 'X cohorts of X participants'.</t>
  </si>
  <si>
    <t>6 cohorts of 8 participants</t>
  </si>
  <si>
    <t>Abc-123</t>
  </si>
  <si>
    <t>&lt;X mg&gt;</t>
  </si>
  <si>
    <t>600 mg</t>
  </si>
  <si>
    <t>&lt;XXXX-fold&gt;</t>
  </si>
  <si>
    <t>318 fold</t>
  </si>
  <si>
    <t>&lt;lay terminology summarizing design and enrollment plan for Cohort 1 with sentinel participants&gt;</t>
  </si>
  <si>
    <t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t>
  </si>
  <si>
    <t>Summarize the design and enrollment plan for Cohort 1, explaining sentinel dosing in lay language.</t>
  </si>
  <si>
    <t>The first group (Cohort 1) will include 8 participants, with 2 participants (called sentinels) receiving the study drug or placebo first to monitor safety. If no safety concerns are found after 48 hours, the remaining participants in the group will receive their doses.</t>
  </si>
  <si>
    <t>&lt;Day X&gt;</t>
  </si>
  <si>
    <t>7 day</t>
  </si>
  <si>
    <t>Replace &lt;Day X&gt; with the specific number of days post-dose after which cohort data will be reviewed.</t>
  </si>
  <si>
    <t>7 days post-dose</t>
  </si>
  <si>
    <t>&lt;X cohorts of X participants&gt;</t>
  </si>
  <si>
    <t>State the number of cohorts and participants for the repeat-dose portion of the study in the format 'X cohort(s) of X participants.'</t>
  </si>
  <si>
    <t>1 cohort of 8 participants</t>
  </si>
  <si>
    <t>&lt;lay terminology for choice of dose for repeat-dose portion of study based on data from SAD portion of study&gt;</t>
  </si>
  <si>
    <t xml:space="preserve">The repeat-dose portion of the study is a double-blind, randomized, placebo-controlled design in 1 cohort of participants with boneitis. 
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t>
  </si>
  <si>
    <t>Provide a lay summary explaining that the repeat-dose regimen is chosen based on safety, tolerability, and PK data from the SAD portion.</t>
  </si>
  <si>
    <t>was selected based on safety, tolerability, and PK data from the single ascending dose (SAD) portion of the study</t>
  </si>
  <si>
    <t>&lt;insert age eligibility criteria&gt;</t>
  </si>
  <si>
    <t>18 to 65 years</t>
  </si>
  <si>
    <t>Insert the age eligibility criteria for study participants in lay terms.</t>
  </si>
  <si>
    <t>18 to 55 years</t>
  </si>
  <si>
    <t>&lt;Cohorts X – X&gt;</t>
  </si>
  <si>
    <t>Cohorts 1-3</t>
  </si>
  <si>
    <t>&lt;lay summary of duration on study including details/time for screening, screeningthe clinic, follow-up periods&gt;</t>
  </si>
  <si>
    <t xml:space="preserve">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 </t>
  </si>
  <si>
    <t>Write a lay summary of the study schedule for these cohorts, including screening period, dosing regimen, and total study duration.</t>
  </si>
  <si>
    <t>up to 5 weeks for screening, followed by repeat dosing every other week for 3 doses, and up to 15 weeks total from Screening to Follow-up</t>
  </si>
  <si>
    <t>&lt;lay summary of duration on study including details/time for screening, time in the clinic, follow-up periods&gt;</t>
  </si>
  <si>
    <t>&lt;insert disease criteria&gt;</t>
  </si>
  <si>
    <t>List</t>
  </si>
  <si>
    <t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 </t>
  </si>
  <si>
    <t>Insert the specific disease or condition criteria for participant eligibility in this clinical study.</t>
  </si>
  <si>
    <t>boneitis due to lurgi</t>
  </si>
  <si>
    <t>&lt;lay summary of duration on study including details/ time for screening, time in the clinic, follow-up periods&gt;</t>
  </si>
  <si>
    <t>Summarize the total study duration, specifying the time for screening, dosing, and follow-up in a concise lay format.</t>
  </si>
  <si>
    <t>up to 15 weeks, including up to 5 weeks for Screening, dosing every other week for 3 doses, and a Follow-up period</t>
  </si>
  <si>
    <t>&lt;bulleted list of lay terminology summarizing the study exclusion criteria&gt;</t>
  </si>
  <si>
    <t xml:space="preserve">Exclusion Criteria 
History of, or treatment for, rock-joint, including clunge or brain wobbles within 5 years of the Screening visit. 
History of spontaneous combustion. 
Blood pressure &gt;155 mmHg systolic or &gt;95 mmHg diastolic. 
Known heart disease or clinically significant abnormalities identified in the 12-lead ECG at Screening. Specific exclusion criteria are: 
QT interval corrected for heart rate using Fridericia’s method (QTcF) &gt;450 msec (males) or &gt;470 msec (females) confirmed by calculating the mean of the original value and 2 repeats. 
QRS duration &gt;120 msec confirmed by calculating the mean of the original value and 2 repeats. 
PR interval &gt;220 msec confirmed by calculating the mean of the original value and 2 repeats. 
Findings that would make corrected QT (QTc) measurements difficult or QTc data uninterpretable. 
Family history of long QT syndrome. 
Female participant with a positive pregnancy test or who is lactating at Screening. 
History of alcoholism or drug/chemical abuse within 2 years prior to Screening. 
Prior exposure to ABC-123 or any other blorp induction therapy. 
Participation in a clinical study involving administration of an investigational drug (new chemical entity) in the past 30 days or 5 half-lives of last dose (whichever is longer) prior to first dosing. 
History of significant hypersensitivity, intolerance, or allergy to more than one class of drugs. 
Aspartate aminotransferase, alanine aminotransferase, or total bilirubin &gt;2 × upper limit of normal. 
Positive hepatitis panel and/or positive human immunodeficiency virus test. Participants whose results are compatible with prior immunization may be included. 
Have previously completed or withdrawn from this study. Alternates for prior cohorts who were not assigned to treatment and did not receive study intervention are considered eligible. 
SAD cohorts only: Fasting glucose &gt;126 mg/dL. 
 </t>
  </si>
  <si>
    <t>Summarize the study exclusion criteria as a bulleted list in layperson's terms.</t>
  </si>
  <si>
    <t>&lt;ul&gt;&lt;li&gt;History of rock-joint (including clunge or brain wobbles) in the past 5 years&lt;/li&gt;&lt;li&gt;History of spontaneous combustion&lt;/li&gt;&lt;li&gt;High blood pressure (&amp;gt;155/95 mmHg)&lt;/li&gt;&lt;li&gt;Heart problems or abnormal heart tests&lt;/li&gt;&lt;li&gt;QT interval or QRS duration outside normal range on ECG&lt;/li&gt;&lt;li&gt;Family history of long QT syndrome&lt;/li&gt;&lt;li&gt;Pregnant or breastfeeding women&lt;/li&gt;&lt;li&gt;Alcohol or drug abuse in the past 2 years&lt;/li&gt;&lt;li&gt;Previous use of ABC-123 or similar treatments&lt;/li&gt;&lt;li&gt;Participation in another drug study recently&lt;/li&gt;&lt;/ul&gt;</t>
  </si>
  <si>
    <t>&lt;Bulleted list of lay terminology summarizing lifestyle considerations including meal requirements, caffeeine, alcohol, tobacco, and activity&gt;</t>
  </si>
  <si>
    <t xml:space="preserve">Participants must be willing and able to fast for at least 10 hours prior to fasting laboratory tests. 
Caffeine, Alcohol, and Tobacco 
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t>
  </si>
  <si>
    <t>Summarize all lifestyle restrictions and requirements for participants in a simple bulleted list using lay terminology, covering meals, caffeine, alcohol, tobacco, activity, medication, cannabinoid use, blood donation, and vaccinations.</t>
  </si>
  <si>
    <t>&lt;li&gt;Do not donate blood from 8 weeks before screening until 90 days after your final follow-up visit.&lt;/li&gt;&lt;li&gt;Do not use tetrahydrocannabinol (THC), cannabidiol (CBD), or other cannabinoids for 14 days before screening through the end of the study.&lt;/li&gt;&lt;li&gt;Complete any planned vaccinations at least 14 days before screening.&lt;/li&gt;&lt;li&gt;Do not take any prescription or nonprescription medications, vitamins (except ongoing multivitamin), minerals, or herbal supplements unless approved by the study doctor (for SAD Cohorts).&lt;/li&gt;&lt;li&gt;If you are in the Repeat-Dose Cohort, keep your boneitis treatment and other allowed medications stable and unchanged unless approved by the study doctor.&lt;/li&gt;&lt;li&gt;Do not ingest caffeine or xanthine-containing products (like coffee, tea, cola, or chocolate) from 24 hours before check-in until check-out from the Clinical Research Unit (CRU).&lt;/li&gt;&lt;li&gt;Do not drink alcohol from 48 hours before check-in until check-out from the CRU.&lt;/li&gt;&lt;li&gt;Do not use tobacco or nicotine-containing products (including nicotine patches) while in the CRU.&lt;/li&gt;</t>
  </si>
  <si>
    <t>&lt;Bullet list of lay terminology of all assessments required during screening&gt;</t>
  </si>
  <si>
    <t xml:space="preserve">Study procedures and their timing are summarized in the SoA (Section 1.3). Protocol waivers or exemptions are not allowed. 
Immediate safety concerns should be discussed with the Medical Monitor immediately upon occurrence or awareness to determine if the participant should continue or discontinue study intervention. 
Adherence to the study design requirements, including those specified in the SoA, is essential and required for study conduct.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Refer to Section 10.3 (Appendix 3) for mitigation strategies if changes may be required to procedures as a result of a public health emergency (eg, COVID-19). </t>
  </si>
  <si>
    <t>Write a bullet list in lay language of all tests and assessments required during screening.</t>
  </si>
  <si>
    <t>&lt;li&gt;Medical history review&lt;/li&gt;&lt;li&gt;Physical examination&lt;/li&gt;&lt;li&gt;12-lead ECG&lt;/li&gt;&lt;li&gt;Vital signs measurements&lt;/li&gt;&lt;li&gt;Blood and other laboratory tests&lt;/li&gt;</t>
  </si>
  <si>
    <t>&lt;XX days&gt;</t>
  </si>
  <si>
    <t>35 days</t>
  </si>
  <si>
    <t>Replace &lt;XX days&gt; with the specified number of days allowed between the screening visit and clinic return as per protocol.</t>
  </si>
  <si>
    <t>&lt;Bullet list of lay terminology of all assessments required during Check-in/Day1&gt;</t>
  </si>
  <si>
    <t>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 </t>
  </si>
  <si>
    <t>List all assessments required during Check-in/Day 1 using lay terminology as a concise bullet or inline list.</t>
  </si>
  <si>
    <t>Blood pressure, pulse rate, respiratory rate, body temperature, blood tests, heart monitoring (ECG), physical examination, and mental health assessment.</t>
  </si>
  <si>
    <t>&lt;Bullet list of lay terminology of all assessments required during the in-residence period; note differences in assessments based on the day of “in-residence”&gt;</t>
  </si>
  <si>
    <t xml:space="preserve">A full physical examination will include, at a minimum, assessments of head, eyes, ears, nose, and throat (HEENT), neck, chest, skin, cardiovascular system, respiratory system, gastrointestinal system/abdomen, genitourinary system (at discretion of Investigator), lymphatic system, musculoskeletal system, and neurological system. 
Investigators should pay special attention to clinical signs related to previous serious illnesses. </t>
  </si>
  <si>
    <t>List, in lay terms, all assessments required during the in-residence period, noting any differences in assessments based on the day of in-residence.</t>
  </si>
  <si>
    <t>&lt;ul&gt;&lt;li&gt;Blood samples for pharmacokinetic (PK) and biomarker analysis (may include up to 3 extra blood draws per treatment period)&lt;/li&gt;&lt;li&gt;Blood samples for exploratory pharmacodynamic (PD) and safety biomarker analysis&lt;/li&gt;&lt;li&gt;Physical examination and other medical assessments&lt;/li&gt;&lt;li&gt;Subcutaneous (SC) injections of study drug (ABC-123 or placebo)&lt;/li&gt;&lt;li&gt;Monitoring for possible side effects or discomfort from injections or blood draws&lt;/li&gt;&lt;/ul&gt;</t>
  </si>
  <si>
    <t>&lt;Check-out/Day X&gt;</t>
  </si>
  <si>
    <t>6 weeks </t>
  </si>
  <si>
    <t>Describe the assessments or procedures performed at Check-out/Day X for participants during the in-residence period.</t>
  </si>
  <si>
    <t>Provide a concise phrase describing Check-out from the Clinical Research Unit (CRU) as referenced in the study protocol.</t>
  </si>
  <si>
    <t>Check-out from the Clinical Research Unit (CRU)</t>
  </si>
  <si>
    <t>&lt;Bullet list of lay terminology of all assessments required during Check-out/Day X&gt;</t>
  </si>
  <si>
    <t xml:space="preserve">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t>
  </si>
  <si>
    <t>Provide a bullet list of all required assessments during Check-out/Day X using lay terminology.</t>
  </si>
  <si>
    <t>&lt;li&gt;Physical examination&lt;/li&gt;&lt;li&gt;Blood collection&lt;/li&gt;&lt;li&gt;Medical assessments related to study procedures&lt;/li&gt;</t>
  </si>
  <si>
    <t>&lt;Bullet list of lay terminology of all assessments required during the follow-up period; note differences in assessments based on the day and cohort of “follow-up period”&gt;</t>
  </si>
  <si>
    <t xml:space="preserve">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 </t>
  </si>
  <si>
    <t>&lt;Bullet list of lay terminology of all assessments required during ED&gt;</t>
  </si>
  <si>
    <t>List all assessments required during early discontinuation in layperson-friendly terms as bullet points.</t>
  </si>
  <si>
    <t>•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t>
  </si>
  <si>
    <t>&lt;Bullet list of lay terminology of all assessments required during first Check-in/Day1&gt;</t>
  </si>
  <si>
    <t>List all assessments required during the first Check-in/Day 1 in simple, lay language as a concise inline bullet list.</t>
  </si>
  <si>
    <t>Blood pressure, pulse rate, respiratory rate, body temperature, ECG (heart tracing), blood tests, physical examination, mental health assessment.</t>
  </si>
  <si>
    <t>&lt;Bullet list of lay terminology of all assessments required during the first in-residence period; note differences in assessments based on the day of “in-residence”&gt;</t>
  </si>
  <si>
    <t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t>
  </si>
  <si>
    <t>&lt;First Check-out/Day X&gt;</t>
  </si>
  <si>
    <t>Summarize what procedures or activities are performed at the first Check-out or on Day X based on protocol.</t>
  </si>
  <si>
    <t>&lt;first Check-out/Day X&gt;</t>
  </si>
  <si>
    <t>&lt;Bullet list of lay terminology of all assessments required during first Check-out&gt;</t>
  </si>
  <si>
    <t>&lt;Bullet list of lay terminology of all assessments required during the non-residential period; note differences in assessments based on the days of “non-residential”&gt;</t>
  </si>
  <si>
    <t>&lt;Second Check-in/Day X&gt;</t>
  </si>
  <si>
    <t>Summarize the activities and timing for the second Check-in/Day X, focusing on follow-up visit requirements and monitoring procedures.</t>
  </si>
  <si>
    <t>At the second Check-in/Day X, participants will return to the Clinical Research Unit (CRU) for follow-up study visits as outlined in the Schedule of Assessments. These visits will occur up to 6 weeks post dosing for the initial cohorts and up to 10 weeks post dosing for subsequent cohorts, ensuring ongoing monitoring of safety, tolerability, and relevant study parameters.</t>
  </si>
  <si>
    <t>&lt;second Check-in/Day X&gt;</t>
  </si>
  <si>
    <t>Replace with the specific days corresponding to the second check-in as described in the study schedule.</t>
  </si>
  <si>
    <t>Second Check-in/Day 2 to Day 8</t>
  </si>
  <si>
    <t>&lt;Bullet list of lay terminology of all assessments required during second Check-in&gt;</t>
  </si>
  <si>
    <t>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Section 6.6 for further details on dose modifications</t>
  </si>
  <si>
    <t>List in lay terminology all assessments required during the second Check-in period, formatted as a concise inline list.</t>
  </si>
  <si>
    <t>blood tests, heart monitoring (ECG), checking vital signs (blood pressure, pulse, breathing rate, body temperature), physical exams, and mental health checks</t>
  </si>
  <si>
    <t>&lt;Bullet list of lay terminology of all assessments required during the second in-residence period; note differences in assessments based on the day of “in-residence”&gt;</t>
  </si>
  <si>
    <t>Write a bullet list in lay terms of all assessments required during the second in-residence period, noting differences in assessments based on the day.</t>
  </si>
  <si>
    <t>• Blood samples for pharmacokinetics (PK) and biomarkers will be collected by drawing blood from a vein or using a small tube (cannulation) at scheduled times.&lt;br&gt;• Blood samples for exploratory pharmacodynamic (PD) and safety biomarkers will also be taken; up to 3 extra blood samples may be drawn per treatment period if needed.&lt;br&gt;• Routine laboratory tests as specified in the Schedule of Assessments (SoA) and Laboratory Manual.&lt;br&gt;• Medical evaluations and assessments, such as physical exams.&lt;br&gt;• Assessments may differ based on the day of the in-residence period, with some days involving dosing and others focused on follow-up and monitoring.</t>
  </si>
  <si>
    <t>&lt;Final Check-out/Day X&gt;</t>
  </si>
  <si>
    <t xml:space="preserve">Donation of blood is not permitted from 8 weeks (16 weeks for double red cell donation) prior to Screening until 90 days after the final Follow-up visit. </t>
  </si>
  <si>
    <t>Describe the activities or assessments to be performed at the final Check-out or Day X at the end of the in-residence period.</t>
  </si>
  <si>
    <t>&lt;final Check-out/Day X&gt;</t>
  </si>
  <si>
    <t>Insert the correct day for final Check-out as referenced in the study schedule.</t>
  </si>
  <si>
    <t>final Check-out/Day 8</t>
  </si>
  <si>
    <t>&lt;Bullet list of lay terminology of all assessments required during final Check-out&gt;</t>
  </si>
  <si>
    <t>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t>
  </si>
  <si>
    <t>List all final Check-out assessments using clear, lay terminology.</t>
  </si>
  <si>
    <t>&lt;li&gt;Physical examination&lt;/li&gt;&lt;li&gt;Blood collection&lt;/li&gt;&lt;li&gt;Other medical evaluations and assessments associated with study procedures&lt;/li&gt;</t>
  </si>
  <si>
    <t>&lt;lay terminology for SAD portion of study, Cohorts X-X&gt;</t>
  </si>
  <si>
    <t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t>
  </si>
  <si>
    <t>Provide a layperson description of the SAD portion of the study and how cohorts are used.</t>
  </si>
  <si>
    <t>the part of the study where small groups of healthy volunteers (cohorts) receive single increasing doses of the study drug to see how safe it is</t>
  </si>
  <si>
    <t>&lt;local health authority&gt;</t>
  </si>
  <si>
    <t>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t>
  </si>
  <si>
    <t>Provide the official term for the authority to which positive HIV test results must be reported, maintaining inline continuity.</t>
  </si>
  <si>
    <t>local regulatory authority</t>
  </si>
  <si>
    <t>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t>
  </si>
  <si>
    <t>&lt;state health authority&gt;</t>
  </si>
  <si>
    <t>Insert the name of the disease that the study is focused on.</t>
  </si>
  <si>
    <t>&lt;XX years&gt;</t>
  </si>
  <si>
    <t>2 years</t>
  </si>
  <si>
    <t>Summarize the CRO's role and oversight by the Sponsor as described in the context.</t>
  </si>
  <si>
    <t>&lt;p&gt;The Contract Research Organization (CRO) involved in this study will work under the oversight of the Sponsor, with certain actions delegated to them as appropriate.&lt;/p&gt;</t>
  </si>
  <si>
    <t>&lt;Firstname Lastname&gt;</t>
  </si>
  <si>
    <t>Replace &lt;CRO Name&gt; with the formal term for the contract research organization as referenced in the protocol.</t>
  </si>
  <si>
    <t>Contract Research Organization (CRO)</t>
  </si>
  <si>
    <t>&lt;Study drug ID&gt;</t>
  </si>
  <si>
    <t>&lt;XX-fold&gt;</t>
  </si>
  <si>
    <t>318-fold</t>
  </si>
  <si>
    <t>Insert the appropriate fold multiple (e.g., 318-fold) representing how much larger the highest dose is compared to the starting dose.</t>
  </si>
  <si>
    <t>&lt;side effect&gt;</t>
  </si>
  <si>
    <t xml:space="preserve">Additional risks observed in clinical studies with blorp inductors include gastrointestinal adverse events (primarily nausea, diarrhea, and vomiting), asthenia/fatigue, hot flushes, and dizziness. </t>
  </si>
  <si>
    <t>List the most common side effects seen in people given drugs similar to the study drug, as described in the context.</t>
  </si>
  <si>
    <t>&lt;li&gt;Gastrointestinal adverse effects&lt;/li&gt;&lt;li&gt;Psychiatric effects (eg, amphibious jocularity, levitation, the crunge)&lt;/li&gt;&lt;li&gt;Neurological effects&lt;/li&gt;</t>
  </si>
  <si>
    <t>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t>
  </si>
  <si>
    <t>List the main side effects and adverse effects associated with blorp inductors and/or ABC-123.</t>
  </si>
  <si>
    <t>&lt;li&gt;Adverse psychiatric and neurological effects (eg, amphibious jocularity, levitation, and the crunge)&lt;/li&gt;&lt;li&gt;Gastrointestinal adverse effects&lt;/li&gt;</t>
  </si>
  <si>
    <t>List the main side effects observed or anticipated for blorp inductors and ABC-123.</t>
  </si>
  <si>
    <t>&lt;li&gt;Adverse psychiatric and neurological effects (eg, amphibious jocularity, levitation, and the crunge)&lt;/li&gt;&lt;li&gt;Gastrointestinal adverse effects&lt;/li&gt;&lt;li&gt;Potential for CNS-associated adverse effects&lt;/li&gt;</t>
  </si>
  <si>
    <t>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 </t>
  </si>
  <si>
    <t>List the CNS-associated side effects observed with similar drugs (blorp inductors) that participants will be monitored for.</t>
  </si>
  <si>
    <t>&lt;li&gt;Amphibious jocularity&lt;/li&gt;&lt;li&gt;Levitation&lt;/li&gt;&lt;li&gt;The crunge&lt;/li&gt;</t>
  </si>
  <si>
    <t>List the CNS-associated side effects seen with similar drugs that cross into the brain.</t>
  </si>
  <si>
    <t>&lt;li&gt;amphibious jocularity&lt;/li&gt;&lt;li&gt;levitation&lt;/li&gt;&lt;li&gt;the crunge&lt;/li&gt;</t>
  </si>
  <si>
    <t>List the adverse effects and monitoring considerations mentioned for blorp inductors and ABC-123.</t>
  </si>
  <si>
    <t>&lt;li&gt;Adverse psychiatric and neurological effects (including amphibious jocularity, levitation, and the crunge) observed with blorp inductors&lt;/li&gt;&lt;li&gt;Gastrointestinal adverse effects reported as the primary non-CNS side effects of blorp inductors&lt;/li&gt;&lt;li&gt;No serious adverse effects observed in blorp knockout mice&lt;/li&gt;&lt;li&gt;Participants in the ABC-123 clinical program will be monitored for CNS-associated risks&lt;/li&gt;&lt;li&gt;Participants will be monitored closely for adverse effects resulting from study drug administration&lt;/li&gt;</t>
  </si>
  <si>
    <t>List the main adverse effects and side effects associated with blorp inductors and ABC-123, specifying both CNS and non-CNS events.</t>
  </si>
  <si>
    <t>&lt;li&gt;Gastrointestinal adverse effects (primary non-CNS)&lt;/li&gt;&lt;li&gt;Adverse psychiatric effects (e.g., amphibious jocularity)&lt;/li&gt;&lt;li&gt;Neurological adverse effects (e.g., levitation, the crunge)&lt;/li&gt;</t>
  </si>
  <si>
    <t>List the main side effects associated with the study drug, focusing on CNS and gastrointestinal effects.</t>
  </si>
  <si>
    <t>&lt;li&gt;Adverse psychiatric and neurological effects, including amphibious jocularity, levitation, and the crunge&lt;/li&gt;&lt;li&gt;Gastrointestinal adverse effects&lt;/li&gt;</t>
  </si>
  <si>
    <t>&lt;Bullet list of lay terminology summarizing the protocol criteria for women to be not considered a WOCBP&gt;</t>
  </si>
  <si>
    <t xml:space="preserve">Women in the following categories are not considered WOCBP 
Premenarchal 
Premenopausal female with 1 of the following: 
Documented hysterectomy 
Documented bilateral salpingectomy 
Documented bilateral oophorectomy 
For individuals with permanent infertility due to an alternate medical cause other than the above, (eg, mullerian agenesis, androgen insensitivity), cause should be documented, and Investigator discretion should be applied to determining study entry. 
Note: Documentation can come from the site personnel’s: review of the participant’s medical records, medical examination, or medical history interview. 
Postmenopausal female 
A postmenopausal state is defined as no menses for 12 months without an alternative medical cause.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 
 </t>
  </si>
  <si>
    <t>Summarize protocol criteria for women to be considered not of childbearing potential (not WOCBP) in lay bullet points.</t>
  </si>
  <si>
    <t>&lt;li&gt;You have not started having periods (premenarchal).&lt;/li&gt;&lt;li&gt;You have had your uterus removed (hysterectomy).&lt;/li&gt;&lt;li&gt;You have had both fallopian tubes removed (bilateral salpingectomy).&lt;/li&gt;&lt;li&gt;You have had both ovaries removed (bilateral oophorectomy).&lt;/li&gt;&lt;li&gt;You are permanently infertile due to another medical reason (such as certain medical conditions), as determined by your doctor.&lt;/li&gt;&lt;li&gt;You have not had a period for 12 months in a row and there is no other medical reason for this (postmenopausal).&lt;/li&gt;</t>
  </si>
  <si>
    <t>&lt;Lay terminology summarizing protocol requirement for females receiving HRT and whose menopausual status is in doubt.&gt;</t>
  </si>
  <si>
    <t>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 </t>
  </si>
  <si>
    <t>Summarize in lay terms the protocol rule for women on HRT with uncertain menopause status.</t>
  </si>
  <si>
    <t>Women who are taking hormone replacement therapy (HRT) and whose menopausal status is uncertain must either stop HRT to confirm menopause before joining the study or, if they wish to continue HRT, use a highly effective non-estrogen hormonal birth control method during the study.</t>
  </si>
  <si>
    <t>&lt;Lay terminology summarizing protocol requirement for males regarding contraception&gt;</t>
  </si>
  <si>
    <t>Male participants will agree to use contraception while on study intervention and for at least 6 months after the last dose of study intervention. </t>
  </si>
  <si>
    <t>Summarize the protocol requirements for male contraception in clear, lay language.</t>
  </si>
  <si>
    <t>Male participants are required to use contraception while taking the study medication and for at least 6 months after their last dose. This includes using a male condom with spermicide and a second approved method of birth control, even if they have had a vasectomy. They should also avoid sexual intercourse with pregnant or breastfeeding partners unless a condom is used during the same period.</t>
  </si>
  <si>
    <t>&lt;Bullet list of lay terminology summarizing the protocol listed acceptable second methods of contraception.&gt;</t>
  </si>
  <si>
    <t>List the protocol-accepted second methods of contraception for female partners in lay language as individual bullet points.</t>
  </si>
  <si>
    <t>&lt;Lay terminology summarizing pregnancy information collection practices for male participants with partners who become pregnant.&gt;</t>
  </si>
  <si>
    <t xml:space="preserve">The Investigator will attempt to collect pregnancy information on any male participant’s female partner who becomes pregnant while the male participant is in this study. This applies only to male participants who receive study intervention. 
After obtaining the necessary signed informed consent from the pregnant female partner directly, the Investigator will record pregnancy information on the appropriate form and submit it to the Sponsor within 24 hours of learning of the partner’s pregnancy. The female partner will also be followed to determine the outcome of the pregnancy. Information on the status of the mother and child will be forwarded to the Sponsor. Generally, the follow-up will be no longer than 6 to 8 weeks following the estimated delivery date. Any termination of the pregnancy will be reported regardless of fetal status (presence or absence of anomalies) or indication for the procedure. </t>
  </si>
  <si>
    <t>Summarize, in lay terms, the process for collecting pregnancy information when a male participant's partner becomes pregnant during the study.</t>
  </si>
  <si>
    <t>&lt;p&gt;If a male participant's partner becomes pregnant during the study, the study team will ask for the partner's permission to collect information about her pregnancy. This information helps monitor the health of both the mother and baby. The study team will follow up with the partner, with her consent, to learn about the outcome of the pregnancy, and will share this information with the study sponsor. Any end of pregnancy, such as miscarriage or termination, will also be reported, regardless of the reason.&lt;/p&gt;</t>
  </si>
  <si>
    <t>&lt;Lay terminology summarizing pregnancy information collection practices for female participants who become pregnant.&gt;</t>
  </si>
  <si>
    <t xml:space="preserve">The participant will be followed to determine the outcome of the pregnancy. The Investigator will collect follow-up information on the participant and the neonate, and the information will be forwarded to the Sponsor. Generally, follow-up will not be required for longer than 6 to 8 weeks beyond the estimated delivery date. Any termination of pregnancy will be reported, regardless of fetal status (presence or absence of anomalies) or indication for the procedure. 
​​While pregnancy itself is not considered to be an AE or SAE, any pregnancy complication or elective termination of a pregnancy for medical reasons will be reported as an AE or SAE. A spontaneous abortion (occurring at &lt;22 weeks gestational age) or still birth (occurring at ≥22 weeks gestational age) is always considered to be an SAE and will be reported as such. Any post-study​ 
pregnancy-related SAE considered reasonably related to the study intervention by the Investigator will be reported to the Sponsor as described in Section 8.6.4. While the Investigator is not obligated to actively seek this information in former study participants, he or she may learn of an SAE through spontaneous reporting. 
Any female participant who becomes pregnant while participating in the study will discontinue study intervention. </t>
  </si>
  <si>
    <t>Summarize in lay terms how pregnancy information is collected for female participants who become pregnant.</t>
  </si>
  <si>
    <t>&lt;p&gt;If a female participant becomes pregnant during the study, she will stop receiving the study medication. The study team will follow her and her baby to check on their health and collect information about the pregnancy outcome. This follow-up usually lasts up to 6 to 8 weeks after the expected delivery date. Any pregnancy loss or complication will also be reported, no matter the reason or the baby's condition.&lt;/p&gt;</t>
  </si>
  <si>
    <t>&lt;study disease&gt;</t>
  </si>
  <si>
    <r>
      <t>Lurgi is the leading cause of boneitis, eventually leading to the need for surgical intervention in the form of either a partial or complete brainectomy (</t>
    </r>
    <r>
      <rPr>
        <sz val="12"/>
        <color rgb="FF0000FF"/>
        <rFont val="Times New Roman"/>
        <charset val="1"/>
      </rPr>
      <t>Biagini et al. 2008</t>
    </r>
    <r>
      <rPr>
        <sz val="12"/>
        <color rgb="FF000000"/>
        <rFont val="Times New Roman"/>
        <charset val="1"/>
      </rPr>
      <t>).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t>
    </r>
  </si>
  <si>
    <t>Insert the name of the disease being studied for which participants may benefit from ABC-123.</t>
  </si>
  <si>
    <t>&lt;IRB Company&gt;</t>
  </si>
  <si>
    <t>Institutional Review Board (IRB)</t>
  </si>
  <si>
    <t>Replace the placeholder with the formal name of the IRB or institutional review body as referenced in the protocol.</t>
  </si>
  <si>
    <t>Institutional Review Board (IRB)</t>
  </si>
  <si>
    <t>&lt;email address&gt;</t>
  </si>
  <si>
    <t>Insert the correct contact email address for the Study Participant Adviser, maintaining inline continuity.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</si>
</sst>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_(* \(#,##0\);_(* &quot;-&quot;_);_(@_)"/>
    <numFmt numFmtId="164" formatCode="&quot;$&quot;#,##0.00"/>
    <numFmt numFmtId="165" formatCode="[$-F400]h:mm:ss\ AM/PM"/>
    <numFmt numFmtId="166" formatCode="[$-F800]dddd\,\ mmmm\ dd\,\ yyyy"/>
  </numFmts>
  <fonts count="47">
    <font>
      <sz val="11"/>
      <name val="Tahoma"/>
      <family val="2"/>
      <scheme val="minor"/>
    </font>
    <font>
      <sz val="11"/>
      <color theme="1"/>
      <name val="Tahoma"/>
      <family val="2"/>
      <scheme val="minor"/>
    </font>
    <font>
      <sz val="16"/>
      <color theme="1"/>
      <name val="Tahoma"/>
      <family val="2"/>
      <scheme val="major"/>
    </font>
    <font>
      <sz val="12"/>
      <color theme="1"/>
      <name val="Tahoma"/>
      <family val="2"/>
      <scheme val="minor"/>
    </font>
    <font>
      <sz val="11"/>
      <color theme="1"/>
      <name val="Tahoma"/>
      <family val="2"/>
      <scheme val="minor"/>
    </font>
    <font>
      <sz val="11"/>
      <color theme="0"/>
      <name val="Tahoma"/>
      <family val="2"/>
      <scheme val="minor"/>
    </font>
    <font>
      <sz val="16"/>
      <color theme="0"/>
      <name val="Tahoma"/>
      <family val="2"/>
      <scheme val="minor"/>
    </font>
    <font>
      <sz val="11"/>
      <name val="Tahoma"/>
      <family val="2"/>
      <scheme val="minor"/>
    </font>
    <font>
      <b/>
      <sz val="11"/>
      <color theme="1"/>
      <name val="Tahoma"/>
      <family val="2"/>
      <scheme val="minor"/>
    </font>
    <font>
      <b/>
      <sz val="18"/>
      <color theme="0"/>
      <name val="Tahoma"/>
      <family val="2"/>
      <scheme val="major"/>
    </font>
    <font>
      <b/>
      <sz val="15"/>
      <color theme="6" tint="-0.499984740745262"/>
      <name val="Tahoma"/>
      <family val="2"/>
      <scheme val="minor"/>
    </font>
    <font>
      <b/>
      <sz val="36"/>
      <color theme="0"/>
      <name val="Tahoma"/>
      <family val="2"/>
      <scheme val="major"/>
    </font>
    <font>
      <b/>
      <sz val="16"/>
      <color theme="3" tint="-0.499984740745262"/>
      <name val="Tahoma"/>
      <family val="2"/>
      <scheme val="minor"/>
    </font>
    <font>
      <b/>
      <sz val="11"/>
      <color theme="3" tint="-0.499984740745262"/>
      <name val="Tahoma"/>
      <family val="2"/>
      <scheme val="minor"/>
    </font>
    <font>
      <sz val="11"/>
      <color theme="3" tint="-0.499984740745262"/>
      <name val="Tahoma"/>
      <family val="2"/>
      <scheme val="minor"/>
    </font>
    <font>
      <sz val="11"/>
      <color theme="4" tint="0.79998168889431442"/>
      <name val="Tahoma"/>
      <family val="2"/>
      <scheme val="minor"/>
    </font>
    <font>
      <b/>
      <sz val="11"/>
      <color theme="4" tint="0.79998168889431442"/>
      <name val="Tahoma"/>
      <family val="2"/>
      <scheme val="minor"/>
    </font>
    <font>
      <b/>
      <sz val="36"/>
      <color theme="7" tint="-0.499984740745262"/>
      <name val="Tahoma"/>
      <family val="2"/>
      <scheme val="major"/>
    </font>
    <font>
      <b/>
      <sz val="16"/>
      <color theme="3" tint="-0.499984740745262"/>
      <name val="Tahoma"/>
      <family val="2"/>
      <scheme val="major"/>
    </font>
    <font>
      <b/>
      <sz val="11"/>
      <color theme="3" tint="-0.499984740745262"/>
      <name val="Tahoma"/>
      <family val="2"/>
      <scheme val="major"/>
    </font>
    <font>
      <u/>
      <sz val="11"/>
      <color theme="10"/>
      <name val="Tahoma"/>
      <family val="2"/>
      <scheme val="minor"/>
    </font>
    <font>
      <b/>
      <sz val="16"/>
      <color rgb="FF234141"/>
      <name val="Tahoma"/>
      <scheme val="major"/>
    </font>
    <font>
      <b/>
      <sz val="10"/>
      <color theme="7" tint="-0.499984740745262"/>
      <name val="Tahoma"/>
      <family val="2"/>
      <scheme val="major"/>
    </font>
    <font>
      <b/>
      <sz val="14"/>
      <color theme="7" tint="-0.499984740745262"/>
      <name val="Tahoma"/>
      <family val="2"/>
      <scheme val="major"/>
    </font>
    <font>
      <b/>
      <sz val="10"/>
      <color theme="7" tint="-0.499984740745262"/>
      <name val="Tahoma"/>
      <scheme val="major"/>
    </font>
    <font>
      <b/>
      <sz val="11"/>
      <color rgb="FF242424"/>
      <name val="Aptos Narrow"/>
      <charset val="1"/>
    </font>
    <font>
      <b/>
      <sz val="10"/>
      <color rgb="FF234141"/>
      <name val="Tahoma"/>
    </font>
    <font>
      <b/>
      <sz val="11"/>
      <name val="Calibri"/>
    </font>
    <font>
      <b/>
      <sz val="11"/>
      <name val="Tahoma"/>
      <family val="2"/>
      <scheme val="minor"/>
    </font>
    <font>
      <b/>
      <sz val="14"/>
      <color theme="7" tint="-0.499984740745262"/>
      <name val="Tahoma"/>
      <scheme val="major"/>
    </font>
    <font>
      <b/>
      <sz val="10"/>
      <color rgb="FF000000"/>
      <name val="Tahoma"/>
    </font>
    <font>
      <b/>
      <sz val="10"/>
      <color theme="1"/>
      <name val="Tahoma"/>
      <family val="2"/>
      <scheme val="major"/>
    </font>
    <font>
      <sz val="10"/>
      <color theme="1"/>
      <name val="Calibri"/>
    </font>
    <font>
      <sz val="10"/>
      <color rgb="FF000000"/>
      <name val="Calibri"/>
    </font>
    <font>
      <sz val="10"/>
      <name val="Calibri"/>
    </font>
    <font>
      <b/>
      <sz val="10"/>
      <color rgb="FF000000"/>
      <name val="Calibri"/>
    </font>
    <font>
      <sz val="9"/>
      <color rgb="FF000000"/>
      <name val="Times New Roman"/>
      <family val="1"/>
      <charset val="1"/>
    </font>
    <font>
      <sz val="11"/>
      <color rgb="FF000000"/>
      <name val="Calibri"/>
      <family val="2"/>
    </font>
    <font>
      <sz val="12"/>
      <color rgb="FF000000"/>
      <name val="Times New Roman"/>
      <charset val="1"/>
    </font>
    <font>
      <sz val="12"/>
      <color rgb="FF000000"/>
      <name val="WordVisi_MSFontService"/>
      <charset val="1"/>
    </font>
    <font>
      <sz val="12"/>
      <color rgb="FF0000FF"/>
      <name val="Times New Roman"/>
      <charset val="1"/>
    </font>
    <font>
      <sz val="12"/>
      <name val="Times New Roman"/>
      <charset val="1"/>
    </font>
    <font>
      <sz val="11"/>
      <name val="Times New Roman"/>
      <charset val="1"/>
    </font>
    <font>
      <sz val="12"/>
      <color rgb="FFFFFFFF"/>
      <name val="Times New Roman"/>
      <charset val="1"/>
    </font>
    <font>
      <b/>
      <sz val="12"/>
      <name val="Times New Roman"/>
      <charset val="1"/>
    </font>
    <font>
      <sz val="11"/>
      <color rgb="FF000000"/>
      <name val="Calibri"/>
      <charset val="1"/>
    </font>
    <font>
      <b/>
      <sz val="9"/>
      <color rgb="FF000000"/>
      <name val="Times New Roman"/>
      <charset val="1"/>
    </font>
  </fonts>
  <fills count="10">
    <fill>
      <patternFill patternType="none"/>
    </fill>
    <fill>
      <patternFill patternType="gray125"/>
    </fill>
    <fill>
      <patternFill patternType="solid">
        <fgColor theme="4"/>
      </patternFill>
    </fill>
    <fill>
      <patternFill patternType="solid">
        <fgColor theme="5"/>
      </patternFill>
    </fill>
    <fill>
      <patternFill patternType="solid">
        <fgColor theme="4" tint="0.79998168889431442"/>
        <bgColor indexed="65"/>
      </patternFill>
    </fill>
    <fill>
      <patternFill patternType="solid">
        <fgColor theme="6"/>
      </patternFill>
    </fill>
    <fill>
      <patternFill patternType="solid">
        <fgColor theme="4"/>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79998168889431442"/>
        <bgColor theme="4" tint="0.79998168889431442"/>
      </patternFill>
    </fill>
  </fills>
  <borders count="34">
    <border>
      <left/>
      <right/>
      <top/>
      <bottom/>
      <diagonal/>
    </border>
    <border>
      <left/>
      <right/>
      <top/>
      <bottom style="thin">
        <color theme="0"/>
      </bottom>
      <diagonal/>
    </border>
    <border>
      <left/>
      <right/>
      <top/>
      <bottom style="medium">
        <color theme="7"/>
      </bottom>
      <diagonal/>
    </border>
    <border>
      <left style="thin">
        <color theme="0"/>
      </left>
      <right/>
      <top/>
      <bottom/>
      <diagonal/>
    </border>
    <border>
      <left/>
      <right/>
      <top/>
      <bottom style="thin">
        <color theme="4"/>
      </bottom>
      <diagonal/>
    </border>
    <border>
      <left/>
      <right style="thin">
        <color theme="0"/>
      </right>
      <top/>
      <bottom style="thin">
        <color theme="4"/>
      </bottom>
      <diagonal/>
    </border>
    <border>
      <left style="thin">
        <color theme="0"/>
      </left>
      <right style="thin">
        <color theme="0"/>
      </right>
      <top/>
      <bottom style="thin">
        <color theme="4"/>
      </bottom>
      <diagonal/>
    </border>
    <border>
      <left style="thin">
        <color theme="0"/>
      </left>
      <right/>
      <top/>
      <bottom style="thin">
        <color theme="4"/>
      </bottom>
      <diagonal/>
    </border>
    <border>
      <left/>
      <right/>
      <top/>
      <bottom style="medium">
        <color theme="3"/>
      </bottom>
      <diagonal/>
    </border>
    <border>
      <left/>
      <right/>
      <top style="thick">
        <color theme="0"/>
      </top>
      <bottom style="medium">
        <color theme="7"/>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ck">
        <color theme="0"/>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theme="0"/>
      </right>
      <top/>
      <bottom/>
      <diagonal/>
    </border>
    <border>
      <left style="thin">
        <color theme="0"/>
      </left>
      <right style="thin">
        <color theme="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3">
    <xf numFmtId="164" fontId="0" fillId="0" borderId="0" applyFill="0" applyBorder="0" applyProtection="0">
      <alignment horizontal="center" vertical="center"/>
    </xf>
    <xf numFmtId="0" fontId="5" fillId="2" borderId="0" applyNumberFormat="0" applyFont="0" applyBorder="0" applyAlignment="0" applyProtection="0"/>
    <xf numFmtId="0" fontId="5" fillId="3" borderId="0" applyNumberFormat="0" applyFont="0" applyBorder="0" applyAlignment="0" applyProtection="0"/>
    <xf numFmtId="0" fontId="6" fillId="3" borderId="1" applyFont="0" applyFill="0" applyBorder="0" applyAlignment="0">
      <alignment vertical="center"/>
    </xf>
    <xf numFmtId="0" fontId="4" fillId="4" borderId="0" applyNumberFormat="0" applyBorder="0" applyAlignment="0" applyProtection="0"/>
    <xf numFmtId="0" fontId="5" fillId="5" borderId="0" applyNumberFormat="0" applyBorder="0" applyAlignment="0" applyProtection="0"/>
    <xf numFmtId="0" fontId="8" fillId="0" borderId="0">
      <alignment horizontal="left" vertical="center"/>
    </xf>
    <xf numFmtId="41" fontId="1" fillId="0" borderId="0" applyFont="0" applyFill="0" applyBorder="0" applyProtection="0">
      <alignment horizontal="center" vertical="center"/>
    </xf>
    <xf numFmtId="41" fontId="1" fillId="0" borderId="0" applyFont="0" applyFill="0" applyBorder="0" applyProtection="0">
      <alignment horizontal="center" vertical="center"/>
    </xf>
    <xf numFmtId="0" fontId="9" fillId="6" borderId="0" applyNumberFormat="0" applyBorder="0" applyProtection="0">
      <alignment vertical="center"/>
    </xf>
    <xf numFmtId="0" fontId="10" fillId="0" borderId="2" applyNumberFormat="0" applyFill="0" applyProtection="0">
      <alignment horizontal="left" vertical="center"/>
    </xf>
    <xf numFmtId="0" fontId="7" fillId="0" borderId="0" applyNumberFormat="0" applyFill="0" applyBorder="0" applyProtection="0">
      <alignment horizontal="left" vertical="center" indent="1"/>
    </xf>
    <xf numFmtId="164" fontId="20" fillId="0" borderId="0" applyNumberFormat="0" applyFill="0" applyBorder="0" applyAlignment="0" applyProtection="0">
      <alignment horizontal="center" vertical="center"/>
    </xf>
  </cellStyleXfs>
  <cellXfs count="188">
    <xf numFmtId="164" fontId="0" fillId="0" borderId="0" xfId="0">
      <alignment horizontal="center" vertical="center"/>
    </xf>
    <xf numFmtId="164" fontId="3" fillId="0" borderId="0" xfId="0" applyFont="1">
      <alignment horizontal="center" vertical="center"/>
    </xf>
    <xf numFmtId="164" fontId="3" fillId="0" borderId="0" xfId="0" applyFont="1" applyAlignment="1">
      <alignment horizontal="center"/>
    </xf>
    <xf numFmtId="164" fontId="3" fillId="0" borderId="0" xfId="0" applyFont="1" applyAlignment="1">
      <alignment vertical="center"/>
    </xf>
    <xf numFmtId="164" fontId="2" fillId="0" borderId="0" xfId="0" applyFont="1">
      <alignment horizontal="center" vertical="center"/>
    </xf>
    <xf numFmtId="164" fontId="11" fillId="7" borderId="0" xfId="9" applyNumberFormat="1" applyFont="1" applyFill="1">
      <alignment vertical="center"/>
    </xf>
    <xf numFmtId="164" fontId="14" fillId="4" borderId="3" xfId="0" applyFont="1" applyFill="1" applyBorder="1" applyAlignment="1">
      <alignment horizontal="right" vertical="center" indent="2"/>
    </xf>
    <xf numFmtId="164" fontId="14" fillId="0" borderId="0" xfId="0" applyFont="1" applyBorder="1">
      <alignment horizontal="center" vertical="center"/>
    </xf>
    <xf numFmtId="164" fontId="14" fillId="0" borderId="0" xfId="11" applyNumberFormat="1" applyFont="1" applyBorder="1">
      <alignment horizontal="left" vertical="center" indent="1"/>
    </xf>
    <xf numFmtId="164" fontId="16" fillId="4" borderId="4" xfId="0" applyFont="1" applyFill="1" applyBorder="1" applyAlignment="1">
      <alignment vertical="center"/>
    </xf>
    <xf numFmtId="164" fontId="11" fillId="0" borderId="0" xfId="9" applyNumberFormat="1" applyFont="1" applyFill="1">
      <alignment vertical="center"/>
    </xf>
    <xf numFmtId="164" fontId="17" fillId="0" borderId="0" xfId="9" applyNumberFormat="1" applyFont="1" applyFill="1" applyBorder="1" applyAlignment="1">
      <alignment horizontal="center" vertical="center"/>
    </xf>
    <xf numFmtId="164" fontId="19" fillId="4" borderId="5" xfId="0" applyFont="1" applyFill="1" applyBorder="1" applyAlignment="1">
      <alignment horizontal="left" vertical="center" indent="1"/>
    </xf>
    <xf numFmtId="164" fontId="19" fillId="4" borderId="6" xfId="0" applyFont="1" applyFill="1" applyBorder="1" applyAlignment="1">
      <alignment horizontal="right" vertical="center" indent="2"/>
    </xf>
    <xf numFmtId="164" fontId="19" fillId="4" borderId="7" xfId="0" applyFont="1" applyFill="1" applyBorder="1" applyAlignment="1">
      <alignment horizontal="right" vertical="center" indent="2"/>
    </xf>
    <xf numFmtId="164" fontId="20" fillId="0" borderId="0" xfId="12" applyNumberFormat="1" applyFill="1" applyBorder="1" applyAlignment="1">
      <alignment horizontal="center" vertical="center"/>
    </xf>
    <xf numFmtId="1" fontId="22" fillId="0" borderId="0" xfId="9" applyNumberFormat="1" applyFont="1" applyFill="1" applyBorder="1" applyAlignment="1">
      <alignment horizontal="center" vertical="center"/>
    </xf>
    <xf numFmtId="164" fontId="23" fillId="0" borderId="12" xfId="9" applyNumberFormat="1" applyFont="1" applyFill="1" applyBorder="1" applyAlignment="1">
      <alignment horizontal="center" vertical="center"/>
    </xf>
    <xf numFmtId="165" fontId="22" fillId="0" borderId="12" xfId="9" applyNumberFormat="1" applyFont="1" applyFill="1" applyBorder="1" applyAlignment="1">
      <alignment horizontal="center" vertical="center"/>
    </xf>
    <xf numFmtId="14" fontId="22" fillId="0" borderId="12" xfId="9" applyNumberFormat="1" applyFont="1" applyFill="1" applyBorder="1" applyAlignment="1">
      <alignment horizontal="center" vertical="center"/>
    </xf>
    <xf numFmtId="2" fontId="22" fillId="0" borderId="12" xfId="9" applyNumberFormat="1" applyFont="1" applyFill="1" applyBorder="1" applyAlignment="1">
      <alignment horizontal="center" vertical="center"/>
    </xf>
    <xf numFmtId="164" fontId="22" fillId="0" borderId="0" xfId="9" applyNumberFormat="1" applyFont="1" applyFill="1" applyBorder="1">
      <alignment vertical="center"/>
    </xf>
    <xf numFmtId="164" fontId="22" fillId="0" borderId="0" xfId="9" applyNumberFormat="1" applyFont="1" applyFill="1" applyBorder="1" applyAlignment="1">
      <alignment vertical="center" wrapText="1"/>
    </xf>
    <xf numFmtId="164" fontId="16" fillId="4" borderId="0" xfId="0" applyFont="1" applyFill="1" applyBorder="1" applyAlignment="1">
      <alignment vertical="center"/>
    </xf>
    <xf numFmtId="164" fontId="19" fillId="4" borderId="20" xfId="0" applyFont="1" applyFill="1" applyBorder="1" applyAlignment="1">
      <alignment horizontal="left" vertical="center" indent="1"/>
    </xf>
    <xf numFmtId="164" fontId="19" fillId="4" borderId="21" xfId="0" applyFont="1" applyFill="1" applyBorder="1" applyAlignment="1">
      <alignment horizontal="right" vertical="center" indent="2"/>
    </xf>
    <xf numFmtId="164" fontId="19" fillId="4" borderId="3" xfId="0" applyFont="1" applyFill="1" applyBorder="1" applyAlignment="1">
      <alignment horizontal="right" vertical="center" indent="2"/>
    </xf>
    <xf numFmtId="164" fontId="13" fillId="0" borderId="0" xfId="0" applyFont="1" applyFill="1" applyBorder="1">
      <alignment horizontal="center" vertical="center"/>
    </xf>
    <xf numFmtId="164" fontId="14" fillId="0" borderId="12" xfId="0" applyFont="1" applyFill="1" applyBorder="1" applyAlignment="1">
      <alignment vertical="center"/>
    </xf>
    <xf numFmtId="164" fontId="3" fillId="0" borderId="22" xfId="0" applyFont="1" applyBorder="1">
      <alignment horizontal="center" vertical="center"/>
    </xf>
    <xf numFmtId="164" fontId="3" fillId="0" borderId="23" xfId="0" applyFont="1" applyBorder="1" applyAlignment="1">
      <alignment vertical="center"/>
    </xf>
    <xf numFmtId="164" fontId="3" fillId="0" borderId="23" xfId="0" applyFont="1" applyBorder="1">
      <alignment horizontal="center" vertical="center"/>
    </xf>
    <xf numFmtId="164" fontId="3" fillId="0" borderId="24" xfId="0" applyFont="1" applyBorder="1" applyAlignment="1">
      <alignment vertical="center"/>
    </xf>
    <xf numFmtId="164" fontId="11" fillId="7" borderId="25" xfId="9" applyNumberFormat="1" applyFont="1" applyFill="1" applyBorder="1">
      <alignment vertical="center"/>
    </xf>
    <xf numFmtId="164" fontId="11" fillId="7" borderId="26" xfId="9" applyNumberFormat="1" applyFont="1" applyFill="1" applyBorder="1">
      <alignment vertical="center"/>
    </xf>
    <xf numFmtId="164" fontId="11" fillId="0" borderId="25" xfId="9" applyNumberFormat="1" applyFont="1" applyFill="1" applyBorder="1">
      <alignment vertical="center"/>
    </xf>
    <xf numFmtId="164" fontId="11" fillId="0" borderId="26" xfId="9" applyNumberFormat="1" applyFont="1" applyFill="1" applyBorder="1">
      <alignment vertical="center"/>
    </xf>
    <xf numFmtId="164" fontId="2" fillId="0" borderId="25" xfId="0" applyFont="1" applyBorder="1">
      <alignment horizontal="center" vertical="center"/>
    </xf>
    <xf numFmtId="164" fontId="2" fillId="0" borderId="0" xfId="0" applyFont="1" applyBorder="1">
      <alignment horizontal="center" vertical="center"/>
    </xf>
    <xf numFmtId="164" fontId="2" fillId="0" borderId="26" xfId="0" applyFont="1" applyBorder="1">
      <alignment horizontal="center" vertical="center"/>
    </xf>
    <xf numFmtId="164" fontId="3" fillId="0" borderId="25" xfId="0" applyFont="1" applyBorder="1" applyAlignment="1">
      <alignment vertical="center"/>
    </xf>
    <xf numFmtId="164" fontId="3" fillId="0" borderId="0" xfId="0" applyFont="1" applyBorder="1" applyAlignment="1">
      <alignment vertical="center"/>
    </xf>
    <xf numFmtId="164" fontId="3" fillId="0" borderId="26" xfId="0" applyFont="1" applyBorder="1" applyAlignment="1">
      <alignment vertical="center"/>
    </xf>
    <xf numFmtId="164" fontId="14" fillId="0" borderId="0" xfId="11" applyNumberFormat="1" applyFont="1" applyFill="1" applyBorder="1">
      <alignment horizontal="left" vertical="center" indent="1"/>
    </xf>
    <xf numFmtId="164" fontId="14" fillId="0" borderId="0" xfId="0" applyFont="1" applyFill="1" applyBorder="1" applyAlignment="1">
      <alignment horizontal="right" vertical="center" indent="1"/>
    </xf>
    <xf numFmtId="1" fontId="14" fillId="0" borderId="0" xfId="11" applyNumberFormat="1" applyFont="1" applyFill="1" applyBorder="1" applyAlignment="1">
      <alignment horizontal="right" vertical="center" indent="1"/>
    </xf>
    <xf numFmtId="1" fontId="14" fillId="0" borderId="0" xfId="0" applyNumberFormat="1" applyFont="1" applyFill="1" applyBorder="1" applyAlignment="1">
      <alignment horizontal="right" vertical="center" indent="1"/>
    </xf>
    <xf numFmtId="164" fontId="14" fillId="0" borderId="0" xfId="0" applyFont="1" applyFill="1" applyBorder="1">
      <alignment horizontal="center" vertical="center"/>
    </xf>
    <xf numFmtId="1" fontId="14" fillId="0" borderId="0" xfId="0" applyNumberFormat="1" applyFont="1" applyBorder="1" applyAlignment="1">
      <alignment horizontal="right" vertical="center" indent="1"/>
    </xf>
    <xf numFmtId="1" fontId="14" fillId="0" borderId="0" xfId="11" applyNumberFormat="1" applyFont="1" applyBorder="1" applyAlignment="1">
      <alignment horizontal="right" vertical="center" indent="1"/>
    </xf>
    <xf numFmtId="164" fontId="3" fillId="0" borderId="25" xfId="0" applyFont="1" applyBorder="1">
      <alignment horizontal="center" vertical="center"/>
    </xf>
    <xf numFmtId="164" fontId="3" fillId="0" borderId="0" xfId="0" applyFont="1" applyBorder="1">
      <alignment horizontal="center" vertical="center"/>
    </xf>
    <xf numFmtId="164" fontId="15" fillId="4" borderId="0" xfId="0" applyFont="1" applyFill="1" applyBorder="1" applyAlignment="1">
      <alignment vertical="center"/>
    </xf>
    <xf numFmtId="164" fontId="14" fillId="4" borderId="0" xfId="0" applyFont="1" applyFill="1" applyBorder="1" applyAlignment="1">
      <alignment horizontal="left" vertical="center" indent="1"/>
    </xf>
    <xf numFmtId="164" fontId="14" fillId="4" borderId="0" xfId="0" applyFont="1" applyFill="1" applyBorder="1" applyAlignment="1">
      <alignment horizontal="right" vertical="center" indent="2"/>
    </xf>
    <xf numFmtId="164" fontId="14" fillId="0" borderId="0" xfId="4" applyNumberFormat="1" applyFont="1" applyFill="1" applyBorder="1" applyAlignment="1">
      <alignment vertical="center"/>
    </xf>
    <xf numFmtId="0" fontId="14" fillId="0" borderId="0" xfId="4" applyFont="1" applyFill="1" applyBorder="1" applyAlignment="1">
      <alignment horizontal="left" vertical="center" indent="1"/>
    </xf>
    <xf numFmtId="1" fontId="14" fillId="0" borderId="0" xfId="4" applyNumberFormat="1" applyFont="1" applyFill="1" applyBorder="1" applyAlignment="1">
      <alignment horizontal="right" vertical="center" indent="1"/>
    </xf>
    <xf numFmtId="0" fontId="14" fillId="0" borderId="0" xfId="4" applyFont="1" applyFill="1" applyBorder="1" applyAlignment="1">
      <alignment horizontal="right" vertical="center" indent="1"/>
    </xf>
    <xf numFmtId="164" fontId="3" fillId="0" borderId="0" xfId="0" applyFont="1" applyBorder="1" applyAlignment="1">
      <alignment horizontal="center"/>
    </xf>
    <xf numFmtId="164" fontId="3" fillId="0" borderId="26" xfId="0" applyFont="1" applyBorder="1">
      <alignment horizontal="center" vertical="center"/>
    </xf>
    <xf numFmtId="164" fontId="3" fillId="0" borderId="27" xfId="0" applyFont="1" applyBorder="1">
      <alignment horizontal="center" vertical="center"/>
    </xf>
    <xf numFmtId="164" fontId="3" fillId="0" borderId="28" xfId="0" applyFont="1" applyBorder="1">
      <alignment horizontal="center" vertical="center"/>
    </xf>
    <xf numFmtId="164" fontId="3" fillId="0" borderId="28" xfId="0" applyFont="1" applyBorder="1" applyAlignment="1">
      <alignment horizontal="center"/>
    </xf>
    <xf numFmtId="164" fontId="3" fillId="0" borderId="29" xfId="0" applyFont="1" applyBorder="1">
      <alignment horizontal="center" vertical="center"/>
    </xf>
    <xf numFmtId="164" fontId="24" fillId="0" borderId="0" xfId="9" applyNumberFormat="1" applyFont="1" applyFill="1" applyBorder="1" applyAlignment="1">
      <alignment horizontal="center" vertical="center"/>
    </xf>
    <xf numFmtId="164" fontId="25" fillId="0" borderId="0" xfId="9" applyNumberFormat="1" applyFont="1" applyFill="1" applyBorder="1" applyAlignment="1">
      <alignment horizontal="center" vertical="center" wrapText="1"/>
    </xf>
    <xf numFmtId="164" fontId="24" fillId="0" borderId="0" xfId="9" applyNumberFormat="1" applyFont="1" applyFill="1" applyBorder="1" applyAlignment="1">
      <alignment horizontal="center" vertical="center" wrapText="1"/>
    </xf>
    <xf numFmtId="164" fontId="20" fillId="0" borderId="12" xfId="12" applyBorder="1">
      <alignment horizontal="center" vertical="center"/>
    </xf>
    <xf numFmtId="1" fontId="22" fillId="0" borderId="12" xfId="9" applyNumberFormat="1" applyFont="1" applyFill="1" applyBorder="1" applyAlignment="1">
      <alignment horizontal="center" vertical="center"/>
    </xf>
    <xf numFmtId="2" fontId="0" fillId="0" borderId="0" xfId="0" applyNumberFormat="1" applyAlignment="1">
      <alignment vertical="center"/>
    </xf>
    <xf numFmtId="164" fontId="29" fillId="0" borderId="0" xfId="9" applyNumberFormat="1" applyFont="1" applyFill="1" applyBorder="1" applyAlignment="1">
      <alignment horizontal="center" vertical="center"/>
    </xf>
    <xf numFmtId="165" fontId="24" fillId="0" borderId="0" xfId="9" applyNumberFormat="1" applyFont="1" applyFill="1" applyBorder="1" applyAlignment="1">
      <alignment horizontal="center" vertical="center"/>
    </xf>
    <xf numFmtId="164" fontId="28" fillId="0" borderId="12" xfId="0" applyFont="1" applyFill="1" applyBorder="1">
      <alignment horizontal="center" vertical="center"/>
    </xf>
    <xf numFmtId="1" fontId="0" fillId="0" borderId="0" xfId="0" applyNumberFormat="1" applyAlignment="1">
      <alignment vertical="center"/>
    </xf>
    <xf numFmtId="164" fontId="14" fillId="0" borderId="13" xfId="11" applyNumberFormat="1" applyFont="1" applyFill="1" applyBorder="1" applyAlignment="1">
      <alignment horizontal="center" vertical="center" indent="1"/>
    </xf>
    <xf numFmtId="164" fontId="14" fillId="0" borderId="17" xfId="11" applyNumberFormat="1" applyFont="1" applyFill="1" applyBorder="1" applyAlignment="1">
      <alignment horizontal="center" vertical="center" indent="1"/>
    </xf>
    <xf numFmtId="164" fontId="14" fillId="0" borderId="14" xfId="11" applyNumberFormat="1" applyFont="1" applyFill="1" applyBorder="1" applyAlignment="1">
      <alignment horizontal="center" vertical="center" indent="1"/>
    </xf>
    <xf numFmtId="164" fontId="14" fillId="0" borderId="13" xfId="11" applyNumberFormat="1" applyFont="1" applyBorder="1" applyAlignment="1">
      <alignment horizontal="center" vertical="center" indent="1"/>
    </xf>
    <xf numFmtId="164" fontId="14" fillId="0" borderId="17" xfId="11" applyNumberFormat="1" applyFont="1" applyBorder="1" applyAlignment="1">
      <alignment horizontal="center" vertical="center" indent="1"/>
    </xf>
    <xf numFmtId="164" fontId="14" fillId="0" borderId="14" xfId="11" applyNumberFormat="1" applyFont="1" applyBorder="1" applyAlignment="1">
      <alignment horizontal="center" vertical="center" indent="1"/>
    </xf>
    <xf numFmtId="164" fontId="3" fillId="0" borderId="13" xfId="0" applyFont="1" applyFill="1" applyBorder="1">
      <alignment horizontal="center" vertical="center"/>
    </xf>
    <xf numFmtId="164" fontId="3" fillId="0" borderId="14" xfId="0" applyFont="1" applyFill="1" applyBorder="1">
      <alignment horizontal="center" vertical="center"/>
    </xf>
    <xf numFmtId="2" fontId="0" fillId="0" borderId="0" xfId="0" applyNumberFormat="1" applyAlignment="1">
      <alignment horizontal="left" vertical="center"/>
    </xf>
    <xf numFmtId="2" fontId="27" fillId="0" borderId="0" xfId="0" applyNumberFormat="1" applyFont="1" applyFill="1" applyBorder="1" applyAlignment="1">
      <alignment horizontal="left" vertical="center"/>
    </xf>
    <xf numFmtId="2" fontId="28" fillId="0" borderId="0" xfId="0" applyNumberFormat="1" applyFont="1" applyAlignment="1">
      <alignment horizontal="left" vertical="center"/>
    </xf>
    <xf numFmtId="164" fontId="22" fillId="0" borderId="0" xfId="9" applyNumberFormat="1" applyFont="1" applyFill="1" applyBorder="1" applyAlignment="1">
      <alignment horizontal="center" vertical="center"/>
    </xf>
    <xf numFmtId="10" fontId="14" fillId="0" borderId="0" xfId="4" applyNumberFormat="1" applyFont="1" applyFill="1" applyBorder="1" applyAlignment="1">
      <alignment horizontal="right" vertical="center" indent="1"/>
    </xf>
    <xf numFmtId="164" fontId="17" fillId="0" borderId="30" xfId="9" applyNumberFormat="1" applyFont="1" applyFill="1" applyBorder="1" applyAlignment="1">
      <alignment horizontal="center" vertical="center"/>
    </xf>
    <xf numFmtId="164" fontId="17" fillId="0" borderId="30" xfId="9" applyNumberFormat="1" applyFont="1" applyFill="1" applyBorder="1" applyAlignment="1">
      <alignment horizontal="left" vertical="center"/>
    </xf>
    <xf numFmtId="164" fontId="20" fillId="0" borderId="0" xfId="12" applyAlignment="1">
      <alignment vertical="center"/>
    </xf>
    <xf numFmtId="164" fontId="20" fillId="0" borderId="0" xfId="12" applyAlignment="1">
      <alignment horizontal="left" vertical="center"/>
    </xf>
    <xf numFmtId="164" fontId="30" fillId="0" borderId="12" xfId="12" applyNumberFormat="1" applyFont="1" applyFill="1" applyBorder="1" applyAlignment="1">
      <alignment horizontal="center" vertical="center"/>
    </xf>
    <xf numFmtId="164" fontId="31" fillId="0" borderId="18" xfId="9" applyNumberFormat="1" applyFont="1" applyFill="1" applyBorder="1" applyAlignment="1">
      <alignment horizontal="center" vertical="center"/>
    </xf>
    <xf numFmtId="1" fontId="22" fillId="0" borderId="18" xfId="9" applyNumberFormat="1" applyFont="1" applyFill="1" applyBorder="1" applyAlignment="1">
      <alignment horizontal="center" vertical="center"/>
    </xf>
    <xf numFmtId="1" fontId="22" fillId="0" borderId="31" xfId="9" applyNumberFormat="1" applyFont="1" applyFill="1" applyBorder="1" applyAlignment="1">
      <alignment horizontal="center" vertical="center"/>
    </xf>
    <xf numFmtId="164" fontId="34" fillId="0" borderId="0" xfId="0" applyFont="1" applyAlignment="1">
      <alignment vertical="center"/>
    </xf>
    <xf numFmtId="1" fontId="34" fillId="0" borderId="0" xfId="0" applyNumberFormat="1" applyFont="1" applyAlignment="1">
      <alignment vertical="center"/>
    </xf>
    <xf numFmtId="2" fontId="34" fillId="0" borderId="0" xfId="0" applyNumberFormat="1" applyFont="1" applyAlignment="1">
      <alignment vertical="center"/>
    </xf>
    <xf numFmtId="1" fontId="27" fillId="0" borderId="0" xfId="0" applyNumberFormat="1" applyFont="1" applyFill="1" applyBorder="1" applyAlignment="1">
      <alignment vertical="center"/>
    </xf>
    <xf numFmtId="1" fontId="28" fillId="0" borderId="0" xfId="0" applyNumberFormat="1" applyFont="1" applyAlignment="1">
      <alignment vertical="center"/>
    </xf>
    <xf numFmtId="164" fontId="34" fillId="0" borderId="12" xfId="0" applyFont="1" applyBorder="1" applyAlignment="1">
      <alignment horizontal="left" vertical="center"/>
    </xf>
    <xf numFmtId="1" fontId="34" fillId="0" borderId="12" xfId="0" applyNumberFormat="1" applyFont="1" applyBorder="1" applyAlignment="1">
      <alignment horizontal="left" vertical="center"/>
    </xf>
    <xf numFmtId="2" fontId="34" fillId="0" borderId="12" xfId="0" applyNumberFormat="1" applyFont="1" applyBorder="1" applyAlignment="1">
      <alignment horizontal="left" vertical="center"/>
    </xf>
    <xf numFmtId="164" fontId="34" fillId="0" borderId="12" xfId="0" applyFont="1" applyBorder="1" applyAlignment="1">
      <alignment vertical="center"/>
    </xf>
    <xf numFmtId="2" fontId="34" fillId="0" borderId="12" xfId="0" applyNumberFormat="1" applyFont="1" applyBorder="1" applyAlignment="1">
      <alignment vertical="center"/>
    </xf>
    <xf numFmtId="1" fontId="34" fillId="0" borderId="12" xfId="0" applyNumberFormat="1" applyFont="1" applyBorder="1" applyAlignment="1">
      <alignment vertical="center"/>
    </xf>
    <xf numFmtId="164" fontId="34" fillId="0" borderId="12" xfId="0" applyFont="1" applyBorder="1">
      <alignment horizontal="center" vertical="center"/>
    </xf>
    <xf numFmtId="164" fontId="33" fillId="0" borderId="12" xfId="0" applyFont="1" applyBorder="1">
      <alignment horizontal="center" vertical="center"/>
    </xf>
    <xf numFmtId="2" fontId="34" fillId="0" borderId="12" xfId="0" applyNumberFormat="1" applyFont="1" applyBorder="1">
      <alignment horizontal="center" vertical="center"/>
    </xf>
    <xf numFmtId="1" fontId="34" fillId="0" borderId="12" xfId="0" applyNumberFormat="1" applyFont="1" applyBorder="1">
      <alignment horizontal="center" vertical="center"/>
    </xf>
    <xf numFmtId="1" fontId="34" fillId="0" borderId="0" xfId="0" applyNumberFormat="1" applyFont="1">
      <alignment horizontal="center" vertical="center"/>
    </xf>
    <xf numFmtId="2" fontId="34" fillId="0" borderId="0" xfId="0" applyNumberFormat="1" applyFont="1">
      <alignment horizontal="center" vertical="center"/>
    </xf>
    <xf numFmtId="164" fontId="34" fillId="0" borderId="0" xfId="0" applyFont="1">
      <alignment horizontal="center" vertical="center"/>
    </xf>
    <xf numFmtId="164" fontId="36" fillId="0" borderId="0" xfId="0" applyFont="1">
      <alignment horizontal="center" vertical="center"/>
    </xf>
    <xf numFmtId="164" fontId="37" fillId="0" borderId="0" xfId="0" applyFont="1" applyAlignment="1"/>
    <xf numFmtId="164" fontId="0" fillId="0" borderId="0" xfId="0" applyAlignment="1"/>
    <xf numFmtId="164" fontId="38" fillId="0" borderId="0" xfId="0" applyFont="1" applyAlignment="1"/>
    <xf numFmtId="164" fontId="33" fillId="9" borderId="12" xfId="0" applyFont="1" applyFill="1" applyBorder="1" applyAlignment="1">
      <alignment horizontal="left" vertical="center"/>
    </xf>
    <xf numFmtId="164" fontId="39" fillId="0" borderId="0" xfId="0" applyFont="1" applyAlignment="1"/>
    <xf numFmtId="164" fontId="41" fillId="0" borderId="0" xfId="0" applyFont="1" applyAlignment="1"/>
    <xf numFmtId="164" fontId="44" fillId="0" borderId="0" xfId="0" applyFont="1" applyAlignment="1"/>
    <xf numFmtId="164" fontId="45" fillId="0" borderId="0" xfId="0" applyFont="1" applyAlignment="1"/>
    <xf numFmtId="164" fontId="46" fillId="0" borderId="0" xfId="0" applyFont="1" applyAlignment="1"/>
    <xf numFmtId="164" fontId="0" fillId="0" borderId="0" xfId="0" applyAlignment="1">
      <alignment wrapText="1"/>
    </xf>
    <xf numFmtId="0" fontId="0" fillId="0" borderId="0" xfId="0" applyNumberFormat="1" applyAlignment="1"/>
    <xf numFmtId="164" fontId="45" fillId="0" borderId="0" xfId="0" applyFont="1">
      <alignment horizontal="center" vertical="center"/>
    </xf>
    <xf numFmtId="164" fontId="17" fillId="0" borderId="13" xfId="9" applyNumberFormat="1" applyFont="1" applyFill="1" applyBorder="1" applyAlignment="1">
      <alignment horizontal="center" vertical="center"/>
    </xf>
    <xf numFmtId="164" fontId="17" fillId="0" borderId="14" xfId="9" applyNumberFormat="1" applyFont="1" applyFill="1" applyBorder="1" applyAlignment="1">
      <alignment horizontal="center" vertical="center"/>
    </xf>
    <xf numFmtId="164" fontId="12" fillId="8" borderId="8" xfId="10" applyNumberFormat="1" applyFont="1" applyFill="1" applyBorder="1" applyAlignment="1">
      <alignment horizontal="center" vertical="center"/>
    </xf>
    <xf numFmtId="164" fontId="22" fillId="0" borderId="13" xfId="9" applyNumberFormat="1" applyFont="1" applyFill="1" applyBorder="1" applyAlignment="1">
      <alignment horizontal="center" vertical="center"/>
    </xf>
    <xf numFmtId="164" fontId="22" fillId="0" borderId="12" xfId="9" applyNumberFormat="1" applyFont="1" applyFill="1" applyBorder="1" applyAlignment="1">
      <alignment horizontal="center" vertical="center"/>
    </xf>
    <xf numFmtId="164" fontId="22" fillId="0" borderId="19" xfId="9" applyNumberFormat="1" applyFont="1" applyFill="1" applyBorder="1" applyAlignment="1">
      <alignment horizontal="left" vertical="center" wrapText="1"/>
    </xf>
    <xf numFmtId="164" fontId="22" fillId="0" borderId="11" xfId="9" applyNumberFormat="1" applyFont="1" applyFill="1" applyBorder="1" applyAlignment="1">
      <alignment horizontal="left" vertical="center" wrapText="1"/>
    </xf>
    <xf numFmtId="164" fontId="22" fillId="0" borderId="17" xfId="9" applyNumberFormat="1" applyFont="1" applyFill="1" applyBorder="1" applyAlignment="1">
      <alignment horizontal="left" vertical="center" wrapText="1"/>
    </xf>
    <xf numFmtId="164" fontId="22" fillId="0" borderId="14" xfId="9" applyNumberFormat="1" applyFont="1" applyFill="1" applyBorder="1" applyAlignment="1">
      <alignment horizontal="left" vertical="center" wrapText="1"/>
    </xf>
    <xf numFmtId="164" fontId="21" fillId="8" borderId="0" xfId="10" applyNumberFormat="1" applyFont="1" applyFill="1" applyBorder="1" applyAlignment="1">
      <alignment horizontal="center" vertical="center"/>
    </xf>
    <xf numFmtId="164" fontId="14" fillId="0" borderId="13" xfId="11" applyNumberFormat="1" applyFont="1" applyFill="1" applyBorder="1" applyAlignment="1">
      <alignment horizontal="center" vertical="center" indent="1"/>
    </xf>
    <xf numFmtId="164" fontId="14" fillId="0" borderId="17" xfId="11" applyNumberFormat="1" applyFont="1" applyFill="1" applyBorder="1" applyAlignment="1">
      <alignment horizontal="center" vertical="center" indent="1"/>
    </xf>
    <xf numFmtId="164" fontId="14" fillId="0" borderId="14" xfId="11" applyNumberFormat="1" applyFont="1" applyFill="1" applyBorder="1" applyAlignment="1">
      <alignment horizontal="center" vertical="center" indent="1"/>
    </xf>
    <xf numFmtId="164" fontId="22" fillId="0" borderId="18" xfId="9" applyNumberFormat="1" applyFont="1" applyFill="1" applyBorder="1" applyAlignment="1">
      <alignment horizontal="center" vertical="center"/>
    </xf>
    <xf numFmtId="164" fontId="22" fillId="0" borderId="30" xfId="9" applyNumberFormat="1" applyFont="1" applyFill="1" applyBorder="1" applyAlignment="1">
      <alignment horizontal="center" vertical="center"/>
    </xf>
    <xf numFmtId="164" fontId="22" fillId="0" borderId="15" xfId="9" applyNumberFormat="1" applyFont="1" applyFill="1" applyBorder="1" applyAlignment="1">
      <alignment horizontal="center" vertical="center"/>
    </xf>
    <xf numFmtId="164" fontId="29" fillId="0" borderId="12" xfId="9" applyNumberFormat="1" applyFont="1" applyFill="1" applyBorder="1" applyAlignment="1">
      <alignment horizontal="center" vertical="center"/>
    </xf>
    <xf numFmtId="164" fontId="29" fillId="0" borderId="13" xfId="9" applyNumberFormat="1" applyFont="1" applyFill="1" applyBorder="1" applyAlignment="1">
      <alignment horizontal="center" vertical="center"/>
    </xf>
    <xf numFmtId="164" fontId="29" fillId="0" borderId="17" xfId="9" applyNumberFormat="1" applyFont="1" applyFill="1" applyBorder="1" applyAlignment="1">
      <alignment horizontal="center" vertical="center"/>
    </xf>
    <xf numFmtId="164" fontId="29" fillId="0" borderId="14" xfId="9" applyNumberFormat="1" applyFont="1" applyFill="1" applyBorder="1" applyAlignment="1">
      <alignment horizontal="center" vertical="center"/>
    </xf>
    <xf numFmtId="165" fontId="24" fillId="0" borderId="12" xfId="9" applyNumberFormat="1" applyFont="1" applyFill="1" applyBorder="1" applyAlignment="1">
      <alignment horizontal="center" vertical="center"/>
    </xf>
    <xf numFmtId="164" fontId="17" fillId="6" borderId="16" xfId="9" quotePrefix="1" applyNumberFormat="1" applyFont="1" applyBorder="1" applyAlignment="1">
      <alignment horizontal="center" vertical="center"/>
    </xf>
    <xf numFmtId="164" fontId="17" fillId="6" borderId="0" xfId="9" applyNumberFormat="1" applyFont="1" applyBorder="1" applyAlignment="1">
      <alignment horizontal="center" vertical="center"/>
    </xf>
    <xf numFmtId="166" fontId="24" fillId="0" borderId="12" xfId="9" applyNumberFormat="1" applyFont="1" applyFill="1" applyBorder="1" applyAlignment="1">
      <alignment horizontal="center" vertical="center"/>
    </xf>
    <xf numFmtId="14" fontId="20" fillId="0" borderId="12" xfId="12" applyNumberFormat="1" applyBorder="1" applyAlignment="1">
      <alignment horizontal="center" vertical="center"/>
    </xf>
    <xf numFmtId="14" fontId="23" fillId="0" borderId="12" xfId="9" applyNumberFormat="1" applyFont="1" applyFill="1" applyBorder="1" applyAlignment="1">
      <alignment horizontal="center" vertical="center"/>
    </xf>
    <xf numFmtId="164" fontId="23" fillId="0" borderId="12" xfId="9" applyNumberFormat="1" applyFont="1" applyFill="1" applyBorder="1" applyAlignment="1">
      <alignment horizontal="center" vertical="center"/>
    </xf>
    <xf numFmtId="164" fontId="23" fillId="0" borderId="13" xfId="9" applyNumberFormat="1" applyFont="1" applyFill="1" applyBorder="1" applyAlignment="1">
      <alignment horizontal="center" vertical="center"/>
    </xf>
    <xf numFmtId="0" fontId="20" fillId="0" borderId="12" xfId="12" applyNumberFormat="1" applyBorder="1" applyAlignment="1">
      <alignment horizontal="center" vertical="center"/>
    </xf>
    <xf numFmtId="0" fontId="20" fillId="0" borderId="12" xfId="12" applyNumberFormat="1" applyFill="1" applyBorder="1" applyAlignment="1">
      <alignment horizontal="center" vertical="center"/>
    </xf>
    <xf numFmtId="164" fontId="21" fillId="8" borderId="9" xfId="10" applyNumberFormat="1" applyFont="1" applyFill="1" applyBorder="1" applyAlignment="1">
      <alignment horizontal="center" vertical="center"/>
    </xf>
    <xf numFmtId="164" fontId="18" fillId="8" borderId="9" xfId="10" applyNumberFormat="1" applyFont="1" applyFill="1" applyBorder="1" applyAlignment="1">
      <alignment horizontal="center" vertical="center"/>
    </xf>
    <xf numFmtId="164" fontId="14" fillId="0" borderId="13" xfId="11" applyNumberFormat="1" applyFont="1" applyBorder="1" applyAlignment="1">
      <alignment horizontal="center" vertical="center" indent="1"/>
    </xf>
    <xf numFmtId="164" fontId="14" fillId="0" borderId="17" xfId="11" applyNumberFormat="1" applyFont="1" applyBorder="1" applyAlignment="1">
      <alignment horizontal="center" vertical="center" indent="1"/>
    </xf>
    <xf numFmtId="164" fontId="14" fillId="0" borderId="14" xfId="11" applyNumberFormat="1" applyFont="1" applyBorder="1" applyAlignment="1">
      <alignment horizontal="center" vertical="center" indent="1"/>
    </xf>
    <xf numFmtId="1" fontId="22" fillId="0" borderId="12" xfId="9" applyNumberFormat="1" applyFont="1" applyFill="1" applyBorder="1" applyAlignment="1">
      <alignment horizontal="center" vertical="center"/>
    </xf>
    <xf numFmtId="1" fontId="22" fillId="0" borderId="31" xfId="9" applyNumberFormat="1" applyFont="1" applyFill="1" applyBorder="1" applyAlignment="1">
      <alignment horizontal="center" vertical="center"/>
    </xf>
    <xf numFmtId="1" fontId="22" fillId="0" borderId="33" xfId="9" applyNumberFormat="1" applyFont="1" applyFill="1" applyBorder="1" applyAlignment="1">
      <alignment horizontal="center" vertical="center"/>
    </xf>
    <xf numFmtId="164" fontId="20" fillId="0" borderId="13" xfId="12" applyBorder="1" applyAlignment="1">
      <alignment horizontal="left" vertical="center"/>
    </xf>
    <xf numFmtId="164" fontId="20" fillId="0" borderId="14" xfId="12" applyBorder="1" applyAlignment="1">
      <alignment horizontal="left" vertical="center"/>
    </xf>
    <xf numFmtId="164" fontId="24" fillId="0" borderId="31" xfId="9" applyNumberFormat="1" applyFont="1" applyFill="1" applyBorder="1" applyAlignment="1">
      <alignment horizontal="center" vertical="center"/>
    </xf>
    <xf numFmtId="164" fontId="24" fillId="0" borderId="10" xfId="9" applyNumberFormat="1" applyFont="1" applyFill="1" applyBorder="1" applyAlignment="1">
      <alignment horizontal="center" vertical="center"/>
    </xf>
    <xf numFmtId="164" fontId="26" fillId="0" borderId="12" xfId="9" applyNumberFormat="1" applyFont="1" applyFill="1" applyBorder="1" applyAlignment="1">
      <alignment horizontal="center" vertical="center" wrapText="1"/>
    </xf>
    <xf numFmtId="164" fontId="25" fillId="0" borderId="12" xfId="9" applyNumberFormat="1" applyFont="1" applyFill="1" applyBorder="1" applyAlignment="1">
      <alignment horizontal="center" vertical="center" wrapText="1"/>
    </xf>
    <xf numFmtId="1" fontId="22" fillId="0" borderId="32" xfId="9" applyNumberFormat="1" applyFont="1" applyFill="1" applyBorder="1" applyAlignment="1">
      <alignment horizontal="center" vertical="center"/>
    </xf>
    <xf numFmtId="164" fontId="20" fillId="0" borderId="17" xfId="12" applyBorder="1" applyAlignment="1">
      <alignment horizontal="left" vertical="center"/>
    </xf>
    <xf numFmtId="164" fontId="33" fillId="0" borderId="12" xfId="0" applyFont="1" applyBorder="1" applyAlignment="1">
      <alignment vertical="center"/>
    </xf>
    <xf numFmtId="164" fontId="35" fillId="0" borderId="12" xfId="0" applyFont="1" applyBorder="1" applyAlignment="1">
      <alignment vertical="center"/>
    </xf>
    <xf numFmtId="164" fontId="32" fillId="0" borderId="12" xfId="0" applyFont="1" applyBorder="1" applyAlignment="1">
      <alignment vertical="center"/>
    </xf>
    <xf numFmtId="164" fontId="14" fillId="0" borderId="13" xfId="0" applyFont="1" applyBorder="1" applyAlignment="1">
      <alignment horizontal="center" vertical="center"/>
    </xf>
    <xf numFmtId="164" fontId="14" fillId="0" borderId="17" xfId="0" applyFont="1" applyBorder="1" applyAlignment="1">
      <alignment horizontal="center" vertical="center"/>
    </xf>
    <xf numFmtId="164" fontId="14" fillId="0" borderId="14" xfId="0" applyFont="1" applyBorder="1" applyAlignment="1">
      <alignment horizontal="center" vertical="center"/>
    </xf>
    <xf numFmtId="164" fontId="3" fillId="0" borderId="13" xfId="0" applyFont="1" applyFill="1" applyBorder="1" applyAlignment="1">
      <alignment horizontal="center" vertical="center"/>
    </xf>
    <xf numFmtId="164" fontId="3" fillId="0" borderId="14" xfId="0" applyFont="1" applyFill="1" applyBorder="1" applyAlignment="1">
      <alignment horizontal="center" vertical="center"/>
    </xf>
    <xf numFmtId="164" fontId="3" fillId="0" borderId="13" xfId="0" applyFont="1" applyBorder="1" applyAlignment="1">
      <alignment horizontal="center" vertical="center"/>
    </xf>
    <xf numFmtId="164" fontId="3" fillId="0" borderId="17" xfId="0" applyFont="1" applyBorder="1" applyAlignment="1">
      <alignment horizontal="center" vertical="center"/>
    </xf>
    <xf numFmtId="164" fontId="3" fillId="0" borderId="14" xfId="0" applyFont="1" applyBorder="1" applyAlignment="1">
      <alignment horizontal="center" vertical="center"/>
    </xf>
    <xf numFmtId="164" fontId="3" fillId="0" borderId="12" xfId="0" applyFont="1" applyBorder="1" applyAlignment="1">
      <alignment horizontal="center" vertical="center"/>
    </xf>
    <xf numFmtId="164" fontId="3" fillId="0" borderId="11" xfId="0" applyFont="1" applyBorder="1" applyAlignment="1">
      <alignment horizontal="center" vertical="center"/>
    </xf>
    <xf numFmtId="164" fontId="3" fillId="0" borderId="15" xfId="0" applyFont="1" applyBorder="1" applyAlignment="1">
      <alignment horizontal="center" vertical="center"/>
    </xf>
    <xf numFmtId="164" fontId="34" fillId="0" borderId="0" xfId="0" applyFont="1" applyAlignment="1">
      <alignment horizontal="center" vertical="center"/>
    </xf>
  </cellXfs>
  <cellStyles count="13">
    <cellStyle name="20% - Accent1" xfId="4" builtinId="30"/>
    <cellStyle name="Accent1" xfId="1" builtinId="29" customBuiltin="1"/>
    <cellStyle name="Accent2" xfId="2" builtinId="33" customBuiltin="1"/>
    <cellStyle name="Accent3" xfId="5" builtinId="37" customBuiltin="1"/>
    <cellStyle name="Comma" xfId="7" builtinId="3" customBuiltin="1"/>
    <cellStyle name="Comma [0]" xfId="8" builtinId="6" customBuiltin="1"/>
    <cellStyle name="Heading 1" xfId="10" builtinId="16" customBuiltin="1"/>
    <cellStyle name="Hyperlink" xfId="12" builtinId="8"/>
    <cellStyle name="Input" xfId="11" builtinId="20" customBuiltin="1"/>
    <cellStyle name="Normal" xfId="0" builtinId="0" customBuiltin="1"/>
    <cellStyle name="Style 1" xfId="6" xr:uid="{00000000-0005-0000-0000-000009000000}"/>
    <cellStyle name="Table Style 1" xfId="3" xr:uid="{00000000-0005-0000-0000-000012000000}"/>
    <cellStyle name="Title" xfId="9" builtinId="15" customBuiltin="1"/>
  </cellStyles>
  <dxfs count="64">
    <dxf>
      <font>
        <b val="0"/>
        <i val="0"/>
        <strike val="0"/>
        <condense val="0"/>
        <extend val="0"/>
        <outline val="0"/>
        <shadow val="0"/>
        <u val="none"/>
        <vertAlign val="baseline"/>
        <sz val="10"/>
        <color auto="1"/>
        <name val="Calibri"/>
        <scheme val="none"/>
      </font>
      <numFmt numFmtId="1" formatCode="0"/>
      <alignment horizontal="general"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numFmt numFmtId="2" formatCode="0.00"/>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auto="1"/>
        <name val="Calibri"/>
        <scheme val="none"/>
      </font>
      <alignment horizontal="general" vertical="center"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alignment wrapText="0"/>
    </dxf>
    <dxf>
      <font>
        <b val="0"/>
        <i val="0"/>
        <strike val="0"/>
        <condense val="0"/>
        <extend val="0"/>
        <outline val="0"/>
        <shadow val="0"/>
        <u val="none"/>
        <vertAlign val="baseline"/>
        <sz val="10"/>
        <color auto="1"/>
        <name val="Calibri"/>
        <scheme val="none"/>
      </font>
      <alignment horizontal="left" vertical="center"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alignment horizontal="general" vertical="center" textRotation="0" wrapText="0" indent="0"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color theme="3" tint="-0.499984740745262"/>
        <name val="Tahoma"/>
        <family val="2"/>
        <scheme val="minor"/>
      </font>
      <fill>
        <patternFill patternType="none">
          <fgColor indexed="64"/>
          <bgColor auto="1"/>
        </patternFill>
      </fill>
    </dxf>
    <dxf>
      <font>
        <strike val="0"/>
        <outline val="0"/>
        <shadow val="0"/>
        <u val="none"/>
        <vertAlign val="baseline"/>
        <sz val="11"/>
        <color theme="3" tint="-0.499984740745262"/>
        <name val="Tahoma"/>
        <family val="2"/>
        <scheme val="minor"/>
      </font>
      <numFmt numFmtId="1" formatCode="0"/>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color theme="3" tint="-0.499984740745262"/>
        <name val="Tahoma"/>
        <family val="2"/>
        <scheme val="minor"/>
      </font>
      <fill>
        <patternFill patternType="none">
          <fgColor indexed="64"/>
          <bgColor auto="1"/>
        </patternFill>
      </fill>
      <alignment horizontal="right" vertical="center" textRotation="0" wrapText="0" indent="1" justifyLastLine="0" shrinkToFit="0" readingOrder="0"/>
    </dxf>
    <dxf>
      <font>
        <strike val="0"/>
        <outline val="0"/>
        <shadow val="0"/>
        <u val="none"/>
        <vertAlign val="baseline"/>
        <sz val="11"/>
        <color theme="3" tint="-0.499984740745262"/>
        <name val="Tahoma"/>
        <family val="2"/>
        <scheme val="minor"/>
      </font>
      <fill>
        <patternFill patternType="none">
          <fgColor indexed="64"/>
          <bgColor auto="1"/>
        </patternFill>
      </fill>
      <alignment horizontal="left" vertical="center" textRotation="0" wrapText="0" indent="1" justifyLastLine="0" shrinkToFit="0" readingOrder="0"/>
    </dxf>
    <dxf>
      <font>
        <strike val="0"/>
        <outline val="0"/>
        <shadow val="0"/>
        <u val="none"/>
        <vertAlign val="baseline"/>
        <color theme="3" tint="-0.499984740745262"/>
        <name val="Tahoma"/>
        <family val="2"/>
        <scheme val="minor"/>
      </font>
      <fill>
        <patternFill patternType="none">
          <fgColor indexed="64"/>
          <bgColor auto="1"/>
        </patternFill>
      </fill>
    </dxf>
    <dxf>
      <border>
        <bottom style="thin">
          <color theme="4"/>
        </bottom>
      </border>
    </dxf>
    <dxf>
      <font>
        <strike val="0"/>
        <outline val="0"/>
        <shadow val="0"/>
        <u val="none"/>
        <vertAlign val="baseline"/>
        <color theme="3" tint="-0.499984740745262"/>
        <name val="Tahoma"/>
        <family val="2"/>
        <scheme val="minor"/>
      </font>
      <fill>
        <patternFill patternType="none">
          <fgColor indexed="64"/>
          <bgColor auto="1"/>
        </patternFill>
      </fill>
    </dxf>
    <dxf>
      <font>
        <b/>
        <strike val="0"/>
        <outline val="0"/>
        <shadow val="0"/>
        <u val="none"/>
        <vertAlign val="baseline"/>
        <color theme="3" tint="-0.499984740745262"/>
        <name val="Tahoma"/>
        <family val="2"/>
        <scheme val="minor"/>
      </font>
      <fill>
        <patternFill patternType="none">
          <fgColor indexed="64"/>
          <bgColor auto="1"/>
        </patternFill>
      </fill>
    </dxf>
    <dxf>
      <font>
        <b/>
        <i val="0"/>
      </font>
      <border>
        <top style="double">
          <color theme="5"/>
        </top>
      </border>
    </dxf>
    <dxf>
      <font>
        <b/>
        <i val="0"/>
      </font>
      <fill>
        <patternFill>
          <bgColor theme="4" tint="0.79998168889431442"/>
        </patternFill>
      </fill>
    </dxf>
    <dxf>
      <border>
        <left style="thin">
          <color theme="5"/>
        </left>
        <right style="thin">
          <color theme="5"/>
        </right>
        <top style="thin">
          <color theme="5"/>
        </top>
        <bottom style="thin">
          <color theme="5"/>
        </bottom>
        <horizontal style="thin">
          <color theme="5"/>
        </horizontal>
      </border>
    </dxf>
    <dxf>
      <border>
        <top style="double">
          <color theme="5"/>
        </top>
      </border>
    </dxf>
    <dxf>
      <fill>
        <patternFill>
          <bgColor theme="4" tint="0.79998168889431442"/>
        </patternFill>
      </fill>
    </dxf>
    <dxf>
      <border>
        <left style="thin">
          <color theme="5"/>
        </left>
        <right style="thin">
          <color theme="5"/>
        </right>
        <top style="thin">
          <color theme="5"/>
        </top>
        <bottom style="thin">
          <color theme="5"/>
        </bottom>
        <horizontal style="thin">
          <color theme="5"/>
        </horizontal>
      </border>
    </dxf>
    <dxf>
      <fill>
        <patternFill>
          <bgColor theme="4" tint="0.79998168889431442"/>
        </patternFill>
      </fill>
    </dxf>
    <dxf>
      <font>
        <b/>
        <i val="0"/>
      </font>
      <fill>
        <patternFill>
          <bgColor theme="6"/>
        </patternFill>
      </fill>
    </dxf>
  </dxfs>
  <tableStyles count="3" defaultTableStyle="TableStyleMedium2" defaultPivotStyle="PivotStyleLight16">
    <tableStyle name="Buy vs rideshare Table 1" pivot="0" count="2" xr9:uid="{00000000-0011-0000-FFFF-FFFF00000000}">
      <tableStyleElement type="totalRow" dxfId="63"/>
      <tableStyleElement type="firstRowStripe" dxfId="62"/>
    </tableStyle>
    <tableStyle name="PivotTable Style 1" table="0" count="3" xr9:uid="{E3F404F2-011A-E842-B520-642860C59EA9}">
      <tableStyleElement type="wholeTable" dxfId="61"/>
      <tableStyleElement type="headerRow" dxfId="60"/>
      <tableStyleElement type="firstSubtotalRow" dxfId="59"/>
    </tableStyle>
    <tableStyle name="Table Style 1" pivot="0" count="3" xr9:uid="{36058966-0EDD-974A-9022-F35F63ED4CA0}">
      <tableStyleElement type="wholeTable" dxfId="58"/>
      <tableStyleElement type="headerRow" dxfId="57"/>
      <tableStyleElement type="totalRow" dxfId="56"/>
    </tableStyle>
  </tableStyles>
  <colors>
    <mruColors>
      <color rgb="FF004A6D"/>
      <color rgb="FF02778B"/>
      <color rgb="FF00B0F0"/>
      <color rgb="FFD9D9D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tyles" Target="style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3">
  <rv s="0">
    <v>Stendarr, Inc.</v>
    <v>TetrisApp</v>
    <v>0</v>
    <v>1</v>
    <v>Stendarr, Inc.</v>
    <v>Stendarr, Inc. </v>
    <v>1</v>
    <v>0.99</v>
  </rv>
  <rv s="0">
    <v>Stendarr, Inc. </v>
    <v>TetrisApp</v>
    <v>0</v>
    <v>1</v>
    <v>Stendarr, Inc. </v>
    <v>Stendarr, Inc.</v>
    <v>1</v>
    <v>0.85</v>
  </rv>
  <rv s="0">
    <v>SKY-2000-101</v>
    <v>TetrisApp</v>
    <v>0</v>
    <v>1</v>
    <v>SKY-2000-101</v>
    <v>SKY-2000-101 </v>
    <v>1</v>
    <v>1</v>
  </rv>
  <rv s="0">
    <v>SKY-2000-101 </v>
    <v>TetrisApp</v>
    <v>0</v>
    <v>1</v>
    <v>SKY-2000-101 </v>
    <v>SKY-2000-101</v>
    <v>1</v>
    <v>0.92</v>
  </rv>
  <rv s="0">
    <v/>
    <v>TetrisApp</v>
    <v>0</v>
    <v>1</v>
    <v/>
    <v/>
    <v>0</v>
    <v>0</v>
  </rv>
  <rv s="0">
    <v>Karliah N. Gale, MD​profe​ </v>
    <v>TetrisApp</v>
    <v>0</v>
    <v>1</v>
    <v>Karliah N. Gale, MD​profe​ </v>
    <v/>
    <v>0</v>
    <v>0</v>
  </rv>
  <rv s="0">
    <v>A First-In-Human, Phase 1, Randomized, Double-Blind, Placebo-Controlled Study to Evaluate the Safety, Tolerability, and Pharmacokinetics of ABC-123 as a Single Dose in Healthy Participants and as Multiple Doses in Participants with Grade 2 Boneitis</v>
    <v>TetrisApp</v>
    <v>0</v>
    <v>1</v>
    <v>A First-In-Human, Phase 1, Randomized, Double-Blind, Placebo-Controlled Study to Evaluate the Safety, Tolerability, and Pharmacokinetics of ABC-123 as a Single Dose in Healthy Participants and as Multiple Doses in Participants with Grade 2 Boneitis</v>
    <v>A First-In-Human, Phase 1, Randomized, Double-Blind, Placebo-Controlled Study to Evaluate the Safety, Tolerability, and Pharmacokinetics of ABC-123 as a Single Dose in Healthy Participants and as Multiple Doses in Participants with Grade 2 Boneitis</v>
    <v>1</v>
    <v>0.61</v>
  </rv>
  <rv s="0">
    <v>A First-In-Human, Phase 1, Randomized, Double-Blind, Placebo-Controlled Study to Evaluate the Safety, Tolerability, and Pharmacokinetics of ABC-123 as a Single Dose in Healthy Participants and as Multiple Doses in Participants with Grade 2 Boneitis</v>
    <v>TetrisApp</v>
    <v>0</v>
    <v>1</v>
    <v>A First-In-Human, Phase 1, Randomized, Double-Blind, Placebo-Controlled Study to Evaluate the Safety, Tolerability, and Pharmacokinetics of ABC-123 as a Single Dose in Healthy Participants and as Multiple Doses in Participants with Grade 2 Boneitis</v>
    <v>A First-In-Human, Phase 1, Randomized, Double-Blind, Placebo-Controlled Study to Evaluate the Safety, Tolerability, and Pharmacokinetics of ABC-123 as a Single Dose in Healthy Participants and as Multiple Doses in Participants with Grade 2 Boneitis</v>
    <v>1</v>
    <v>0.6</v>
  </rv>
  <rv s="0">
    <v>555-999-1111 </v>
    <v>TetrisApp</v>
    <v>0</v>
    <v>1</v>
    <v>555-999-1111 </v>
    <v/>
    <v>0</v>
    <v>0</v>
  </rv>
  <rv s="0">
    <v>123 Fake Street, Anytown, CO, USA 80002</v>
    <v>TetrisApp</v>
    <v>0</v>
    <v>1</v>
    <v>123 Fake Street, Anytown, CO, USA 80002</v>
    <v> 123 Fake Street, Anytown, CO, USA 80002</v>
    <v>1</v>
    <v>0.93</v>
  </rv>
  <rv s="0">
    <v> 123 Fake Street, Anytown, CO, USA 80002</v>
    <v>TetrisApp</v>
    <v>0</v>
    <v>1</v>
    <v> 123 Fake Street, Anytown, CO, USA 80002</v>
    <v>123 Fake Street, Anytown, CO, USA 80002</v>
    <v>1</v>
    <v>0.79</v>
  </rv>
  <rv s="0">
    <v>Boneitis</v>
    <v>TetrisApp</v>
    <v>0</v>
    <v>1</v>
    <v>Boneitis</v>
    <v/>
    <v>0</v>
    <v>0</v>
  </rv>
  <rv s="0">
    <v>a disease that causes bones to change shape or disappear</v>
    <v>TetrisApp</v>
    <v>0</v>
    <v>1</v>
    <v>a disease that causes bones to change shape or disappear</v>
    <v>ABC-123 is intended for use in patients with boneitis, a disease that causes bones to change shape or disappear.</v>
    <v>1</v>
    <v>0.79</v>
  </rv>
  <rv s="0">
    <v>ABC-123 is intended for use in patients with boneitis, a disease that causes bones to change shape or disappear.</v>
    <v>TetrisApp</v>
    <v>0</v>
    <v>1</v>
    <v>ABC-123 is intended for use in patients with boneitis, a disease that causes bones to change shape or disappear.</v>
    <v/>
    <v>0</v>
    <v>0</v>
  </rv>
  <rv s="0">
    <v>first-in-human, Phase 1</v>
    <v>TetrisApp</v>
    <v>0</v>
    <v>1</v>
    <v>first-in-human, Phase 1</v>
    <v/>
    <v>0</v>
    <v>0</v>
  </rv>
  <rv s="0">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v>TetrisApp</v>
    <v>0</v>
    <v>1</v>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v/>
    <v>0</v>
    <v>0</v>
  </rv>
  <rv s="0">
    <v>up to 28 participants</v>
    <v>TetrisApp</v>
    <v>0</v>
    <v>1</v>
    <v>up to 28 participants</v>
    <v>56 participants</v>
    <v>1</v>
    <v>0.56999999999999995</v>
  </rv>
  <rv s="0">
    <v>56 participants</v>
    <v>TetrisApp</v>
    <v>0</v>
    <v>1</v>
    <v>56 participants</v>
    <v>up to 28 participants</v>
    <v>1</v>
    <v>0.55000000000000004</v>
  </rv>
  <rv s="0">
    <v>&lt;li&gt;This study is designed to test ABC-123, a new therapy, in healthy volunteers and participants with boneitis.&lt;/li&gt;&lt;li&gt;The purpose is to evaluate safety, tolerability, and pharmacodynamic effects of ABC-123.&lt;/li&gt;&lt;li&gt;The study includes a single ascending dose (SAD) portion that is double-blind, randomized, and placebo-controlled.&lt;/li&gt;&lt;liParticipants may help advance treatment options for boneitis and contribute to medical research.&lt;/li&gt;</v>
    <v>TetrisApp</v>
    <v>0</v>
    <v>1</v>
    <v>&lt;li&gt;This study is designed to test ABC-123, a new therapy, in healthy volunteers and participants with boneitis.&lt;/li&gt;&lt;li&gt;The purpose is to evaluate safety, tolerability, and pharmacodynamic effects of ABC-123.&lt;/li&gt;&lt;li&gt;The study includes a single ascending dose (SAD) portion that is double-blind, randomized, and placebo-controlled.&lt;/li&gt;&lt;liParticipants may help advance treatment options for boneitis and contribute to medical research.&lt;/li&gt;</v>
    <v/>
    <v>0</v>
    <v>0</v>
  </rv>
  <rv s="0">
    <v xml:space="preserve">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 
</v>
    <v>TetrisApp</v>
    <v>0</v>
    <v>1</v>
    <v xml:space="preserve">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 
</v>
    <v/>
    <v>0</v>
    <v>0</v>
  </rv>
  <rv s="0">
    <v>the single-dose part of the study</v>
    <v>TetrisApp</v>
    <v>0</v>
    <v>1</v>
    <v>the single-dose part of the study</v>
    <v/>
    <v>0</v>
    <v>0</v>
  </rv>
  <rv s="0">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v>TetrisApp</v>
    <v>0</v>
    <v>1</v>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v/>
    <v>0</v>
    <v>0</v>
  </rv>
  <rv s="0">
    <v>2 to 4 weeks</v>
    <v>TetrisApp</v>
    <v>0</v>
    <v>1</v>
    <v>2 to 4 weeks</v>
    <v/>
    <v>0</v>
    <v>0</v>
  </rv>
  <rv s="0">
    <v>5 week</v>
    <v>TetrisApp</v>
    <v>0</v>
    <v>1</v>
    <v>5 week</v>
    <v>2 to 4 weeks</v>
    <v>1</v>
    <v>0.59</v>
  </rv>
  <rv s="0">
    <v>shot under the skin</v>
    <v>TetrisApp</v>
    <v>0</v>
    <v>1</v>
    <v>shot under the skin</v>
    <v/>
    <v>0</v>
    <v>0</v>
  </rv>
  <rv s="0">
    <v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v>
    <v>TetrisApp</v>
    <v>0</v>
    <v>1</v>
    <v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v>
    <v/>
    <v>0</v>
    <v>0</v>
  </rv>
  <rv s="0">
    <v>ABC-123</v>
    <v>TetrisApp</v>
    <v>0</v>
    <v>1</v>
    <v>ABC-123</v>
    <v/>
    <v>0</v>
    <v>0</v>
  </rv>
  <rv s="0">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v>TetrisApp</v>
    <v>0</v>
    <v>1</v>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v/>
    <v>0</v>
    <v>0</v>
  </rv>
  <rv s="0">
    <v>every other week for 3 doses over up to 6 weeks</v>
    <v>TetrisApp</v>
    <v>0</v>
    <v>1</v>
    <v>every other week for 3 doses over up to 6 weeks</v>
    <v/>
    <v>0</v>
    <v>0</v>
  </rv>
  <rv s="0">
    <v>Following Check-out from the CRU, all participants will return for Follow-up study visits up to 6 weeks post dosing in the first 3 cohorts and 10 weeks post dosing in the remaining cohorts as shown in the Schedule of Assessments</v>
    <v>TetrisApp</v>
    <v>0</v>
    <v>1</v>
    <v>Following Check-out from the CRU, all participants will return for Follow-up study visits up to 6 weeks post dosing in the first 3 cohorts and 10 weeks post dosing in the remaining cohorts as shown in the Schedule of Assessments</v>
    <v/>
    <v>0</v>
    <v>0</v>
  </rv>
  <rv s="0">
    <v>boneitis</v>
    <v>TetrisApp</v>
    <v>0</v>
    <v>1</v>
    <v>boneitis</v>
    <v>Boneitis</v>
    <v>1</v>
    <v>1</v>
  </rv>
  <rv s="0">
    <v>Boneitis</v>
    <v>TetrisApp</v>
    <v>0</v>
    <v>1</v>
    <v>Boneitis</v>
    <v>boneitis</v>
    <v>1</v>
    <v>1</v>
  </rv>
  <rv s="0">
    <v>This study is being conducted to evaluate the safety and effects of a new investigational drug, ABC-123. It includes both healthy volunteers and participants with boneitis. The study will help researchers learn how the drug works in the body, how safe it is, and how it affects certain health measurements. The results will provide important information for future studies and may help identify the best dose and people who could benefit from ABC-123.</v>
    <v>TetrisApp</v>
    <v>0</v>
    <v>1</v>
    <v>This study is being conducted to evaluate the safety and effects of a new investigational drug, ABC-123. It includes both healthy volunteers and participants with boneitis. The study will help researchers learn how the drug works in the body, how safe it is, and how it affects certain health measurements. The results will provide important information for future studies and may help identify the best dose and people who could benefit from ABC-123.</v>
    <v/>
    <v>0</v>
    <v>0</v>
  </rv>
  <rv s="0">
    <v>6 cohorts of 8 participants</v>
    <v>TetrisApp</v>
    <v>0</v>
    <v>1</v>
    <v>6 cohorts of 8 participants</v>
    <v>3 cohorts of 56 participants</v>
    <v>1</v>
    <v>0.63</v>
  </rv>
  <rv s="0">
    <v>3 cohorts of 56 participants</v>
    <v>TetrisApp</v>
    <v>0</v>
    <v>1</v>
    <v>3 cohorts of 56 participants</v>
    <v>6 cohorts of 8 participants</v>
    <v>1</v>
    <v>0.63</v>
  </rv>
  <rv s="0">
    <v>Abc-123</v>
    <v>TetrisApp</v>
    <v>0</v>
    <v>1</v>
    <v>Abc-123</v>
    <v/>
    <v>0</v>
    <v>0</v>
  </rv>
  <rv s="0">
    <v>600 mg</v>
    <v>TetrisApp</v>
    <v>0</v>
    <v>1</v>
    <v>600 mg</v>
    <v/>
    <v>0</v>
    <v>0</v>
  </rv>
  <rv s="0">
    <v>318 fold</v>
    <v>TetrisApp</v>
    <v>0</v>
    <v>1</v>
    <v>318 fold</v>
    <v/>
    <v>0</v>
    <v>0</v>
  </rv>
  <rv s="0">
    <v>The first group (Cohort 1) will include 8 participants, with 2 participants (called sentinels) receiving the study drug or placebo first to monitor safety. If no safety concerns are found after 48 hours, the remaining participants in the group will receive their doses.</v>
    <v>TetrisApp</v>
    <v>0</v>
    <v>1</v>
    <v>The first group (Cohort 1) will include 8 participants, with 2 participants (called sentinels) receiving the study drug or placebo first to monitor safety. If no safety concerns are found after 48 hours, the remaining participants in the group will receive their doses.</v>
    <v/>
    <v>0</v>
    <v>0</v>
  </rv>
  <rv s="0">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v>
    <v>TetrisApp</v>
    <v>0</v>
    <v>1</v>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v>
    <v/>
    <v>0</v>
    <v>0</v>
  </rv>
  <rv s="0">
    <v>7 days post-dose</v>
    <v>TetrisApp</v>
    <v>0</v>
    <v>1</v>
    <v>7 days post-dose</v>
    <v/>
    <v>0</v>
    <v>0</v>
  </rv>
  <rv s="0">
    <v>7 day</v>
    <v>TetrisApp</v>
    <v>0</v>
    <v>1</v>
    <v>7 day</v>
    <v>7 days post-dose</v>
    <v>1</v>
    <v>0.98</v>
  </rv>
  <rv s="0">
    <v>1 cohort of 8 participants</v>
    <v>TetrisApp</v>
    <v>0</v>
    <v>1</v>
    <v>1 cohort of 8 participants</v>
    <v>3 cohorts of 56 participants</v>
    <v>1</v>
    <v>0.56999999999999995</v>
  </rv>
  <rv s="0">
    <v>3 cohorts of 56 participants</v>
    <v>TetrisApp</v>
    <v>0</v>
    <v>1</v>
    <v>3 cohorts of 56 participants</v>
    <v>1 cohort of 8 participants</v>
    <v>1</v>
    <v>0.57999999999999996</v>
  </rv>
  <rv s="0">
    <v>was selected based on safety, tolerability, and PK data from the single ascending dose (SAD) portion of the study</v>
    <v>TetrisApp</v>
    <v>0</v>
    <v>1</v>
    <v>was selected based on safety, tolerability, and PK data from the single ascending dose (SAD) portion of the study</v>
    <v/>
    <v>0</v>
    <v>0</v>
  </rv>
  <rv s="0">
    <v xml:space="preserve">The repeat-dose portion of the study is a double-blind, randomized, placebo-controlled design in 1 cohort of participants with boneitis. 
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v>
    <v>TetrisApp</v>
    <v>0</v>
    <v>1</v>
    <v xml:space="preserve">The repeat-dose portion of the study is a double-blind, randomized, placebo-controlled design in 1 cohort of participants with boneitis. 
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v>
    <v/>
    <v>0</v>
    <v>0</v>
  </rv>
  <rv s="0">
    <v>18 to 55 years</v>
    <v>TetrisApp</v>
    <v>0</v>
    <v>1</v>
    <v>18 to 55 years</v>
    <v>18 to 65 years</v>
    <v>1</v>
    <v>0.67</v>
  </rv>
  <rv s="0">
    <v>18 to 65 years</v>
    <v>TetrisApp</v>
    <v>0</v>
    <v>1</v>
    <v>18 to 65 years</v>
    <v>18 to 55 years</v>
    <v>1</v>
    <v>0.62</v>
  </rv>
  <rv s="0">
    <v>Cohorts 1-3</v>
    <v>TetrisApp</v>
    <v>0</v>
    <v>1</v>
    <v>Cohorts 1-3</v>
    <v/>
    <v>0</v>
    <v>0</v>
  </rv>
  <rv s="0">
    <v>up to 5 weeks for screening, followed by repeat dosing every other week for 3 doses, and up to 15 weeks total from Screening to Follow-up</v>
    <v>TetrisApp</v>
    <v>0</v>
    <v>1</v>
    <v>up to 5 weeks for screening, followed by repeat dosing every other week for 3 doses, and up to 15 weeks total from Screening to Follow-up</v>
    <v/>
    <v>0</v>
    <v>0</v>
  </rv>
  <rv s="0">
    <v xml:space="preserve">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 </v>
    <v>TetrisApp</v>
    <v>0</v>
    <v>1</v>
    <v xml:space="preserve">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 </v>
    <v/>
    <v>0</v>
    <v>0</v>
  </rv>
  <rv s="0">
    <v>boneitis due to lurgi</v>
    <v>TetrisApp</v>
    <v>0</v>
    <v>1</v>
    <v>boneitis due to lurgi</v>
    <v/>
    <v>0</v>
    <v>0</v>
  </rv>
  <rv s="0">
    <v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 </v>
    <v>TetrisApp</v>
    <v>0</v>
    <v>1</v>
    <v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 </v>
    <v/>
    <v>0</v>
    <v>0</v>
  </rv>
  <rv s="0">
    <v>up to 15 weeks, including up to 5 weeks for Screening, dosing every other week for 3 doses, and a Follow-up period</v>
    <v>TetrisApp</v>
    <v>0</v>
    <v>1</v>
    <v>up to 15 weeks, including up to 5 weeks for Screening, dosing every other week for 3 doses, and a Follow-up period</v>
    <v/>
    <v>0</v>
    <v>0</v>
  </rv>
  <rv s="0">
    <v>&lt;ul&gt;&lt;li&gt;History of rock-joint (including clunge or brain wobbles) in the past 5 years&lt;/li&gt;&lt;li&gt;History of spontaneous combustion&lt;/li&gt;&lt;li&gt;High blood pressure (&amp;gt;155/95 mmHg)&lt;/li&gt;&lt;li&gt;Heart problems or abnormal heart tests&lt;/li&gt;&lt;li&gt;QT interval or QRS duration outside normal range on ECG&lt;/li&gt;&lt;li&gt;Family history of long QT syndrome&lt;/li&gt;&lt;li&gt;Pregnant or breastfeeding women&lt;/li&gt;&lt;li&gt;Alcohol or drug abuse in the past 2 years&lt;/li&gt;&lt;li&gt;Previous use of ABC-123 or similar treatments&lt;/li&gt;&lt;li&gt;Participation in another drug study recently&lt;/li&gt;&lt;/ul&gt;</v>
    <v>TetrisApp</v>
    <v>0</v>
    <v>1</v>
    <v>&lt;ul&gt;&lt;li&gt;History of rock-joint (including clunge or brain wobbles) in the past 5 years&lt;/li&gt;&lt;li&gt;History of spontaneous combustion&lt;/li&gt;&lt;li&gt;High blood pressure (&amp;gt;155/95 mmHg)&lt;/li&gt;&lt;li&gt;Heart problems or abnormal heart tests&lt;/li&gt;&lt;li&gt;QT interval or QRS duration outside normal range on ECG&lt;/li&gt;&lt;li&gt;Family history of long QT syndrome&lt;/li&gt;&lt;li&gt;Pregnant or breastfeeding women&lt;/li&gt;&lt;li&gt;Alcohol or drug abuse in the past 2 years&lt;/li&gt;&lt;li&gt;Previous use of ABC-123 or similar treatments&lt;/li&gt;&lt;li&gt;Participation in another drug study recently&lt;/li&gt;&lt;/ul&gt;</v>
    <v/>
    <v>0</v>
    <v>0</v>
  </rv>
  <rv s="0">
    <v xml:space="preserve">Exclusion Criteria 
History of, or treatment for, rock-joint, including clunge or brain wobbles within 5 years of the Screening visit. 
History of spontaneous combustion. 
Blood pressure &gt;155 mmHg systolic or &gt;95 mmHg diastolic. 
Known heart disease or clinically significant abnormalities identified in the 12-lead ECG at Screening. Specific exclusion criteria are: 
QT interval corrected for heart rate using Fridericia’s method (QTcF) &gt;450 msec (males) or &gt;470 msec (females) confirmed by calculating the mean of the original value and 2 repeats. 
QRS duration &gt;120 msec confirmed by calculating the mean of the original value and 2 repeats. 
PR interval &gt;220 msec confirmed by calculating the mean of the original value and 2 repeats. 
Findings that would make corrected QT (QTc) measurements difficult or QTc data uninterpretable. 
Family history of long QT syndrome. 
Female participant with a positive pregnancy test or who is lactating at Screening. 
History of alcoholism or drug/chemical abuse within 2 years prior to Screening. 
Prior exposure to ABC-123 or any other blorp induction therapy. 
Participation in a clinical study involving administration of an investigational drug (new chemical entity) in the past 30 days or 5 half-lives of last dose (whichever is longer) prior to first dosing. 
History of significant hypersensitivity, intolerance, or allergy to more than one class of drugs. 
Aspartate aminotransferase, alanine aminotransferase, or total bilirubin &gt;2 × upper limit of normal. 
Positive hepatitis panel and/or positive human immunodeficiency virus test. Participants whose results are compatible with prior immunization may be included. 
Have previously completed or withdrawn from this study. Alternates for prior cohorts who were not assigned to treatment and did not receive study intervention are considered eligible. 
SAD cohorts only: Fasting glucose &gt;126 mg/dL. 
 </v>
    <v>TetrisApp</v>
    <v>0</v>
    <v>1</v>
    <v xml:space="preserve">Exclusion Criteria 
History of, or treatment for, rock-joint, including clunge or brain wobbles within 5 years of the Screening visit. 
History of spontaneous combustion. 
Blood pressure &gt;155 mmHg systolic or &gt;95 mmHg diastolic. 
Known heart disease or clinically significant abnormalities identified in the 12-lead ECG at Screening. Specific exclusion criteria are: 
QT interval corrected for heart rate using Fridericia’s method (QTcF) &gt;450 msec (males) or &gt;470 msec (females) confirmed by calculating the mean of the original value and 2 repeats. 
QRS duration &gt;120 msec confirmed by calculating the mean of the original value and 2 repeats. 
PR interval &gt;220 msec confirmed by calculating the mean of the original value and 2 repeats. 
Findings that would make corrected QT (QTc) measurements difficult or QTc data uninterpretable. 
Family history of long QT syndrome. 
Female participant with a positive pregnancy test or who is lactating at Screening. 
History of alcoholism or drug/chemical abuse within 2 years prior to Screening. 
Prior exposure to ABC-123 or any other blorp induction therapy. 
Participation in a clinical study involving administration of an investigational drug (new chemical entity) in the past 30 days or 5 half-lives of last dose (whichever is longer) prior to first dosing. 
History of significant hypersensitivity, intolerance, or allergy to more than one class of drugs. 
Aspartate aminotransferase, alanine aminotransferase, or total bilirubin &gt;2 × upper limit of normal. 
Positive hepatitis panel and/or positive human immunodeficiency virus test. Participants whose results are compatible with prior immunization may be included. 
Have previously completed or withdrawn from this study. Alternates for prior cohorts who were not assigned to treatment and did not receive study intervention are considered eligible. 
SAD cohorts only: Fasting glucose &gt;126 mg/dL. 
 </v>
    <v/>
    <v>0</v>
    <v>0</v>
  </rv>
  <rv s="0">
    <v>&lt;li&gt;Do not donate blood from 8 weeks before screening until 90 days after your final follow-up visit.&lt;/li&gt;&lt;li&gt;Do not use tetrahydrocannabinol (THC), cannabidiol (CBD), or other cannabinoids for 14 days before screening through the end of the study.&lt;/li&gt;&lt;li&gt;Complete any planned vaccinations at least 14 days before screening.&lt;/li&gt;&lt;li&gt;Do not take any prescription or nonprescription medications, vitamins (except ongoing multivitamin), minerals, or herbal supplements unless approved by the study doctor (for SAD Cohorts).&lt;/li&gt;&lt;li&gt;If you are in the Repeat-Dose Cohort, keep your boneitis treatment and other allowed medications stable and unchanged unless approved by the study doctor.&lt;/li&gt;&lt;li&gt;Do not ingest caffeine or xanthine-containing products (like coffee, tea, cola, or chocolate) from 24 hours before check-in until check-out from the Clinical Research Unit (CRU).&lt;/li&gt;&lt;li&gt;Do not drink alcohol from 48 hours before check-in until check-out from the CRU.&lt;/li&gt;&lt;li&gt;Do not use tobacco or nicotine-containing products (including nicotine patches) while in the CRU.&lt;/li&gt;</v>
    <v>TetrisApp</v>
    <v>0</v>
    <v>1</v>
    <v>&lt;li&gt;Do not donate blood from 8 weeks before screening until 90 days after your final follow-up visit.&lt;/li&gt;&lt;li&gt;Do not use tetrahydrocannabinol (THC), cannabidiol (CBD), or other cannabinoids for 14 days before screening through the end of the study.&lt;/li&gt;&lt;li&gt;Complete any planned vaccinations at least 14 days before screening.&lt;/li&gt;&lt;li&gt;Do not take any prescription or nonprescription medications, vitamins (except ongoing multivitamin), minerals, or herbal supplements unless approved by the study doctor (for SAD Cohorts).&lt;/li&gt;&lt;li&gt;If you are in the Repeat-Dose Cohort, keep your boneitis treatment and other allowed medications stable and unchanged unless approved by the study doctor.&lt;/li&gt;&lt;li&gt;Do not ingest caffeine or xanthine-containing products (like coffee, tea, cola, or chocolate) from 24 hours before check-in until check-out from the Clinical Research Unit (CRU).&lt;/li&gt;&lt;li&gt;Do not drink alcohol from 48 hours before check-in until check-out from the CRU.&lt;/li&gt;&lt;li&gt;Do not use tobacco or nicotine-containing products (including nicotine patches) while in the CRU.&lt;/li&gt;</v>
    <v/>
    <v>0</v>
    <v>0</v>
  </rv>
  <rv s="0">
    <v xml:space="preserve">Participants must be willing and able to fast for at least 10 hours prior to fasting laboratory tests. 
Caffeine, Alcohol, and Tobacco 
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v>
    <v>TetrisApp</v>
    <v>0</v>
    <v>1</v>
    <v xml:space="preserve">Participants must be willing and able to fast for at least 10 hours prior to fasting laboratory tests. 
Caffeine, Alcohol, and Tobacco 
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v>
    <v/>
    <v>0</v>
    <v>0</v>
  </rv>
  <rv s="0">
    <v>&lt;li&gt;Medical history review&lt;/li&gt;&lt;li&gt;Physical examination&lt;/li&gt;&lt;li&gt;12-lead ECG&lt;/li&gt;&lt;li&gt;Vital signs measurements&lt;/li&gt;&lt;li&gt;Blood and other laboratory tests&lt;/li&gt;</v>
    <v>TetrisApp</v>
    <v>0</v>
    <v>1</v>
    <v>&lt;li&gt;Medical history review&lt;/li&gt;&lt;li&gt;Physical examination&lt;/li&gt;&lt;li&gt;12-lead ECG&lt;/li&gt;&lt;li&gt;Vital signs measurements&lt;/li&gt;&lt;li&gt;Blood and other laboratory tests&lt;/li&gt;</v>
    <v/>
    <v>0</v>
    <v>0</v>
  </rv>
  <rv s="0">
    <v xml:space="preserve">Study procedures and their timing are summarized in the SoA (Section 1.3). Protocol waivers or exemptions are not allowed. 
Immediate safety concerns should be discussed with the Medical Monitor immediately upon occurrence or awareness to determine if the participant should continue or discontinue study intervention. 
Adherence to the study design requirements, including those specified in the SoA, is essential and required for study conduct.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Refer to Section 10.3 (Appendix 3) for mitigation strategies if changes may be required to procedures as a result of a public health emergency (eg, COVID-19). </v>
    <v>TetrisApp</v>
    <v>0</v>
    <v>1</v>
    <v xml:space="preserve">Study procedures and their timing are summarized in the SoA (Section 1.3). Protocol waivers or exemptions are not allowed. 
Immediate safety concerns should be discussed with the Medical Monitor immediately upon occurrence or awareness to determine if the participant should continue or discontinue study intervention. 
Adherence to the study design requirements, including those specified in the SoA, is essential and required for study conduct.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Refer to Section 10.3 (Appendix 3) for mitigation strategies if changes may be required to procedures as a result of a public health emergency (eg, COVID-19). </v>
    <v/>
    <v>0</v>
    <v>0</v>
  </rv>
  <rv s="0">
    <v>35 days</v>
    <v>TetrisApp</v>
    <v>0</v>
    <v>1</v>
    <v>35 days</v>
    <v>35 days</v>
    <v>1</v>
    <v>1</v>
  </rv>
  <rv s="0">
    <v>Blood pressure, pulse rate, respiratory rate, body temperature, blood tests, heart monitoring (ECG), physical examination, and mental health assessment.</v>
    <v>TetrisApp</v>
    <v>0</v>
    <v>1</v>
    <v>Blood pressure, pulse rate, respiratory rate, body temperature, blood tests, heart monitoring (ECG), physical examination, and mental health assessment.</v>
    <v/>
    <v>0</v>
    <v>0</v>
  </rv>
  <rv s="0">
    <v>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 </v>
    <v>TetrisApp</v>
    <v>0</v>
    <v>1</v>
    <v>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 </v>
    <v/>
    <v>0</v>
    <v>0</v>
  </rv>
  <rv s="0">
    <v>&lt;ul&gt;&lt;li&gt;Blood samples for pharmacokinetic (PK) and biomarker analysis (may include up to 3 extra blood draws per treatment period)&lt;/li&gt;&lt;li&gt;Blood samples for exploratory pharmacodynamic (PD) and safety biomarker analysis&lt;/li&gt;&lt;li&gt;Physical examination and other medical assessments&lt;/li&gt;&lt;li&gt;Subcutaneous (SC) injections of study drug (ABC-123 or placebo)&lt;/li&gt;&lt;li&gt;Monitoring for possible side effects or discomfort from injections or blood draws&lt;/li&gt;&lt;/ul&gt;</v>
    <v>TetrisApp</v>
    <v>0</v>
    <v>1</v>
    <v>&lt;ul&gt;&lt;li&gt;Blood samples for pharmacokinetic (PK) and biomarker analysis (may include up to 3 extra blood draws per treatment period)&lt;/li&gt;&lt;li&gt;Blood samples for exploratory pharmacodynamic (PD) and safety biomarker analysis&lt;/li&gt;&lt;li&gt;Physical examination and other medical assessments&lt;/li&gt;&lt;li&gt;Subcutaneous (SC) injections of study drug (ABC-123 or placebo)&lt;/li&gt;&lt;li&gt;Monitoring for possible side effects or discomfort from injections or blood draws&lt;/li&gt;&lt;/ul&gt;</v>
    <v/>
    <v>0</v>
    <v>0</v>
  </rv>
  <rv s="0">
    <v xml:space="preserve">A full physical examination will include, at a minimum, assessments of head, eyes, ears, nose, and throat (HEENT), neck, chest, skin, cardiovascular system, respiratory system, gastrointestinal system/abdomen, genitourinary system (at discretion of Investigator), lymphatic system, musculoskeletal system, and neurological system. 
Investigators should pay special attention to clinical signs related to previous serious illnesses. </v>
    <v>TetrisApp</v>
    <v>0</v>
    <v>1</v>
    <v xml:space="preserve">A full physical examination will include, at a minimum, assessments of head, eyes, ears, nose, and throat (HEENT), neck, chest, skin, cardiovascular system, respiratory system, gastrointestinal system/abdomen, genitourinary system (at discretion of Investigator), lymphatic system, musculoskeletal system, and neurological system. 
Investigators should pay special attention to clinical signs related to previous serious illnesses. </v>
    <v/>
    <v>0</v>
    <v>0</v>
  </rv>
  <rv s="0">
    <v>6 weeks </v>
    <v>TetrisApp</v>
    <v>0</v>
    <v>1</v>
    <v>6 weeks </v>
    <v/>
    <v>0</v>
    <v>0</v>
  </rv>
  <rv s="0">
    <v>Check-out from the Clinical Research Unit (CRU)</v>
    <v>TetrisApp</v>
    <v>0</v>
    <v>1</v>
    <v>Check-out from the Clinical Research Unit (CRU)</v>
    <v/>
    <v>0</v>
    <v>0</v>
  </rv>
  <rv s="0">
    <v>&lt;li&gt;Physical examination&lt;/li&gt;&lt;li&gt;Blood collection&lt;/li&gt;&lt;li&gt;Medical assessments related to study procedures&lt;/li&gt;</v>
    <v>TetrisApp</v>
    <v>0</v>
    <v>1</v>
    <v>&lt;li&gt;Physical examination&lt;/li&gt;&lt;li&gt;Blood collection&lt;/li&gt;&lt;li&gt;Medical assessments related to study procedures&lt;/li&gt;</v>
    <v/>
    <v>0</v>
    <v>0</v>
  </rv>
  <rv s="0">
    <v xml:space="preserve">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v>
    <v>TetrisApp</v>
    <v>0</v>
    <v>1</v>
    <v xml:space="preserve">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v>
    <v/>
    <v>0</v>
    <v>0</v>
  </rv>
  <rv s="0">
    <v xml:space="preserve">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 </v>
    <v>TetrisApp</v>
    <v>0</v>
    <v>1</v>
    <v xml:space="preserve">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 </v>
    <v/>
    <v>0</v>
    <v>0</v>
  </rv>
  <rv s="0">
    <v>•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v>
    <v>TetrisApp</v>
    <v>0</v>
    <v>1</v>
    <v>•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v>
    <v/>
    <v>0</v>
    <v>0</v>
  </rv>
  <rv s="0">
    <v>Blood pressure, pulse rate, respiratory rate, body temperature, ECG (heart tracing), blood tests, physical examination, mental health assessment.</v>
    <v>TetrisApp</v>
    <v>0</v>
    <v>1</v>
    <v>Blood pressure, pulse rate, respiratory rate, body temperature, ECG (heart tracing), blood tests, physical examination, mental health assessment.</v>
    <v/>
    <v>0</v>
    <v>0</v>
  </rv>
  <rv s="0">
    <v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v>
    <v>TetrisApp</v>
    <v>0</v>
    <v>1</v>
    <v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v>
    <v/>
    <v>0</v>
    <v>0</v>
  </rv>
  <rv s="0">
    <v>At the second Check-in/Day X, participants will return to the Clinical Research Unit (CRU) for follow-up study visits as outlined in the Schedule of Assessments. These visits will occur up to 6 weeks post dosing for the initial cohorts and up to 10 weeks post dosing for subsequent cohorts, ensuring ongoing monitoring of safety, tolerability, and relevant study parameters.</v>
    <v>TetrisApp</v>
    <v>0</v>
    <v>1</v>
    <v>At the second Check-in/Day X, participants will return to the Clinical Research Unit (CRU) for follow-up study visits as outlined in the Schedule of Assessments. These visits will occur up to 6 weeks post dosing for the initial cohorts and up to 10 weeks post dosing for subsequent cohorts, ensuring ongoing monitoring of safety, tolerability, and relevant study parameters.</v>
    <v/>
    <v>0</v>
    <v>0</v>
  </rv>
  <rv s="0">
    <v>Second Check-in/Day 2 to Day 8</v>
    <v>TetrisApp</v>
    <v>0</v>
    <v>1</v>
    <v>Second Check-in/Day 2 to Day 8</v>
    <v/>
    <v>0</v>
    <v>0</v>
  </rv>
  <rv s="0">
    <v>blood tests, heart monitoring (ECG), checking vital signs (blood pressure, pulse, breathing rate, body temperature), physical exams, and mental health checks</v>
    <v>TetrisApp</v>
    <v>0</v>
    <v>1</v>
    <v>blood tests, heart monitoring (ECG), checking vital signs (blood pressure, pulse, breathing rate, body temperature), physical exams, and mental health checks</v>
    <v/>
    <v>0</v>
    <v>0</v>
  </rv>
  <rv s="0">
    <v>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Section 6.6 for further details on dose modifications</v>
    <v>TetrisApp</v>
    <v>0</v>
    <v>1</v>
    <v>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Section 6.6 for further details on dose modifications</v>
    <v/>
    <v>0</v>
    <v>0</v>
  </rv>
  <rv s="0">
    <v>• Blood samples for pharmacokinetics (PK) and biomarkers will be collected by drawing blood from a vein or using a small tube (cannulation) at scheduled times.&lt;br&gt;• Blood samples for exploratory pharmacodynamic (PD) and safety biomarkers will also be taken; up to 3 extra blood samples may be drawn per treatment period if needed.&lt;br&gt;• Routine laboratory tests as specified in the Schedule of Assessments (SoA) and Laboratory Manual.&lt;br&gt;• Medical evaluations and assessments, such as physical exams.&lt;br&gt;• Assessments may differ based on the day of the in-residence period, with some days involving dosing and others focused on follow-up and monitoring.</v>
    <v>TetrisApp</v>
    <v>0</v>
    <v>1</v>
    <v>• Blood samples for pharmacokinetics (PK) and biomarkers will be collected by drawing blood from a vein or using a small tube (cannulation) at scheduled times.&lt;br&gt;• Blood samples for exploratory pharmacodynamic (PD) and safety biomarkers will also be taken; up to 3 extra blood samples may be drawn per treatment period if needed.&lt;br&gt;• Routine laboratory tests as specified in the Schedule of Assessments (SoA) and Laboratory Manual.&lt;br&gt;• Medical evaluations and assessments, such as physical exams.&lt;br&gt;• Assessments may differ based on the day of the in-residence period, with some days involving dosing and others focused on follow-up and monitoring.</v>
    <v/>
    <v>0</v>
    <v>0</v>
  </rv>
  <rv s="0">
    <v xml:space="preserve">Donation of blood is not permitted from 8 weeks (16 weeks for double red cell donation) prior to Screening until 90 days after the final Follow-up visit. </v>
    <v>TetrisApp</v>
    <v>0</v>
    <v>1</v>
    <v xml:space="preserve">Donation of blood is not permitted from 8 weeks (16 weeks for double red cell donation) prior to Screening until 90 days after the final Follow-up visit. </v>
    <v/>
    <v>0</v>
    <v>0</v>
  </rv>
  <rv s="0">
    <v>final Check-out/Day 8</v>
    <v>TetrisApp</v>
    <v>0</v>
    <v>1</v>
    <v>final Check-out/Day 8</v>
    <v/>
    <v>0</v>
    <v>0</v>
  </rv>
  <rv s="0">
    <v>&lt;li&gt;Physical examination&lt;/li&gt;&lt;li&gt;Blood collection&lt;/li&gt;&lt;li&gt;Other medical evaluations and assessments associated with study procedures&lt;/li&gt;</v>
    <v>TetrisApp</v>
    <v>0</v>
    <v>1</v>
    <v>&lt;li&gt;Physical examination&lt;/li&gt;&lt;li&gt;Blood collection&lt;/li&gt;&lt;li&gt;Other medical evaluations and assessments associated with study procedures&lt;/li&gt;</v>
    <v/>
    <v>0</v>
    <v>0</v>
  </rv>
  <rv s="0">
    <v>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v>
    <v>TetrisApp</v>
    <v>0</v>
    <v>1</v>
    <v>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v>
    <v/>
    <v>0</v>
    <v>0</v>
  </rv>
  <rv s="0">
    <v>the part of the study where small groups of healthy volunteers (cohorts) receive single increasing doses of the study drug to see how safe it is</v>
    <v>TetrisApp</v>
    <v>0</v>
    <v>1</v>
    <v>the part of the study where small groups of healthy volunteers (cohorts) receive single increasing doses of the study drug to see how safe it is</v>
    <v/>
    <v>0</v>
    <v>0</v>
  </rv>
  <rv s="0">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v>
    <v>TetrisApp</v>
    <v>0</v>
    <v>1</v>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v>
    <v/>
    <v>0</v>
    <v>0</v>
  </rv>
  <rv s="0">
    <v>local regulatory authority</v>
    <v>TetrisApp</v>
    <v>0</v>
    <v>1</v>
    <v>local regulatory authority</v>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v>1</v>
    <v>0.63</v>
  </rv>
  <rv s="0">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v>TetrisApp</v>
    <v>0</v>
    <v>1</v>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v/>
    <v>0</v>
    <v>0</v>
  </rv>
  <rv s="0">
    <v>local regulatory authority</v>
    <v>TetrisApp</v>
    <v>0</v>
    <v>1</v>
    <v>local regulatory authority</v>
    <v/>
    <v>0</v>
    <v>0</v>
  </rv>
  <rv s="0">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v>TetrisApp</v>
    <v>0</v>
    <v>1</v>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v/>
    <v>0</v>
    <v>0</v>
  </rv>
  <rv s="0">
    <v>2 years</v>
    <v>TetrisApp</v>
    <v>0</v>
    <v>1</v>
    <v>2 years</v>
    <v/>
    <v>0</v>
    <v>0</v>
  </rv>
  <rv s="0">
    <v>&lt;p&gt;The Contract Research Organization (CRO) involved in this study will work under the oversight of the Sponsor, with certain actions delegated to them as appropriate.&lt;/p&gt;</v>
    <v>TetrisApp</v>
    <v>0</v>
    <v>1</v>
    <v>&lt;p&gt;The Contract Research Organization (CRO) involved in this study will work under the oversight of the Sponsor, with certain actions delegated to them as appropriate.&lt;/p&gt;</v>
    <v/>
    <v>0</v>
    <v>0</v>
  </rv>
  <rv s="0">
    <v>Contract Research Organization (CRO)</v>
    <v>TetrisApp</v>
    <v>0</v>
    <v>1</v>
    <v>Contract Research Organization (CRO)</v>
    <v/>
    <v>0</v>
    <v>0</v>
  </rv>
  <rv s="1">
    <v>13</v>
    <v>3</v>
  </rv>
  <rv s="2">
    <v>10</v>
    <v>8</v>
    <v>19</v>
    <v>1</v>
  </rv>
</rvData>
</file>

<file path=xl/richData/rdrichvaluestructure.xml><?xml version="1.0" encoding="utf-8"?>
<rvStructures xmlns="http://schemas.microsoft.com/office/spreadsheetml/2017/richdata" count="3">
  <s t="_entity">
    <k n="_DisplayString" t="s"/>
    <k n="_Icon" t="s"/>
    <k n="_Provider" t="spb"/>
    <k n="_SubLabel" t="spb"/>
    <k n="Lookup" t="s"/>
    <k n="Match" t="s"/>
    <k n="Row"/>
    <k n="Similarity"/>
  </s>
  <s t="_error">
    <k n="errorType" t="i"/>
    <k n="subType" t="i"/>
  </s>
  <s t="_error">
    <k n="colOffset" t="i"/>
    <k n="errorType" t="i"/>
    <k n="rwOffset" t="i"/>
    <k n="subType" t="i"/>
  </s>
</rvStructures>
</file>

<file path=xl/richData/rdsupportingpropertybag.xml><?xml version="1.0" encoding="utf-8"?>
<supportingPropertyBags xmlns="http://schemas.microsoft.com/office/spreadsheetml/2017/richdata2">
  <spbData count="2">
    <spb s="0">
      <v>Boardflare | Fuzzy Match for Excel</v>
    </spb>
    <spb s="1">
      <v>in lookup_array, 1-based</v>
      <v>from lookup_array</v>
      <v>0 (least) - 1 (most)</v>
    </spb>
  </spbData>
</supportingPropertyBags>
</file>

<file path=xl/richData/rdsupportingpropertybagstructure.xml><?xml version="1.0" encoding="utf-8"?>
<spbStructures xmlns="http://schemas.microsoft.com/office/spreadsheetml/2017/richdata2" count="2">
  <s>
    <k n="name" t="s"/>
  </s>
  <s>
    <k n="Row" t="s"/>
    <k n="Match" t="s"/>
    <k n="Similarity" t="s"/>
  </s>
</spb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F9E44A-B36F-4EED-BA01-4AB10CFD8E8B}" name="Table5" displayName="Table5" ref="B17:E26" totalsRowShown="0" headerRowDxfId="55" dataDxfId="54" headerRowBorderDxfId="53" headerRowCellStyle="Normal" dataCellStyle="Normal">
  <autoFilter ref="B17:E26" xr:uid="{33A52213-A801-47DE-8C22-41E2317EB6CF}">
    <filterColumn colId="0" hiddenButton="1"/>
    <filterColumn colId="1" hiddenButton="1"/>
    <filterColumn colId="2" hiddenButton="1"/>
    <filterColumn colId="3" hiddenButton="1"/>
  </autoFilter>
  <tableColumns count="4">
    <tableColumn id="1" xr3:uid="{CD117C9C-C887-470F-A061-CA9173CBF4F9}" name="Column1" dataDxfId="52" dataCellStyle="Normal"/>
    <tableColumn id="2" xr3:uid="{E757292C-C084-4854-A08C-E9D0DF4E2C1B}" name="Column2" dataDxfId="51" dataCellStyle="Input"/>
    <tableColumn id="3" xr3:uid="{F269147F-FC3A-424A-8710-C771370E9458}" name="Column3" dataDxfId="50" dataCellStyle="Normal"/>
    <tableColumn id="4" xr3:uid="{31E2E428-84F1-479D-B359-64E6ADBA547D}" name="Column4" dataDxfId="49" dataCellStyle="Input"/>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BB37EB5-B6AC-4DA6-9AB7-26C0FCCB06A8}" name="Table6" displayName="Table6" ref="B64:E68" totalsRowShown="0" headerRowDxfId="48" dataDxfId="47">
  <autoFilter ref="B64:E68" xr:uid="{329B791D-22C6-44C2-8A7E-F39161CF9DF4}">
    <filterColumn colId="0" hiddenButton="1"/>
    <filterColumn colId="1" hiddenButton="1"/>
    <filterColumn colId="2" hiddenButton="1"/>
    <filterColumn colId="3" hiddenButton="1"/>
  </autoFilter>
  <tableColumns count="4">
    <tableColumn id="1" xr3:uid="{476B6397-6D0F-4807-905E-B20A2CD4B19C}" name="Column1" dataDxfId="46" dataCellStyle="20% - Accent1"/>
    <tableColumn id="2" xr3:uid="{CB01D84B-AFB9-4EA0-A074-0487281D7ADC}" name="Column2" dataDxfId="45" dataCellStyle="20% - Accent1"/>
    <tableColumn id="3" xr3:uid="{7D4631CC-F098-49DA-BD37-2F9572073834}" name="Column3" dataDxfId="44" dataCellStyle="20% - Accent1"/>
    <tableColumn id="4" xr3:uid="{1396062D-7128-4DA8-AB4F-8206D669FB89}" name="Column4" dataDxfId="43" dataCellStyle="20% - Accent1"/>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811B79-6980-442F-A962-E2B1F0585EA0}" name="Table69" displayName="Table69" ref="B50:E54" totalsRowShown="0" headerRowDxfId="42" dataDxfId="41">
  <autoFilter ref="B50:E54" xr:uid="{A6811B79-6980-442F-A962-E2B1F0585EA0}"/>
  <tableColumns count="4">
    <tableColumn id="1" xr3:uid="{39E870D4-E0D9-4E71-AB1F-F0DF81749358}" name="Column1" dataDxfId="40" dataCellStyle="20% - Accent1"/>
    <tableColumn id="2" xr3:uid="{085C6308-5A9C-4751-919B-D0BFCE8E015E}" name="Column2" dataDxfId="39" dataCellStyle="20% - Accent1"/>
    <tableColumn id="3" xr3:uid="{36272BEE-4840-4FAC-B44A-942116AABBD0}" name="Column3" dataDxfId="38" dataCellStyle="20% - Accent1"/>
    <tableColumn id="4" xr3:uid="{3ADBE27E-BF40-4438-9FDC-64BB47D1A0E4}" name="Column4" dataDxfId="37" dataCellStyle="20% - Accent1"/>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BEC7B8C-9003-40FD-AFCD-FC6D4BEAD175}" name="Table68" displayName="Table68" ref="B29:E33" totalsRowShown="0" headerRowDxfId="36" dataDxfId="35">
  <autoFilter ref="B29:E33" xr:uid="{CBEC7B8C-9003-40FD-AFCD-FC6D4BEAD175}"/>
  <tableColumns count="4">
    <tableColumn id="1" xr3:uid="{2D724163-1682-4316-B750-15A796A79E11}" name="Column1" dataDxfId="34" dataCellStyle="20% - Accent1"/>
    <tableColumn id="2" xr3:uid="{5AB8C226-A476-4A8B-9F17-E614DB56B2CF}" name="Column2" dataDxfId="33" dataCellStyle="20% - Accent1"/>
    <tableColumn id="3" xr3:uid="{FFCF3F20-F97F-4E55-90EA-BEEF616C6F90}" name="Column3" dataDxfId="32" dataCellStyle="20% - Accent1"/>
    <tableColumn id="4" xr3:uid="{D78A0B94-89A4-43FF-93C0-630DCDE034BF}" name="Column4" dataDxfId="31" dataCellStyle="20% - Accent1"/>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C86B80B-B025-4703-885F-51908EB7BCEE}" name="Table685" displayName="Table685" ref="B36:E40" totalsRowShown="0" headerRowDxfId="30" dataDxfId="29">
  <autoFilter ref="B36:E40" xr:uid="{6C86B80B-B025-4703-885F-51908EB7BCEE}"/>
  <tableColumns count="4">
    <tableColumn id="1" xr3:uid="{2139A6FE-30D5-4868-A583-1B3148C07D39}" name="Column1" dataDxfId="28" dataCellStyle="20% - Accent1"/>
    <tableColumn id="2" xr3:uid="{080CDD2F-F72E-4762-88C3-76A525239171}" name="Column2" dataDxfId="27" dataCellStyle="20% - Accent1"/>
    <tableColumn id="3" xr3:uid="{587B2EB8-34B2-491B-8700-C0175A4564F6}" name="Column3" dataDxfId="26" dataCellStyle="20% - Accent1"/>
    <tableColumn id="4" xr3:uid="{47EFD410-0E7B-4E09-AB46-EA6AC951E5AA}" name="Column4" dataDxfId="25" dataCellStyle="20% - Accent1"/>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9009291-E24A-48E6-BB45-801D8A7B31CA}" name="Table687" displayName="Table687" ref="B43:E47" totalsRowShown="0" headerRowDxfId="24" dataDxfId="23">
  <autoFilter ref="B43:E47" xr:uid="{29009291-E24A-48E6-BB45-801D8A7B31CA}"/>
  <tableColumns count="4">
    <tableColumn id="1" xr3:uid="{C7F8AFC8-157B-4435-BE74-457E27D6EECF}" name="Column1" dataDxfId="22" dataCellStyle="20% - Accent1"/>
    <tableColumn id="2" xr3:uid="{D8FE8F1C-D2FC-42C4-9D7F-7BBC7F3E81EA}" name="Column2" dataDxfId="21" dataCellStyle="20% - Accent1"/>
    <tableColumn id="3" xr3:uid="{71A85058-1E46-48DE-9375-B58CC89DE233}" name="Column3" dataDxfId="20" dataCellStyle="20% - Accent1"/>
    <tableColumn id="4" xr3:uid="{53DB21A7-27AE-417A-9BBE-F4E0335824DF}" name="Column4" dataDxfId="19" dataCellStyle="20% - Accent1"/>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D3A854-2B89-4BC4-A624-EF40ABB2BD12}" name="Table692" displayName="Table692" ref="B57:E61" totalsRowShown="0" headerRowDxfId="18" dataDxfId="17">
  <autoFilter ref="B57:E61" xr:uid="{33D3A854-2B89-4BC4-A624-EF40ABB2BD12}"/>
  <tableColumns count="4">
    <tableColumn id="1" xr3:uid="{E4667751-2F02-470A-AA30-5513900EDC07}" name="Column1" dataDxfId="16" dataCellStyle="20% - Accent1"/>
    <tableColumn id="2" xr3:uid="{DBD5D1C2-7D0A-484B-9E60-959BF601E4F5}" name="Column2" dataDxfId="15" dataCellStyle="20% - Accent1"/>
    <tableColumn id="3" xr3:uid="{AFF9650E-1950-4144-8406-E17612CAC8CC}" name="Column3" dataDxfId="14" dataCellStyle="20% - Accent1"/>
    <tableColumn id="4" xr3:uid="{614D6F72-6AD8-4D5A-8B56-553A4C441221}" name="Column4" dataDxfId="13" dataCellStyle="20% - Accent1"/>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42806D-87EB-4888-9CDA-84B35AEB9022}" name="Table113" displayName="Table113" ref="A2:K502" totalsRowShown="0" headerRowDxfId="12" dataDxfId="11">
  <autoFilter ref="A2:K502" xr:uid="{1142806D-87EB-4888-9CDA-84B35AEB9022}"/>
  <tableColumns count="11">
    <tableColumn id="1" xr3:uid="{E6D35F4B-64FD-4536-BCE3-2199B3803579}" name="Placeholder" dataDxfId="10"/>
    <tableColumn id="2" xr3:uid="{C1B1960E-846E-48A9-9F4E-A95FAA354D53}" name="Column1" dataDxfId="9"/>
    <tableColumn id="3" xr3:uid="{E6DB9135-7377-417B-AFD5-FCA9395E82D9}" name="Placeholder Type" dataDxfId="8"/>
    <tableColumn id="4" xr3:uid="{5B1890A3-9F23-4741-BBEE-48C3A1FFE401}" name="Expected Value" dataDxfId="7"/>
    <tableColumn id="5" xr3:uid="{44223256-BB79-4251-BD3E-E2E9A0D6A2CE}" name="Source Document" dataDxfId="6"/>
    <tableColumn id="6" xr3:uid="{672AD909-3650-489B-927F-4709D0BE38A9}" name="Writing instruction" dataDxfId="5"/>
    <tableColumn id="7" xr3:uid="{1B21D3FD-1BD5-45B6-93AA-C4307CE0F3D5}" name="AI Replaced Text" dataDxfId="4"/>
    <tableColumn id="8" xr3:uid="{91BAC8D0-8FC9-46F7-BDF6-2AB7DF2A67F2}" name="Ai detected Source " dataDxfId="3"/>
    <tableColumn id="9" xr3:uid="{B47B5C21-E8B2-4526-9E06-7048C01419AE}" name="Matching Accuracy" dataDxfId="2"/>
    <tableColumn id="10" xr3:uid="{E51313CD-A780-4970-B375-B4B683F1FD3B}" name="Similarity Score" dataDxfId="1"/>
    <tableColumn id="11" xr3:uid="{2F9AF073-81FC-44C2-958B-D05B43124258}" name="Source Matc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ar Rental 2">
      <a:dk1>
        <a:srgbClr val="000000"/>
      </a:dk1>
      <a:lt1>
        <a:srgbClr val="FFFFFF"/>
      </a:lt1>
      <a:dk2>
        <a:srgbClr val="579899"/>
      </a:dk2>
      <a:lt2>
        <a:srgbClr val="E7E6E6"/>
      </a:lt2>
      <a:accent1>
        <a:srgbClr val="7CB9B2"/>
      </a:accent1>
      <a:accent2>
        <a:srgbClr val="A9D4BE"/>
      </a:accent2>
      <a:accent3>
        <a:srgbClr val="D83A51"/>
      </a:accent3>
      <a:accent4>
        <a:srgbClr val="468181"/>
      </a:accent4>
      <a:accent5>
        <a:srgbClr val="F58220"/>
      </a:accent5>
      <a:accent6>
        <a:srgbClr val="974791"/>
      </a:accent6>
      <a:hlink>
        <a:srgbClr val="0563C1"/>
      </a:hlink>
      <a:folHlink>
        <a:srgbClr val="954F72"/>
      </a:folHlink>
    </a:clrScheme>
    <a:fontScheme name="Custom 1">
      <a:majorFont>
        <a:latin typeface="Tahoma"/>
        <a:ea typeface=""/>
        <a:cs typeface=""/>
      </a:majorFont>
      <a:minorFont>
        <a:latin typeface="Tahom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677054-994D-468C-A44E-E1DAF2F2F738}">
  <we:reference id="WA200006970" version="1.1.5.0" store="en-us" storeType="omex"/>
  <we:alternateReferences/>
  <we:properties/>
  <we:bindings/>
  <we:snapshot xmlns:r="http://schemas.openxmlformats.org/officeDocument/2006/relationships"/>
  <we:extLst>
    <a:ext xmlns:a="http://schemas.openxmlformats.org/drawingml/2006/main" uri="{D87F86FE-615C-45B5-9D79-34F1136793EB}">
      <we:containsCustomFunctions val="1"/>
    </a:ext>
    <a:ext xmlns:a="http://schemas.openxmlformats.org/drawingml/2006/main" uri="{7C84B067-C214-45C3-A712-C9D94CD141B2}">
      <we:customFunctionIdList>
        <we:customFunctionIds>_xldudf_BOARDFLARE_FMATCH</we:customFunctionIds>
        <we:customFunctionIds>_xldudf_BOARDFLARE_FLOOKUP</we:customFunctionIds>
      </we:customFunctionIdList>
    </a:ext>
    <a:ext xmlns:a="http://schemas.openxmlformats.org/drawingml/2006/main" uri="{0858819E-0033-43BF-8937-05EC82904868}">
      <we:backgroundApp state="0" runtimeId="BF.SharedRuntime.Url"/>
    </a:ext>
  </we:extLst>
</we:webextension>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N78"/>
  <sheetViews>
    <sheetView showGridLines="0" zoomScaleNormal="100" workbookViewId="0">
      <selection activeCell="D39" sqref="D39"/>
    </sheetView>
  </sheetViews>
  <sheetFormatPr defaultColWidth="0" defaultRowHeight="0" customHeight="1" zeroHeight="1"/>
  <cols>
    <col min="1" max="1" width="2.5" style="1" customWidth="1"/>
    <col min="2" max="2" width="1.5" style="1" customWidth="1"/>
    <col min="3" max="3" width="32.75" style="1" customWidth="1"/>
    <col min="4" max="5" width="30.75" style="2" customWidth="1"/>
    <col min="6" max="11" width="10.75" style="1" customWidth="1"/>
    <col min="12" max="12" width="21.125" style="1" customWidth="1"/>
    <col min="13" max="13" width="2.5" style="1" customWidth="1"/>
    <col min="14" max="14" width="9" style="1" customWidth="1"/>
    <col min="15" max="16384" width="0" style="1" hidden="1"/>
  </cols>
  <sheetData>
    <row r="1" spans="1:13" s="3" customFormat="1" ht="15" customHeight="1">
      <c r="A1" s="29"/>
      <c r="B1" s="30"/>
      <c r="C1" s="30"/>
      <c r="D1" s="31"/>
      <c r="E1" s="30"/>
      <c r="F1" s="30"/>
      <c r="G1" s="30"/>
      <c r="H1" s="30"/>
      <c r="I1" s="30"/>
      <c r="J1" s="30"/>
      <c r="K1" s="30"/>
      <c r="L1" s="30"/>
      <c r="M1" s="32"/>
    </row>
    <row r="2" spans="1:13" s="5" customFormat="1" ht="100.15" customHeight="1">
      <c r="A2" s="33"/>
      <c r="B2" s="148" t="s">
        <v>0</v>
      </c>
      <c r="C2" s="149"/>
      <c r="D2" s="149"/>
      <c r="E2" s="149"/>
      <c r="F2" s="149"/>
      <c r="G2" s="149"/>
      <c r="H2" s="149"/>
      <c r="I2" s="149"/>
      <c r="J2" s="149"/>
      <c r="K2" s="149"/>
      <c r="L2" s="149"/>
      <c r="M2" s="34"/>
    </row>
    <row r="3" spans="1:13" s="10" customFormat="1" ht="30" customHeight="1">
      <c r="A3" s="35"/>
      <c r="B3" s="11"/>
      <c r="C3" s="11"/>
      <c r="D3" s="11"/>
      <c r="E3" s="11"/>
      <c r="F3" s="11"/>
      <c r="G3" s="11"/>
      <c r="H3" s="11"/>
      <c r="I3" s="11"/>
      <c r="J3" s="11"/>
      <c r="K3" s="11"/>
      <c r="L3" s="11"/>
      <c r="M3" s="36"/>
    </row>
    <row r="4" spans="1:13" s="10" customFormat="1" ht="30" customHeight="1">
      <c r="A4" s="35"/>
      <c r="B4" s="11"/>
      <c r="C4" s="17" t="s">
        <v>1</v>
      </c>
      <c r="D4" s="20" t="s">
        <v>2</v>
      </c>
      <c r="E4" s="11"/>
      <c r="F4" s="11"/>
      <c r="G4" s="153" t="s">
        <v>3</v>
      </c>
      <c r="H4" s="153"/>
      <c r="I4" s="154"/>
      <c r="J4" s="155"/>
      <c r="K4" s="156"/>
      <c r="L4" s="156"/>
      <c r="M4" s="36"/>
    </row>
    <row r="5" spans="1:13" s="10" customFormat="1" ht="30" customHeight="1">
      <c r="A5" s="35"/>
      <c r="B5" s="11"/>
      <c r="C5" s="17" t="s">
        <v>4</v>
      </c>
      <c r="D5" s="19" t="s">
        <v>5</v>
      </c>
      <c r="E5" s="11"/>
      <c r="F5" s="11"/>
      <c r="G5" s="153" t="s">
        <v>6</v>
      </c>
      <c r="H5" s="153"/>
      <c r="I5" s="154"/>
      <c r="J5" s="151"/>
      <c r="K5" s="152"/>
      <c r="L5" s="152"/>
      <c r="M5" s="36"/>
    </row>
    <row r="6" spans="1:13" s="10" customFormat="1" ht="30" customHeight="1">
      <c r="A6" s="35"/>
      <c r="B6" s="11"/>
      <c r="C6" s="17" t="s">
        <v>7</v>
      </c>
      <c r="D6" s="18" t="s">
        <v>8</v>
      </c>
      <c r="E6" s="11"/>
      <c r="F6" s="11"/>
      <c r="G6" s="143" t="s">
        <v>9</v>
      </c>
      <c r="H6" s="143"/>
      <c r="I6" s="144"/>
      <c r="J6" s="150">
        <v>46120</v>
      </c>
      <c r="K6" s="150"/>
      <c r="L6" s="150"/>
      <c r="M6" s="36"/>
    </row>
    <row r="7" spans="1:13" s="10" customFormat="1" ht="30" customHeight="1">
      <c r="A7" s="35"/>
      <c r="B7" s="11"/>
      <c r="C7" s="11"/>
      <c r="D7" s="11"/>
      <c r="E7" s="11"/>
      <c r="F7" s="11"/>
      <c r="G7" s="143" t="s">
        <v>10</v>
      </c>
      <c r="H7" s="143"/>
      <c r="I7" s="144"/>
      <c r="J7" s="162"/>
      <c r="K7" s="162"/>
      <c r="L7" s="162"/>
      <c r="M7" s="36"/>
    </row>
    <row r="8" spans="1:13" s="10" customFormat="1" ht="30" customHeight="1">
      <c r="A8" s="35"/>
      <c r="B8" s="11"/>
      <c r="C8" s="167" t="s">
        <v>11</v>
      </c>
      <c r="D8" s="169"/>
      <c r="E8" s="169"/>
      <c r="F8" s="11"/>
      <c r="G8" s="144" t="s">
        <v>12</v>
      </c>
      <c r="H8" s="145"/>
      <c r="I8" s="146"/>
      <c r="J8" s="147"/>
      <c r="K8" s="147"/>
      <c r="L8" s="147"/>
      <c r="M8" s="36"/>
    </row>
    <row r="9" spans="1:13" s="10" customFormat="1" ht="30" customHeight="1">
      <c r="A9" s="35"/>
      <c r="B9" s="11"/>
      <c r="C9" s="168"/>
      <c r="D9" s="170"/>
      <c r="E9" s="170"/>
      <c r="F9" s="11"/>
      <c r="G9" s="71"/>
      <c r="H9" s="71"/>
      <c r="I9" s="71"/>
      <c r="J9" s="72"/>
      <c r="K9" s="72"/>
      <c r="L9" s="72"/>
      <c r="M9" s="36"/>
    </row>
    <row r="10" spans="1:13" s="10" customFormat="1" ht="30" customHeight="1">
      <c r="A10" s="35"/>
      <c r="B10" s="11"/>
      <c r="F10" s="11"/>
      <c r="G10" s="21"/>
      <c r="H10" s="22"/>
      <c r="I10" s="22"/>
      <c r="J10" s="22"/>
      <c r="K10" s="22"/>
      <c r="L10" s="22"/>
      <c r="M10" s="36"/>
    </row>
    <row r="11" spans="1:13" s="10" customFormat="1" ht="30" customHeight="1">
      <c r="A11" s="35"/>
      <c r="B11" s="11"/>
      <c r="C11" s="73" t="s">
        <v>13</v>
      </c>
      <c r="D11" s="68"/>
      <c r="E11" s="69" t="s">
        <v>14</v>
      </c>
      <c r="F11" s="11"/>
      <c r="G11" s="65"/>
      <c r="H11" s="66"/>
      <c r="I11" s="67"/>
      <c r="J11" s="67"/>
      <c r="K11" s="67"/>
      <c r="L11" s="67"/>
      <c r="M11" s="36"/>
    </row>
    <row r="12" spans="1:13" s="10" customFormat="1" ht="30" customHeight="1">
      <c r="A12" s="35"/>
      <c r="B12" s="11"/>
      <c r="C12" s="73" t="s">
        <v>15</v>
      </c>
      <c r="D12" s="90" t="s">
        <v>16</v>
      </c>
      <c r="E12" s="91"/>
      <c r="F12" s="89"/>
      <c r="G12" s="172"/>
      <c r="H12" s="166"/>
      <c r="I12" s="165"/>
      <c r="J12" s="166"/>
      <c r="K12" s="165"/>
      <c r="L12" s="166"/>
      <c r="M12" s="36"/>
    </row>
    <row r="13" spans="1:13" s="10" customFormat="1" ht="30" customHeight="1">
      <c r="A13" s="35"/>
      <c r="B13" s="11"/>
      <c r="C13" s="93" t="s">
        <v>17</v>
      </c>
      <c r="D13" s="94" t="s">
        <v>18</v>
      </c>
      <c r="E13" s="95" t="s">
        <v>18</v>
      </c>
      <c r="F13" s="88"/>
      <c r="G13" s="171" t="s">
        <v>19</v>
      </c>
      <c r="H13" s="164"/>
      <c r="I13" s="163"/>
      <c r="J13" s="164"/>
      <c r="K13" s="163"/>
      <c r="L13" s="164"/>
      <c r="M13" s="36"/>
    </row>
    <row r="14" spans="1:13" s="10" customFormat="1" ht="30" customHeight="1">
      <c r="A14" s="35"/>
      <c r="B14" s="11"/>
      <c r="C14" s="92" t="s">
        <v>10</v>
      </c>
      <c r="D14" s="69"/>
      <c r="E14" s="69"/>
      <c r="F14" s="11"/>
      <c r="G14" s="127"/>
      <c r="H14" s="128"/>
      <c r="I14" s="127"/>
      <c r="J14" s="128"/>
      <c r="K14" s="127"/>
      <c r="L14" s="128"/>
      <c r="M14" s="36"/>
    </row>
    <row r="15" spans="1:13" s="10" customFormat="1" ht="30" customHeight="1">
      <c r="A15" s="35"/>
      <c r="B15" s="11"/>
      <c r="C15" s="15"/>
      <c r="D15" s="16"/>
      <c r="E15" s="16"/>
      <c r="F15" s="11"/>
      <c r="G15" s="11"/>
      <c r="H15" s="11"/>
      <c r="I15" s="11"/>
      <c r="J15" s="11"/>
      <c r="K15" s="11"/>
      <c r="L15" s="11"/>
      <c r="M15" s="36"/>
    </row>
    <row r="16" spans="1:13" s="4" customFormat="1" ht="46.15" customHeight="1">
      <c r="A16" s="37"/>
      <c r="B16" s="157" t="s">
        <v>20</v>
      </c>
      <c r="C16" s="158"/>
      <c r="D16" s="158"/>
      <c r="E16" s="158"/>
      <c r="F16" s="38"/>
      <c r="G16" s="136" t="s">
        <v>21</v>
      </c>
      <c r="H16" s="136"/>
      <c r="I16" s="136"/>
      <c r="J16" s="136"/>
      <c r="K16" s="136"/>
      <c r="L16" s="136"/>
      <c r="M16" s="39"/>
    </row>
    <row r="17" spans="1:13" s="3" customFormat="1" ht="30" hidden="1" customHeight="1">
      <c r="A17" s="40"/>
      <c r="B17" s="9" t="s">
        <v>22</v>
      </c>
      <c r="C17" s="12" t="s">
        <v>23</v>
      </c>
      <c r="D17" s="13" t="s">
        <v>24</v>
      </c>
      <c r="E17" s="14" t="s">
        <v>25</v>
      </c>
      <c r="F17" s="41"/>
      <c r="G17" s="23"/>
      <c r="H17" s="24"/>
      <c r="I17" s="25"/>
      <c r="J17" s="26"/>
      <c r="K17" s="27"/>
      <c r="L17" s="41"/>
      <c r="M17" s="42"/>
    </row>
    <row r="18" spans="1:13" s="3" customFormat="1" ht="30" customHeight="1">
      <c r="A18" s="40"/>
      <c r="B18" s="7"/>
      <c r="C18" s="43"/>
      <c r="D18" s="44" t="s">
        <v>26</v>
      </c>
      <c r="E18" s="45" t="s">
        <v>27</v>
      </c>
      <c r="F18" s="41"/>
      <c r="G18" s="176"/>
      <c r="H18" s="177"/>
      <c r="I18" s="178"/>
      <c r="J18" s="179"/>
      <c r="K18" s="180"/>
      <c r="L18" s="28"/>
      <c r="M18" s="42"/>
    </row>
    <row r="19" spans="1:13" s="3" customFormat="1" ht="30" customHeight="1">
      <c r="A19" s="40"/>
      <c r="B19" s="7"/>
      <c r="C19" s="43" t="s">
        <v>28</v>
      </c>
      <c r="D19" s="46">
        <f ca="1">COUNTA(QA!A3:'QA'!A49)</f>
        <v>47</v>
      </c>
      <c r="E19" s="45">
        <f ca="1">COUNTA(QA!G3:'QA'!G48)</f>
        <v>32</v>
      </c>
      <c r="F19" s="41"/>
      <c r="G19" s="137"/>
      <c r="H19" s="138"/>
      <c r="I19" s="139"/>
      <c r="J19" s="179"/>
      <c r="K19" s="180"/>
      <c r="L19" s="28"/>
      <c r="M19" s="42"/>
    </row>
    <row r="20" spans="1:13" s="4" customFormat="1" ht="30" customHeight="1">
      <c r="A20" s="37"/>
      <c r="B20" s="7"/>
      <c r="C20" s="43" t="s">
        <v>29</v>
      </c>
      <c r="D20" s="46">
        <f ca="1">COUNTA(_xlfn.UNIQUE(QA!A3:'QA'!A49))</f>
        <v>26</v>
      </c>
      <c r="E20" s="45"/>
      <c r="F20" s="38"/>
      <c r="G20" s="137"/>
      <c r="H20" s="138"/>
      <c r="I20" s="139"/>
      <c r="J20" s="179"/>
      <c r="K20" s="180"/>
      <c r="L20" s="28"/>
      <c r="M20" s="39"/>
    </row>
    <row r="21" spans="1:13" s="4" customFormat="1" ht="30" customHeight="1">
      <c r="A21" s="37"/>
      <c r="B21" s="47"/>
      <c r="C21" s="43" t="s">
        <v>30</v>
      </c>
      <c r="D21" s="46">
        <f ca="1">COUNTIF(QA!C3:'QA'!C49, "=Paragraph")</f>
        <v>10</v>
      </c>
      <c r="E21" s="45"/>
      <c r="F21" s="38"/>
      <c r="G21" s="137"/>
      <c r="H21" s="138"/>
      <c r="I21" s="139"/>
      <c r="J21" s="179"/>
      <c r="K21" s="180"/>
      <c r="L21" s="28"/>
      <c r="M21" s="39"/>
    </row>
    <row r="22" spans="1:13" s="4" customFormat="1" ht="30" customHeight="1">
      <c r="A22" s="37"/>
      <c r="B22" s="47"/>
      <c r="C22" s="43" t="s">
        <v>31</v>
      </c>
      <c r="D22" s="46">
        <f ca="1">COUNTIF(QA!C3:'QA'!C49, "=Inline")</f>
        <v>0</v>
      </c>
      <c r="E22" s="45"/>
      <c r="F22" s="38"/>
      <c r="G22" s="75"/>
      <c r="H22" s="76"/>
      <c r="I22" s="77"/>
      <c r="J22" s="81"/>
      <c r="K22" s="82"/>
      <c r="L22" s="28"/>
      <c r="M22" s="39"/>
    </row>
    <row r="23" spans="1:13" s="4" customFormat="1" ht="30" customHeight="1">
      <c r="A23" s="37"/>
      <c r="B23" s="47"/>
      <c r="C23" s="43" t="s">
        <v>32</v>
      </c>
      <c r="D23" s="46">
        <f ca="1">COUNTIF(QA!C3:'QA'!C49, "=List")</f>
        <v>0</v>
      </c>
      <c r="E23" s="45"/>
      <c r="F23" s="38"/>
      <c r="G23" s="75"/>
      <c r="H23" s="76"/>
      <c r="I23" s="77"/>
      <c r="J23" s="81"/>
      <c r="K23" s="82"/>
      <c r="L23" s="28"/>
      <c r="M23" s="39"/>
    </row>
    <row r="24" spans="1:13" s="3" customFormat="1" ht="30" customHeight="1">
      <c r="A24" s="40"/>
      <c r="B24" s="7"/>
      <c r="C24" s="8" t="s">
        <v>33</v>
      </c>
      <c r="D24" s="48">
        <f ca="1">COUNTIF(QA!C3:'QA'!C49, "=Table")</f>
        <v>6</v>
      </c>
      <c r="E24" s="49">
        <v>3</v>
      </c>
      <c r="F24" s="41"/>
      <c r="G24" s="159"/>
      <c r="H24" s="160"/>
      <c r="I24" s="161"/>
      <c r="J24" s="179"/>
      <c r="K24" s="180"/>
      <c r="L24" s="28"/>
      <c r="M24" s="42"/>
    </row>
    <row r="25" spans="1:13" s="3" customFormat="1" ht="30" customHeight="1">
      <c r="A25" s="40"/>
      <c r="B25" s="47"/>
      <c r="C25" s="43" t="s">
        <v>34</v>
      </c>
      <c r="D25" s="46">
        <f ca="1">COUNTIF(QA!C3:'QA'!C49, "=MultiTable")</f>
        <v>0</v>
      </c>
      <c r="E25" s="45"/>
      <c r="F25" s="41"/>
      <c r="G25" s="78"/>
      <c r="H25" s="79"/>
      <c r="I25" s="80"/>
      <c r="J25" s="81"/>
      <c r="K25" s="82"/>
      <c r="L25" s="28"/>
      <c r="M25" s="42"/>
    </row>
    <row r="26" spans="1:13" s="3" customFormat="1" ht="30" customHeight="1">
      <c r="A26" s="40"/>
      <c r="B26" s="47"/>
      <c r="C26" s="43" t="s">
        <v>35</v>
      </c>
      <c r="D26" s="46">
        <f ca="1">COUNTIF(QA!C3:'QA'!C49, "=Figure")</f>
        <v>0</v>
      </c>
      <c r="E26" s="45"/>
      <c r="F26" s="41"/>
      <c r="G26" s="137"/>
      <c r="H26" s="138"/>
      <c r="I26" s="139"/>
      <c r="J26" s="179"/>
      <c r="K26" s="180"/>
      <c r="L26" s="28"/>
      <c r="M26" s="42"/>
    </row>
    <row r="27" spans="1:13" s="3" customFormat="1" ht="30" customHeight="1">
      <c r="A27" s="50"/>
      <c r="B27" s="41"/>
      <c r="C27" s="41"/>
      <c r="D27" s="51"/>
      <c r="E27" s="41"/>
      <c r="F27" s="41"/>
      <c r="G27" s="41"/>
      <c r="H27" s="41"/>
      <c r="I27" s="41"/>
      <c r="J27" s="41"/>
      <c r="K27" s="41"/>
      <c r="L27" s="41"/>
      <c r="M27" s="42"/>
    </row>
    <row r="28" spans="1:13" s="4" customFormat="1" ht="46.15" customHeight="1">
      <c r="A28" s="37"/>
      <c r="B28" s="129" t="s">
        <v>36</v>
      </c>
      <c r="C28" s="129"/>
      <c r="D28" s="129"/>
      <c r="E28" s="129"/>
      <c r="F28" s="38"/>
      <c r="G28" s="38"/>
      <c r="H28" s="38"/>
      <c r="I28" s="38"/>
      <c r="J28" s="38"/>
      <c r="K28" s="38"/>
      <c r="L28" s="38"/>
      <c r="M28" s="39"/>
    </row>
    <row r="29" spans="1:13" s="3" customFormat="1" ht="30" hidden="1" customHeight="1">
      <c r="A29" s="40"/>
      <c r="B29" s="52" t="s">
        <v>22</v>
      </c>
      <c r="C29" s="53" t="s">
        <v>23</v>
      </c>
      <c r="D29" s="6" t="s">
        <v>24</v>
      </c>
      <c r="E29" s="54" t="s">
        <v>25</v>
      </c>
      <c r="F29" s="41"/>
      <c r="G29" s="41"/>
      <c r="H29" s="41"/>
      <c r="I29" s="41"/>
      <c r="J29" s="41"/>
      <c r="K29" s="41"/>
      <c r="L29" s="41"/>
      <c r="M29" s="42"/>
    </row>
    <row r="30" spans="1:13" s="3" customFormat="1" ht="39.75" customHeight="1">
      <c r="A30" s="40"/>
      <c r="B30" s="55"/>
      <c r="C30" s="56" t="s">
        <v>37</v>
      </c>
      <c r="D30" s="57">
        <f ca="1">COUNTA(Inline!A3:'Inline'!A500)</f>
        <v>1</v>
      </c>
      <c r="E30" s="58" t="s">
        <v>38</v>
      </c>
      <c r="F30" s="41"/>
      <c r="G30" s="140" t="s">
        <v>11</v>
      </c>
      <c r="H30" s="181"/>
      <c r="I30" s="182"/>
      <c r="J30" s="182"/>
      <c r="K30" s="182"/>
      <c r="L30" s="183"/>
      <c r="M30" s="42"/>
    </row>
    <row r="31" spans="1:13" s="3" customFormat="1" ht="39.75" customHeight="1">
      <c r="A31" s="50"/>
      <c r="B31" s="55"/>
      <c r="C31" s="56" t="s">
        <v>39</v>
      </c>
      <c r="D31" s="57">
        <f ca="1">COUNTA(Inline!G3:'Inline'!G500)</f>
        <v>0</v>
      </c>
      <c r="E31" s="87">
        <f ca="1">D31/D30</f>
        <v>0</v>
      </c>
      <c r="F31" s="41"/>
      <c r="G31" s="141"/>
      <c r="H31" s="181"/>
      <c r="I31" s="182"/>
      <c r="J31" s="182"/>
      <c r="K31" s="182"/>
      <c r="L31" s="183"/>
      <c r="M31" s="42"/>
    </row>
    <row r="32" spans="1:13" s="3" customFormat="1" ht="39.75" customHeight="1">
      <c r="A32" s="50"/>
      <c r="B32" s="55"/>
      <c r="C32" s="56" t="s">
        <v>40</v>
      </c>
      <c r="D32" s="57">
        <f>COUNTIF(Inline!J3:J27, "&gt;0.7")</f>
        <v>0</v>
      </c>
      <c r="E32" s="87" t="e">
        <f ca="1">D32*100%/D31</f>
        <v>#DIV/0!</v>
      </c>
      <c r="F32" s="41"/>
      <c r="G32" s="141"/>
      <c r="H32" s="181"/>
      <c r="I32" s="182"/>
      <c r="J32" s="182"/>
      <c r="K32" s="182"/>
      <c r="L32" s="183"/>
      <c r="M32" s="42"/>
    </row>
    <row r="33" spans="1:14" s="3" customFormat="1" ht="39.75" customHeight="1">
      <c r="A33" s="40"/>
      <c r="B33" s="55"/>
      <c r="C33" s="56" t="s">
        <v>41</v>
      </c>
      <c r="D33" s="57">
        <f>D32</f>
        <v>0</v>
      </c>
      <c r="E33" s="87" t="e">
        <f>D33*100%/D32</f>
        <v>#DIV/0!</v>
      </c>
      <c r="F33" s="41"/>
      <c r="G33" s="142"/>
      <c r="H33" s="181"/>
      <c r="I33" s="182"/>
      <c r="J33" s="182"/>
      <c r="K33" s="182"/>
      <c r="L33" s="183"/>
      <c r="M33" s="42"/>
    </row>
    <row r="34" spans="1:14" s="3" customFormat="1" ht="39.75" customHeight="1">
      <c r="A34" s="40"/>
      <c r="B34" s="55"/>
      <c r="C34" s="56"/>
      <c r="D34" s="57"/>
      <c r="E34" s="58"/>
      <c r="F34" s="41"/>
      <c r="G34" s="86"/>
      <c r="H34" s="51"/>
      <c r="I34" s="51"/>
      <c r="J34" s="51"/>
      <c r="K34" s="51"/>
      <c r="L34" s="51"/>
      <c r="M34" s="42"/>
    </row>
    <row r="35" spans="1:14" s="3" customFormat="1" ht="39.75" customHeight="1">
      <c r="A35" s="37"/>
      <c r="B35" s="129" t="s">
        <v>42</v>
      </c>
      <c r="C35" s="129"/>
      <c r="D35" s="129"/>
      <c r="E35" s="129"/>
      <c r="F35" s="38"/>
      <c r="G35" s="38"/>
      <c r="H35" s="38"/>
      <c r="I35" s="38"/>
      <c r="J35" s="38"/>
      <c r="K35" s="38"/>
      <c r="L35" s="38"/>
      <c r="M35" s="39"/>
      <c r="N35" s="4"/>
    </row>
    <row r="36" spans="1:14" s="3" customFormat="1" ht="39.75" customHeight="1">
      <c r="A36" s="40"/>
      <c r="B36" s="52" t="s">
        <v>22</v>
      </c>
      <c r="C36" s="53" t="s">
        <v>23</v>
      </c>
      <c r="D36" s="6" t="s">
        <v>24</v>
      </c>
      <c r="E36" s="54" t="s">
        <v>25</v>
      </c>
      <c r="F36" s="41"/>
      <c r="G36" s="41"/>
      <c r="H36" s="41"/>
      <c r="I36" s="41"/>
      <c r="J36" s="41"/>
      <c r="K36" s="41"/>
      <c r="L36" s="41"/>
      <c r="M36" s="42"/>
    </row>
    <row r="37" spans="1:14" s="3" customFormat="1" ht="39.75" customHeight="1">
      <c r="A37" s="40"/>
      <c r="B37" s="55"/>
      <c r="C37" s="56" t="s">
        <v>43</v>
      </c>
      <c r="D37" s="57">
        <f ca="1">COUNTA(Paragraph!A3:'Paragraph'!A500)</f>
        <v>45</v>
      </c>
      <c r="E37" s="58" t="s">
        <v>38</v>
      </c>
      <c r="F37" s="41"/>
      <c r="G37" s="140" t="s">
        <v>11</v>
      </c>
      <c r="H37" s="181"/>
      <c r="I37" s="182"/>
      <c r="J37" s="182"/>
      <c r="K37" s="182"/>
      <c r="L37" s="183"/>
      <c r="M37" s="42"/>
    </row>
    <row r="38" spans="1:14" s="3" customFormat="1" ht="39.75" customHeight="1">
      <c r="A38" s="50"/>
      <c r="B38" s="55"/>
      <c r="C38" s="56" t="s">
        <v>44</v>
      </c>
      <c r="D38" s="57">
        <f ca="1">COUNTA(Paragraph!G3:'Paragraph'!G500)</f>
        <v>45</v>
      </c>
      <c r="E38" s="87">
        <f ca="1">Table685[[#This Row],[Column3]]/D37</f>
        <v>1</v>
      </c>
      <c r="F38" s="41"/>
      <c r="G38" s="141"/>
      <c r="H38" s="181"/>
      <c r="I38" s="182"/>
      <c r="J38" s="182"/>
      <c r="K38" s="182"/>
      <c r="L38" s="183"/>
      <c r="M38" s="42"/>
    </row>
    <row r="39" spans="1:14" s="3" customFormat="1" ht="39.75" customHeight="1">
      <c r="A39" s="50"/>
      <c r="B39" s="55"/>
      <c r="C39" s="56" t="s">
        <v>45</v>
      </c>
      <c r="D39" s="57">
        <f>COUNTIF(Paragraph!J3:J27, "&gt;0.7")</f>
        <v>2</v>
      </c>
      <c r="E39" s="87">
        <f ca="1">Table685[[#This Row],[Column3]]/D38</f>
        <v>4.4444444444444446E-2</v>
      </c>
      <c r="F39" s="41"/>
      <c r="G39" s="141"/>
      <c r="H39" s="181"/>
      <c r="I39" s="182"/>
      <c r="J39" s="182"/>
      <c r="K39" s="182"/>
      <c r="L39" s="183"/>
      <c r="M39" s="42"/>
    </row>
    <row r="40" spans="1:14" s="3" customFormat="1" ht="39.75" customHeight="1">
      <c r="A40" s="40"/>
      <c r="B40" s="55"/>
      <c r="C40" s="56" t="s">
        <v>46</v>
      </c>
      <c r="D40" s="57">
        <f>D39</f>
        <v>2</v>
      </c>
      <c r="E40" s="87">
        <f>Table685[[#This Row],[Column3]]/D39</f>
        <v>1</v>
      </c>
      <c r="F40" s="41"/>
      <c r="G40" s="142"/>
      <c r="H40" s="181"/>
      <c r="I40" s="182"/>
      <c r="J40" s="182"/>
      <c r="K40" s="182"/>
      <c r="L40" s="183"/>
      <c r="M40" s="42"/>
    </row>
    <row r="41" spans="1:14" s="3" customFormat="1" ht="39.75" customHeight="1">
      <c r="A41" s="40"/>
      <c r="B41" s="55"/>
      <c r="C41" s="56"/>
      <c r="D41" s="57"/>
      <c r="E41" s="58"/>
      <c r="F41" s="41"/>
      <c r="G41" s="86"/>
      <c r="H41" s="51"/>
      <c r="I41" s="51"/>
      <c r="J41" s="51"/>
      <c r="K41" s="51"/>
      <c r="L41" s="51"/>
      <c r="M41" s="42"/>
    </row>
    <row r="42" spans="1:14" s="3" customFormat="1" ht="39.75" customHeight="1">
      <c r="A42" s="37"/>
      <c r="B42" s="129" t="s">
        <v>47</v>
      </c>
      <c r="C42" s="129"/>
      <c r="D42" s="129"/>
      <c r="E42" s="129"/>
      <c r="F42" s="38"/>
      <c r="G42" s="38"/>
      <c r="H42" s="38"/>
      <c r="I42" s="38"/>
      <c r="J42" s="38"/>
      <c r="K42" s="38"/>
      <c r="L42" s="38"/>
      <c r="M42" s="39"/>
      <c r="N42" s="4"/>
    </row>
    <row r="43" spans="1:14" s="3" customFormat="1" ht="39.75" customHeight="1">
      <c r="A43" s="40"/>
      <c r="B43" s="52" t="s">
        <v>22</v>
      </c>
      <c r="C43" s="53" t="s">
        <v>23</v>
      </c>
      <c r="D43" s="6" t="s">
        <v>24</v>
      </c>
      <c r="E43" s="54" t="s">
        <v>25</v>
      </c>
      <c r="F43" s="41"/>
      <c r="G43" s="41"/>
      <c r="H43" s="41"/>
      <c r="I43" s="41"/>
      <c r="J43" s="41"/>
      <c r="K43" s="41"/>
      <c r="L43" s="41"/>
      <c r="M43" s="42"/>
    </row>
    <row r="44" spans="1:14" s="3" customFormat="1" ht="39.75" customHeight="1">
      <c r="A44" s="40"/>
      <c r="B44" s="55"/>
      <c r="C44" s="56" t="s">
        <v>43</v>
      </c>
      <c r="D44" s="57">
        <f ca="1">COUNTA(KeyValue!A3:'KeyValue'!A500)</f>
        <v>50</v>
      </c>
      <c r="E44" s="58" t="s">
        <v>38</v>
      </c>
      <c r="F44" s="41"/>
      <c r="G44" s="140" t="s">
        <v>11</v>
      </c>
      <c r="H44" s="181"/>
      <c r="I44" s="182"/>
      <c r="J44" s="182"/>
      <c r="K44" s="182"/>
      <c r="L44" s="183"/>
      <c r="M44" s="42"/>
    </row>
    <row r="45" spans="1:14" s="3" customFormat="1" ht="39.75" customHeight="1">
      <c r="A45" s="50"/>
      <c r="B45" s="55"/>
      <c r="C45" s="56" t="s">
        <v>48</v>
      </c>
      <c r="D45" s="57">
        <f ca="1">(COUNTA(_xlfn.UNIQUE(KeyValue!G3:'KeyValue'!G500)))</f>
        <v>16</v>
      </c>
      <c r="E45" s="87">
        <f ca="1">Table687[[#This Row],[Column3]]/D44</f>
        <v>0.32</v>
      </c>
      <c r="F45" s="41"/>
      <c r="G45" s="141"/>
      <c r="H45" s="181"/>
      <c r="I45" s="182"/>
      <c r="J45" s="182"/>
      <c r="K45" s="182"/>
      <c r="L45" s="183"/>
      <c r="M45" s="42"/>
    </row>
    <row r="46" spans="1:14" s="3" customFormat="1" ht="39.75" customHeight="1">
      <c r="A46" s="50"/>
      <c r="B46" s="55"/>
      <c r="C46" s="56" t="s">
        <v>49</v>
      </c>
      <c r="D46" s="57">
        <f>COUNTIF(KeyValue!J3:J27, "&gt;0.7")</f>
        <v>13</v>
      </c>
      <c r="E46" s="87">
        <f ca="1">Table687[[#This Row],[Column3]]/D45</f>
        <v>0.8125</v>
      </c>
      <c r="F46" s="41"/>
      <c r="G46" s="141"/>
      <c r="H46" s="181"/>
      <c r="I46" s="182"/>
      <c r="J46" s="182"/>
      <c r="K46" s="182"/>
      <c r="L46" s="183"/>
      <c r="M46" s="42"/>
    </row>
    <row r="47" spans="1:14" s="3" customFormat="1" ht="39.75" customHeight="1">
      <c r="A47" s="40"/>
      <c r="B47" s="55"/>
      <c r="C47" s="56" t="s">
        <v>50</v>
      </c>
      <c r="D47" s="57">
        <f>D46</f>
        <v>13</v>
      </c>
      <c r="E47" s="87">
        <f>Table687[[#This Row],[Column3]]/D46</f>
        <v>1</v>
      </c>
      <c r="F47" s="41"/>
      <c r="G47" s="142"/>
      <c r="H47" s="181"/>
      <c r="I47" s="182"/>
      <c r="J47" s="182"/>
      <c r="K47" s="182"/>
      <c r="L47" s="183"/>
      <c r="M47" s="42"/>
    </row>
    <row r="48" spans="1:14" s="3" customFormat="1" ht="30" customHeight="1">
      <c r="A48" s="50"/>
      <c r="B48" s="41"/>
      <c r="C48" s="41"/>
      <c r="D48" s="51"/>
      <c r="E48" s="41"/>
      <c r="F48" s="41"/>
      <c r="G48" s="41"/>
      <c r="H48" s="41"/>
      <c r="I48" s="41"/>
      <c r="J48" s="41"/>
      <c r="K48" s="41"/>
      <c r="L48" s="41"/>
      <c r="M48" s="42"/>
    </row>
    <row r="49" spans="1:14" s="4" customFormat="1" ht="46.15" customHeight="1">
      <c r="A49" s="37"/>
      <c r="B49" s="129" t="s">
        <v>51</v>
      </c>
      <c r="C49" s="129"/>
      <c r="D49" s="129"/>
      <c r="E49" s="129"/>
      <c r="F49" s="38"/>
      <c r="G49" s="38"/>
      <c r="H49" s="38"/>
      <c r="I49" s="38"/>
      <c r="J49" s="38"/>
      <c r="K49" s="38"/>
      <c r="L49" s="38"/>
      <c r="M49" s="39"/>
    </row>
    <row r="50" spans="1:14" s="3" customFormat="1" ht="30" hidden="1" customHeight="1">
      <c r="A50" s="40"/>
      <c r="B50" s="52" t="s">
        <v>22</v>
      </c>
      <c r="C50" s="53" t="s">
        <v>23</v>
      </c>
      <c r="D50" s="6" t="s">
        <v>24</v>
      </c>
      <c r="E50" s="54" t="s">
        <v>25</v>
      </c>
      <c r="F50" s="41"/>
      <c r="G50" s="41"/>
      <c r="H50" s="41"/>
      <c r="I50" s="41"/>
      <c r="J50" s="41"/>
      <c r="K50" s="41"/>
      <c r="L50" s="41"/>
      <c r="M50" s="42"/>
    </row>
    <row r="51" spans="1:14" s="3" customFormat="1" ht="39" customHeight="1">
      <c r="A51" s="40"/>
      <c r="B51" s="55"/>
      <c r="C51" s="56" t="s">
        <v>52</v>
      </c>
      <c r="D51" s="57">
        <f ca="1">COUNTA(Table!A3:'Table'!A500)</f>
        <v>6</v>
      </c>
      <c r="E51" s="58" t="s">
        <v>38</v>
      </c>
      <c r="F51" s="41"/>
      <c r="G51" s="130" t="s">
        <v>11</v>
      </c>
      <c r="H51" s="184"/>
      <c r="I51" s="184"/>
      <c r="J51" s="184"/>
      <c r="K51" s="184"/>
      <c r="L51" s="184"/>
      <c r="M51" s="42"/>
    </row>
    <row r="52" spans="1:14" s="3" customFormat="1" ht="39" customHeight="1">
      <c r="A52" s="50"/>
      <c r="B52" s="55"/>
      <c r="C52" s="56" t="s">
        <v>53</v>
      </c>
      <c r="D52" s="57">
        <f ca="1">COUNTA(Table!G3:'Table'!G500)</f>
        <v>6</v>
      </c>
      <c r="E52" s="87">
        <f ca="1">D52/D51</f>
        <v>1</v>
      </c>
      <c r="F52" s="41"/>
      <c r="G52" s="131"/>
      <c r="H52" s="132"/>
      <c r="I52" s="132"/>
      <c r="J52" s="132"/>
      <c r="K52" s="132"/>
      <c r="L52" s="133"/>
      <c r="M52" s="42"/>
    </row>
    <row r="53" spans="1:14" s="3" customFormat="1" ht="39" customHeight="1">
      <c r="A53" s="50"/>
      <c r="B53" s="55"/>
      <c r="C53" s="56" t="s">
        <v>54</v>
      </c>
      <c r="D53" s="57">
        <f>COUNTIF(QA!X17:X518,"yes")</f>
        <v>0</v>
      </c>
      <c r="E53" s="87">
        <f ca="1">D53/D52</f>
        <v>0</v>
      </c>
      <c r="F53" s="41"/>
      <c r="G53" s="131"/>
      <c r="H53" s="134"/>
      <c r="I53" s="134"/>
      <c r="J53" s="134"/>
      <c r="K53" s="134"/>
      <c r="L53" s="135"/>
      <c r="M53" s="42"/>
    </row>
    <row r="54" spans="1:14" s="3" customFormat="1" ht="39" customHeight="1">
      <c r="A54" s="40"/>
      <c r="B54" s="55"/>
      <c r="C54" s="56" t="s">
        <v>55</v>
      </c>
      <c r="D54" s="57">
        <f>D53</f>
        <v>0</v>
      </c>
      <c r="E54" s="87" t="e">
        <f>D54/D53</f>
        <v>#DIV/0!</v>
      </c>
      <c r="F54" s="41"/>
      <c r="G54" s="131"/>
      <c r="H54" s="134"/>
      <c r="I54" s="134"/>
      <c r="J54" s="134"/>
      <c r="K54" s="134"/>
      <c r="L54" s="135"/>
      <c r="M54" s="42"/>
    </row>
    <row r="55" spans="1:14" s="3" customFormat="1" ht="30" customHeight="1">
      <c r="A55" s="50"/>
      <c r="B55" s="41"/>
      <c r="C55" s="41"/>
      <c r="D55" s="51"/>
      <c r="E55" s="41"/>
      <c r="F55" s="41"/>
      <c r="G55" s="41"/>
      <c r="H55" s="41"/>
      <c r="I55" s="41"/>
      <c r="J55" s="41"/>
      <c r="K55" s="41"/>
      <c r="L55" s="41"/>
      <c r="M55" s="42"/>
    </row>
    <row r="56" spans="1:14" s="3" customFormat="1" ht="30" customHeight="1">
      <c r="A56" s="37"/>
      <c r="B56" s="129" t="s">
        <v>56</v>
      </c>
      <c r="C56" s="129"/>
      <c r="D56" s="129"/>
      <c r="E56" s="129"/>
      <c r="F56" s="38"/>
      <c r="G56" s="38"/>
      <c r="H56" s="38"/>
      <c r="I56" s="38"/>
      <c r="J56" s="38"/>
      <c r="K56" s="38"/>
      <c r="L56" s="38"/>
      <c r="M56" s="39"/>
      <c r="N56" s="4"/>
    </row>
    <row r="57" spans="1:14" s="3" customFormat="1" ht="30" customHeight="1">
      <c r="A57" s="40"/>
      <c r="B57" s="52" t="s">
        <v>22</v>
      </c>
      <c r="C57" s="53" t="s">
        <v>23</v>
      </c>
      <c r="D57" s="6" t="s">
        <v>24</v>
      </c>
      <c r="E57" s="54" t="s">
        <v>25</v>
      </c>
      <c r="F57" s="41"/>
      <c r="G57" s="41"/>
      <c r="H57" s="41"/>
      <c r="I57" s="41"/>
      <c r="J57" s="41"/>
      <c r="K57" s="41"/>
      <c r="L57" s="41"/>
      <c r="M57" s="42"/>
    </row>
    <row r="58" spans="1:14" s="3" customFormat="1" ht="30" customHeight="1">
      <c r="A58" s="40"/>
      <c r="B58" s="55"/>
      <c r="C58" s="56" t="s">
        <v>52</v>
      </c>
      <c r="D58" s="57">
        <v>0</v>
      </c>
      <c r="E58" s="58" t="s">
        <v>38</v>
      </c>
      <c r="F58" s="41"/>
      <c r="G58" s="130" t="s">
        <v>11</v>
      </c>
      <c r="H58" s="184"/>
      <c r="I58" s="184"/>
      <c r="J58" s="184"/>
      <c r="K58" s="184"/>
      <c r="L58" s="184"/>
      <c r="M58" s="42"/>
    </row>
    <row r="59" spans="1:14" s="3" customFormat="1" ht="30" customHeight="1">
      <c r="A59" s="50"/>
      <c r="B59" s="55"/>
      <c r="C59" s="56" t="s">
        <v>53</v>
      </c>
      <c r="D59" s="57">
        <v>0</v>
      </c>
      <c r="E59" s="58"/>
      <c r="F59" s="41"/>
      <c r="G59" s="131"/>
      <c r="H59" s="132"/>
      <c r="I59" s="132"/>
      <c r="J59" s="132"/>
      <c r="K59" s="132"/>
      <c r="L59" s="133"/>
      <c r="M59" s="42"/>
    </row>
    <row r="60" spans="1:14" s="3" customFormat="1" ht="30" customHeight="1">
      <c r="A60" s="50"/>
      <c r="B60" s="55"/>
      <c r="C60" s="56" t="s">
        <v>54</v>
      </c>
      <c r="D60" s="57">
        <v>0</v>
      </c>
      <c r="E60" s="58"/>
      <c r="F60" s="41"/>
      <c r="G60" s="131"/>
      <c r="H60" s="134"/>
      <c r="I60" s="134"/>
      <c r="J60" s="134"/>
      <c r="K60" s="134"/>
      <c r="L60" s="135"/>
      <c r="M60" s="42"/>
    </row>
    <row r="61" spans="1:14" s="3" customFormat="1" ht="30" customHeight="1">
      <c r="A61" s="40"/>
      <c r="B61" s="55"/>
      <c r="C61" s="56" t="s">
        <v>55</v>
      </c>
      <c r="D61" s="57">
        <v>0</v>
      </c>
      <c r="E61" s="58"/>
      <c r="F61" s="41"/>
      <c r="G61" s="131"/>
      <c r="H61" s="134"/>
      <c r="I61" s="134"/>
      <c r="J61" s="134"/>
      <c r="K61" s="134"/>
      <c r="L61" s="135"/>
      <c r="M61" s="42"/>
    </row>
    <row r="62" spans="1:14" s="3" customFormat="1" ht="30" customHeight="1">
      <c r="A62" s="50"/>
      <c r="B62" s="41"/>
      <c r="C62" s="41"/>
      <c r="D62" s="51"/>
      <c r="E62" s="41"/>
      <c r="F62" s="41"/>
      <c r="G62" s="41"/>
      <c r="H62" s="41"/>
      <c r="I62" s="41"/>
      <c r="J62" s="41"/>
      <c r="K62" s="41"/>
      <c r="L62" s="41"/>
      <c r="M62" s="42"/>
    </row>
    <row r="63" spans="1:14" s="4" customFormat="1" ht="46.15" customHeight="1">
      <c r="A63" s="37"/>
      <c r="B63" s="129" t="s">
        <v>57</v>
      </c>
      <c r="C63" s="129"/>
      <c r="D63" s="129"/>
      <c r="E63" s="129"/>
      <c r="F63" s="38"/>
      <c r="G63" s="38"/>
      <c r="H63" s="38"/>
      <c r="I63" s="38"/>
      <c r="J63" s="38"/>
      <c r="K63" s="38"/>
      <c r="L63" s="38"/>
      <c r="M63" s="39"/>
    </row>
    <row r="64" spans="1:14" s="3" customFormat="1" ht="30" hidden="1" customHeight="1">
      <c r="A64" s="40"/>
      <c r="B64" s="52" t="s">
        <v>22</v>
      </c>
      <c r="C64" s="53" t="s">
        <v>23</v>
      </c>
      <c r="D64" s="6" t="s">
        <v>24</v>
      </c>
      <c r="E64" s="54" t="s">
        <v>25</v>
      </c>
      <c r="F64" s="41"/>
      <c r="G64" s="41"/>
      <c r="H64" s="41"/>
      <c r="I64" s="41"/>
      <c r="J64" s="41"/>
      <c r="K64" s="41"/>
      <c r="L64" s="41"/>
      <c r="M64" s="42"/>
    </row>
    <row r="65" spans="1:13" s="3" customFormat="1" ht="34.5" customHeight="1">
      <c r="A65" s="40"/>
      <c r="B65" s="55"/>
      <c r="C65" s="56" t="s">
        <v>52</v>
      </c>
      <c r="D65" s="57">
        <v>0</v>
      </c>
      <c r="E65" s="58" t="s">
        <v>38</v>
      </c>
      <c r="F65" s="41"/>
      <c r="G65" s="130" t="s">
        <v>11</v>
      </c>
      <c r="H65" s="184"/>
      <c r="I65" s="184"/>
      <c r="J65" s="184"/>
      <c r="K65" s="184"/>
      <c r="L65" s="184"/>
      <c r="M65" s="42"/>
    </row>
    <row r="66" spans="1:13" s="3" customFormat="1" ht="34.5" customHeight="1">
      <c r="A66" s="50"/>
      <c r="B66" s="55"/>
      <c r="C66" s="56" t="s">
        <v>53</v>
      </c>
      <c r="D66" s="57">
        <v>0</v>
      </c>
      <c r="E66" s="58"/>
      <c r="F66" s="41"/>
      <c r="G66" s="131"/>
      <c r="H66" s="185"/>
      <c r="I66" s="186"/>
      <c r="J66" s="186"/>
      <c r="K66" s="186"/>
      <c r="L66" s="186"/>
      <c r="M66" s="42"/>
    </row>
    <row r="67" spans="1:13" s="3" customFormat="1" ht="34.5" customHeight="1">
      <c r="A67" s="50"/>
      <c r="B67" s="55"/>
      <c r="C67" s="56" t="s">
        <v>54</v>
      </c>
      <c r="D67" s="57">
        <v>0</v>
      </c>
      <c r="E67" s="58"/>
      <c r="F67" s="41"/>
      <c r="G67" s="131"/>
      <c r="H67" s="183"/>
      <c r="I67" s="184"/>
      <c r="J67" s="184"/>
      <c r="K67" s="184"/>
      <c r="L67" s="184"/>
      <c r="M67" s="42"/>
    </row>
    <row r="68" spans="1:13" s="3" customFormat="1" ht="34.5" customHeight="1">
      <c r="A68" s="40"/>
      <c r="B68" s="55"/>
      <c r="C68" s="56" t="s">
        <v>55</v>
      </c>
      <c r="D68" s="57">
        <v>0</v>
      </c>
      <c r="E68" s="58"/>
      <c r="F68" s="41"/>
      <c r="G68" s="131"/>
      <c r="H68" s="183"/>
      <c r="I68" s="184"/>
      <c r="J68" s="184"/>
      <c r="K68" s="184"/>
      <c r="L68" s="184"/>
      <c r="M68" s="42"/>
    </row>
    <row r="69" spans="1:13" ht="15">
      <c r="A69" s="50"/>
      <c r="B69" s="51"/>
      <c r="C69" s="51"/>
      <c r="D69" s="59"/>
      <c r="E69" s="59"/>
      <c r="F69" s="51"/>
      <c r="G69" s="51"/>
      <c r="H69" s="51"/>
      <c r="I69" s="51"/>
      <c r="J69" s="51"/>
      <c r="K69" s="51"/>
      <c r="L69" s="51"/>
      <c r="M69" s="60"/>
    </row>
    <row r="70" spans="1:13" ht="15">
      <c r="A70" s="61"/>
      <c r="B70" s="62"/>
      <c r="C70" s="62"/>
      <c r="D70" s="63"/>
      <c r="E70" s="63"/>
      <c r="F70" s="62"/>
      <c r="G70" s="62"/>
      <c r="H70" s="62"/>
      <c r="I70" s="62"/>
      <c r="J70" s="62"/>
      <c r="K70" s="62"/>
      <c r="L70" s="62"/>
      <c r="M70" s="64"/>
    </row>
    <row r="71" spans="1:13" ht="15"/>
    <row r="72" spans="1:13" ht="15"/>
    <row r="73" spans="1:13" ht="15"/>
    <row r="74" spans="1:13" ht="15"/>
    <row r="75" spans="1:13" ht="15"/>
    <row r="76" spans="1:13" ht="15"/>
    <row r="77" spans="1:13" ht="15"/>
    <row r="78" spans="1:13" ht="15"/>
  </sheetData>
  <mergeCells count="73">
    <mergeCell ref="G44:G47"/>
    <mergeCell ref="H44:L44"/>
    <mergeCell ref="H45:L45"/>
    <mergeCell ref="H46:L46"/>
    <mergeCell ref="H47:L47"/>
    <mergeCell ref="H37:L37"/>
    <mergeCell ref="H38:L38"/>
    <mergeCell ref="H39:L39"/>
    <mergeCell ref="H40:L40"/>
    <mergeCell ref="B42:E42"/>
    <mergeCell ref="C8:C9"/>
    <mergeCell ref="D8:E8"/>
    <mergeCell ref="D9:E9"/>
    <mergeCell ref="G13:H13"/>
    <mergeCell ref="G12:H12"/>
    <mergeCell ref="J7:L7"/>
    <mergeCell ref="I13:J13"/>
    <mergeCell ref="K13:L13"/>
    <mergeCell ref="K12:L12"/>
    <mergeCell ref="I12:J12"/>
    <mergeCell ref="H68:L68"/>
    <mergeCell ref="H67:L67"/>
    <mergeCell ref="H66:L66"/>
    <mergeCell ref="G65:G68"/>
    <mergeCell ref="H65:L65"/>
    <mergeCell ref="B2:L2"/>
    <mergeCell ref="J6:L6"/>
    <mergeCell ref="J5:L5"/>
    <mergeCell ref="B28:E28"/>
    <mergeCell ref="B49:E49"/>
    <mergeCell ref="G4:I4"/>
    <mergeCell ref="J4:L4"/>
    <mergeCell ref="B16:E16"/>
    <mergeCell ref="J18:K18"/>
    <mergeCell ref="J19:K19"/>
    <mergeCell ref="J20:K20"/>
    <mergeCell ref="J21:K21"/>
    <mergeCell ref="G24:I24"/>
    <mergeCell ref="G5:I5"/>
    <mergeCell ref="H32:L32"/>
    <mergeCell ref="H33:L33"/>
    <mergeCell ref="B63:E63"/>
    <mergeCell ref="G7:I7"/>
    <mergeCell ref="G6:I6"/>
    <mergeCell ref="H52:L52"/>
    <mergeCell ref="H53:L53"/>
    <mergeCell ref="H54:L54"/>
    <mergeCell ref="G30:G33"/>
    <mergeCell ref="H30:L30"/>
    <mergeCell ref="G51:G54"/>
    <mergeCell ref="H51:L51"/>
    <mergeCell ref="J24:K24"/>
    <mergeCell ref="J26:K26"/>
    <mergeCell ref="H31:L31"/>
    <mergeCell ref="G8:I8"/>
    <mergeCell ref="J8:L8"/>
    <mergeCell ref="G26:I26"/>
    <mergeCell ref="G14:H14"/>
    <mergeCell ref="I14:J14"/>
    <mergeCell ref="K14:L14"/>
    <mergeCell ref="B56:E56"/>
    <mergeCell ref="G58:G61"/>
    <mergeCell ref="H58:L58"/>
    <mergeCell ref="H59:L59"/>
    <mergeCell ref="H60:L60"/>
    <mergeCell ref="H61:L61"/>
    <mergeCell ref="G16:L16"/>
    <mergeCell ref="G18:I18"/>
    <mergeCell ref="G19:I19"/>
    <mergeCell ref="G20:I20"/>
    <mergeCell ref="G21:I21"/>
    <mergeCell ref="B35:E35"/>
    <mergeCell ref="G37:G40"/>
  </mergeCells>
  <dataValidations count="2">
    <dataValidation allowBlank="1" showInputMessage="1" showErrorMessage="1" prompt="Enter average travel data in cells C6 to E9." sqref="B16:E16 G16" xr:uid="{293336D8-1D56-4469-9A1C-FF10F5012F93}"/>
    <dataValidation allowBlank="1" showInputMessage="1" showErrorMessage="1" prompt="How much would you pay to save time?_x000a__x000a_Enter cost of your time in cell D13." sqref="B63:E63 B28:E28 B56:E56 B35:E35 B42:E42 B49:E49" xr:uid="{0A7A7055-A453-49F5-8BD7-5A8828B88BB6}"/>
  </dataValidations>
  <pageMargins left="0.7" right="0.7" top="0.75" bottom="0.75" header="0.3" footer="0.3"/>
  <pageSetup scale="86" orientation="landscape" horizontalDpi="4294967293" verticalDpi="0" r:id="rId1"/>
  <tableParts count="7">
    <tablePart r:id="rId2"/>
    <tablePart r:id="rId3"/>
    <tablePart r:id="rId4"/>
    <tablePart r:id="rId5"/>
    <tablePart r:id="rId6"/>
    <tablePart r:id="rId7"/>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010BF-2B65-4588-AB34-2675E68E1BE6}">
  <dimension ref="A1:AI131"/>
  <sheetViews>
    <sheetView topLeftCell="A73" workbookViewId="0">
      <selection activeCell="E3" sqref="E3"/>
    </sheetView>
  </sheetViews>
  <sheetFormatPr defaultColWidth="9" defaultRowHeight="12.75"/>
  <cols>
    <col min="1" max="1" width="84" style="104" customWidth="1"/>
    <col min="2" max="2" width="19.5" style="104" customWidth="1"/>
    <col min="3" max="3" width="15.25" style="104" customWidth="1"/>
    <col min="4" max="4" width="27.375" style="104" customWidth="1"/>
    <col min="5" max="5" width="27" style="104" customWidth="1"/>
    <col min="6" max="6" width="27.125" style="104" customWidth="1"/>
    <col min="7" max="7" width="26.875" style="175" customWidth="1"/>
    <col min="8" max="8" width="27.375" style="104" customWidth="1"/>
    <col min="9" max="9" width="27.875" style="104" customWidth="1"/>
    <col min="10" max="10" width="20.25" style="105" customWidth="1"/>
    <col min="11" max="11" width="14" style="106" customWidth="1"/>
    <col min="12" max="12" width="24.625" style="97" customWidth="1"/>
    <col min="13" max="13" width="9" style="98" customWidth="1"/>
    <col min="14" max="14" width="9" style="97" customWidth="1"/>
    <col min="15" max="15" width="16" style="98" customWidth="1"/>
    <col min="16" max="17" width="9" style="96" customWidth="1"/>
    <col min="18" max="18" width="11.625" style="96" hidden="1" customWidth="1"/>
    <col min="19" max="19" width="14.875" style="96" hidden="1" customWidth="1"/>
    <col min="20" max="20" width="20.625" style="96" hidden="1" customWidth="1"/>
    <col min="21" max="21" width="14" style="96" hidden="1" customWidth="1"/>
    <col min="22" max="22" width="14.5" style="96" hidden="1" customWidth="1"/>
    <col min="23" max="23" width="14.625" style="96" hidden="1" customWidth="1"/>
    <col min="24" max="24" width="13.5" style="96" hidden="1" customWidth="1"/>
    <col min="25" max="25" width="9" style="96" customWidth="1"/>
    <col min="26" max="26" width="15.125" style="96" customWidth="1"/>
    <col min="27" max="28" width="13.25" style="96" customWidth="1"/>
    <col min="29" max="29" width="14.75" style="96" customWidth="1"/>
    <col min="30" max="30" width="9" style="96" customWidth="1"/>
    <col min="31" max="31" width="9" style="96"/>
    <col min="32" max="32" width="13" style="96" customWidth="1"/>
    <col min="33" max="33" width="15.625" style="96" customWidth="1"/>
    <col min="34" max="34" width="14.875" style="96" customWidth="1"/>
    <col min="35" max="35" width="18.375" style="96" customWidth="1"/>
    <col min="36" max="16384" width="9" style="96"/>
  </cols>
  <sheetData>
    <row r="1" spans="1:35" s="113" customFormat="1" ht="12.75" customHeight="1">
      <c r="A1" s="107"/>
      <c r="B1" s="107"/>
      <c r="C1" s="108"/>
      <c r="D1" s="107"/>
      <c r="E1" s="107"/>
      <c r="F1" s="107"/>
      <c r="G1" s="173"/>
      <c r="H1" s="107"/>
      <c r="I1" s="107"/>
      <c r="J1" s="109"/>
      <c r="K1" s="110"/>
      <c r="L1" s="111"/>
      <c r="M1" s="112"/>
      <c r="N1" s="111"/>
      <c r="O1" s="112"/>
      <c r="R1" s="187" t="s">
        <v>58</v>
      </c>
      <c r="S1" s="187"/>
      <c r="T1" s="187"/>
      <c r="U1" s="187"/>
      <c r="V1" s="187"/>
      <c r="W1" s="187"/>
      <c r="X1" s="187"/>
      <c r="AF1" s="187" t="s">
        <v>59</v>
      </c>
      <c r="AG1" s="187"/>
      <c r="AH1" s="187"/>
      <c r="AI1" s="187"/>
    </row>
    <row r="2" spans="1:35" s="113" customFormat="1">
      <c r="A2" s="101" t="s">
        <v>60</v>
      </c>
      <c r="B2" s="101" t="s">
        <v>22</v>
      </c>
      <c r="C2" s="101" t="s">
        <v>61</v>
      </c>
      <c r="D2" s="101" t="s">
        <v>62</v>
      </c>
      <c r="E2" s="101" t="s">
        <v>63</v>
      </c>
      <c r="F2" s="101" t="s">
        <v>64</v>
      </c>
      <c r="G2" s="174" t="s">
        <v>65</v>
      </c>
      <c r="H2" s="101" t="s">
        <v>66</v>
      </c>
      <c r="I2" s="101" t="s">
        <v>67</v>
      </c>
      <c r="J2" s="101" t="s">
        <v>68</v>
      </c>
      <c r="K2" s="102" t="s">
        <v>69</v>
      </c>
      <c r="L2" s="111"/>
      <c r="M2" s="112"/>
      <c r="N2" s="111"/>
      <c r="O2" s="112"/>
      <c r="R2" s="113" t="s">
        <v>70</v>
      </c>
      <c r="S2" s="113" t="s">
        <v>71</v>
      </c>
      <c r="T2" s="114" t="s">
        <v>72</v>
      </c>
      <c r="U2" s="113" t="s">
        <v>73</v>
      </c>
      <c r="V2" s="113" t="s">
        <v>74</v>
      </c>
      <c r="W2" s="114" t="s">
        <v>75</v>
      </c>
      <c r="X2" s="113" t="s">
        <v>76</v>
      </c>
      <c r="Z2" s="113" t="s">
        <v>77</v>
      </c>
      <c r="AA2" s="113" t="s">
        <v>78</v>
      </c>
      <c r="AB2" s="113" t="s">
        <v>79</v>
      </c>
      <c r="AC2" s="113" t="s">
        <v>80</v>
      </c>
      <c r="AD2" s="113" t="s">
        <v>81</v>
      </c>
      <c r="AF2" s="113" t="s">
        <v>82</v>
      </c>
      <c r="AG2" s="113" t="s">
        <v>83</v>
      </c>
      <c r="AH2" s="113" t="s">
        <v>84</v>
      </c>
      <c r="AI2" s="113" t="s">
        <v>85</v>
      </c>
    </row>
    <row r="3" spans="1:35" ht="15.75">
      <c r="A3" s="115" t="s">
        <v>86</v>
      </c>
      <c r="B3" s="116"/>
      <c r="C3" s="118" t="s">
        <v>87</v>
      </c>
      <c r="D3" s="120" t="s">
        <v>88</v>
      </c>
      <c r="E3" s="116" t="s">
        <v>16</v>
      </c>
      <c r="F3" s="115" t="s">
        <v>89</v>
      </c>
      <c r="G3" s="115" t="s">
        <v>90</v>
      </c>
      <c r="H3" s="116"/>
      <c r="I3" s="101" t="e" cm="1" vm="1">
        <f t="array" ref="I3">_xldudf_BOARDFLARE_FMATCH(G3,D3)</f>
        <v>#VALUE!</v>
      </c>
      <c r="J3" s="103">
        <f>IF(M3&gt;O3, M3,O3)</f>
        <v>0.99</v>
      </c>
      <c r="K3" s="102"/>
      <c r="L3" s="97" t="e" cm="1" vm="1">
        <f t="array" ref="L3">_xldudf_BOARDFLARE_FMATCH(G3,D3)</f>
        <v>#VALUE!</v>
      </c>
      <c r="M3" s="98" cm="1">
        <f t="array" ref="M3">_FV(L3,"Similarity",TRUE)</f>
        <v>0.99</v>
      </c>
      <c r="N3" s="97" t="e" cm="1" vm="2">
        <f t="array" ref="N3">_xldudf_BOARDFLARE_FMATCH(D3,G3)</f>
        <v>#VALUE!</v>
      </c>
      <c r="O3" s="98" cm="1">
        <f t="array" ref="O3">_FV(N3,"Similarity",TRUE)</f>
        <v>0.85</v>
      </c>
      <c r="P3" s="97"/>
    </row>
    <row r="4" spans="1:35" ht="15.75">
      <c r="A4" s="115" t="s">
        <v>91</v>
      </c>
      <c r="B4" s="116"/>
      <c r="C4" s="118" t="s">
        <v>87</v>
      </c>
      <c r="D4" s="120" t="s">
        <v>92</v>
      </c>
      <c r="E4" s="116" t="s">
        <v>16</v>
      </c>
      <c r="F4" s="115" t="s">
        <v>93</v>
      </c>
      <c r="G4" s="115" t="s">
        <v>94</v>
      </c>
      <c r="H4" s="116"/>
      <c r="I4" s="101" t="e" cm="1" vm="3">
        <f t="array" ref="I4">_xldudf_BOARDFLARE_FMATCH(G4,D4)</f>
        <v>#VALUE!</v>
      </c>
      <c r="J4" s="103">
        <f>IF(M4&gt;O4, M4,O4)</f>
        <v>1</v>
      </c>
      <c r="K4" s="102"/>
      <c r="L4" s="97" t="e" cm="1" vm="3">
        <f t="array" ref="L4">_xldudf_BOARDFLARE_FMATCH(G4,D4)</f>
        <v>#VALUE!</v>
      </c>
      <c r="M4" s="98" cm="1">
        <f t="array" ref="M4">_FV(L4,"Similarity",TRUE)</f>
        <v>1</v>
      </c>
      <c r="N4" s="97" t="e" cm="1" vm="4">
        <f t="array" ref="N4">_xldudf_BOARDFLARE_FMATCH(D4,G4)</f>
        <v>#VALUE!</v>
      </c>
      <c r="O4" s="98" cm="1">
        <f t="array" ref="O4">_FV(N4,"Similarity",TRUE)</f>
        <v>0.92</v>
      </c>
      <c r="P4" s="97"/>
    </row>
    <row r="5" spans="1:35" ht="22.5" customHeight="1">
      <c r="A5" s="115" t="s">
        <v>95</v>
      </c>
      <c r="B5" s="116"/>
      <c r="C5" s="118" t="s">
        <v>87</v>
      </c>
      <c r="D5" s="117" t="s">
        <v>96</v>
      </c>
      <c r="E5" s="116" t="s">
        <v>16</v>
      </c>
      <c r="F5" s="115"/>
      <c r="G5" s="115"/>
      <c r="H5" s="116"/>
      <c r="I5" s="101" t="e" cm="1" vm="5">
        <f t="array" ref="I5">_xldudf_BOARDFLARE_FMATCH(G5,D5)</f>
        <v>#VALUE!</v>
      </c>
      <c r="J5" s="103">
        <f>IF(M5&gt;O5, M5,O5)</f>
        <v>0</v>
      </c>
      <c r="K5" s="102"/>
      <c r="L5" s="97" t="e" cm="1" vm="5">
        <f t="array" ref="L5">_xldudf_BOARDFLARE_FMATCH(G5,D5)</f>
        <v>#VALUE!</v>
      </c>
      <c r="M5" s="98" cm="1">
        <f t="array" ref="M5">_FV(L5,"Similarity",TRUE)</f>
        <v>0</v>
      </c>
      <c r="N5" s="97" t="e" cm="1" vm="6">
        <f t="array" ref="N5">_xldudf_BOARDFLARE_FMATCH(D5,G5)</f>
        <v>#VALUE!</v>
      </c>
      <c r="O5" s="98" cm="1">
        <f t="array" ref="O5">_FV(N5,"Similarity",TRUE)</f>
        <v>0</v>
      </c>
      <c r="P5" s="97"/>
    </row>
    <row r="6" spans="1:35" ht="15.75">
      <c r="A6" s="115" t="s">
        <v>97</v>
      </c>
      <c r="B6" s="116"/>
      <c r="C6" s="118" t="s">
        <v>87</v>
      </c>
      <c r="D6" s="120" t="s">
        <v>88</v>
      </c>
      <c r="E6" s="116" t="s">
        <v>16</v>
      </c>
      <c r="F6" s="115" t="s">
        <v>98</v>
      </c>
      <c r="G6" s="115" t="s">
        <v>90</v>
      </c>
      <c r="H6" s="116"/>
      <c r="I6" s="101" t="e" cm="1" vm="1">
        <f t="array" ref="I6">_xldudf_BOARDFLARE_FMATCH(G6,D6)</f>
        <v>#VALUE!</v>
      </c>
      <c r="J6" s="103">
        <f>IF(M6&gt;O6, M6,O6)</f>
        <v>0.99</v>
      </c>
      <c r="K6" s="102"/>
      <c r="L6" s="97" t="e" cm="1" vm="1">
        <f t="array" ref="L6">_xldudf_BOARDFLARE_FMATCH(G6,D6)</f>
        <v>#VALUE!</v>
      </c>
      <c r="M6" s="98" cm="1">
        <f t="array" ref="M6">_FV(L6,"Similarity",TRUE)</f>
        <v>0.99</v>
      </c>
      <c r="N6" s="97" t="e" cm="1" vm="2">
        <f t="array" ref="N6">_xldudf_BOARDFLARE_FMATCH(D6,G6)</f>
        <v>#VALUE!</v>
      </c>
      <c r="O6" s="98" cm="1">
        <f t="array" ref="O6">_FV(N6,"Similarity",TRUE)</f>
        <v>0.85</v>
      </c>
      <c r="P6" s="97"/>
    </row>
    <row r="7" spans="1:35" ht="15.75">
      <c r="A7" s="115" t="s">
        <v>99</v>
      </c>
      <c r="B7" s="116"/>
      <c r="C7" s="118" t="s">
        <v>87</v>
      </c>
      <c r="D7" s="120" t="s">
        <v>88</v>
      </c>
      <c r="E7" s="116" t="s">
        <v>16</v>
      </c>
      <c r="F7" s="115" t="s">
        <v>100</v>
      </c>
      <c r="G7" s="115" t="s">
        <v>90</v>
      </c>
      <c r="H7" s="116"/>
      <c r="I7" s="101" t="e" cm="1" vm="1">
        <f t="array" ref="I7">_xldudf_BOARDFLARE_FMATCH(G7,D7)</f>
        <v>#VALUE!</v>
      </c>
      <c r="J7" s="103">
        <f>IF(M7&gt;O7, M7,O7)</f>
        <v>0.99</v>
      </c>
      <c r="K7" s="102"/>
      <c r="L7" s="97" t="e" cm="1" vm="1">
        <f t="array" ref="L7">_xldudf_BOARDFLARE_FMATCH(G7,D7)</f>
        <v>#VALUE!</v>
      </c>
      <c r="M7" s="98" cm="1">
        <f t="array" ref="M7">_FV(L7,"Similarity",TRUE)</f>
        <v>0.99</v>
      </c>
      <c r="N7" s="97" t="e" cm="1" vm="2">
        <f t="array" ref="N7">_xldudf_BOARDFLARE_FMATCH(D7,G7)</f>
        <v>#VALUE!</v>
      </c>
      <c r="O7" s="98" cm="1">
        <f t="array" ref="O7">_FV(N7,"Similarity",TRUE)</f>
        <v>0.85</v>
      </c>
      <c r="P7" s="97"/>
    </row>
    <row r="8" spans="1:35" ht="21" customHeight="1">
      <c r="A8" s="115" t="s">
        <v>101</v>
      </c>
      <c r="B8" s="116"/>
      <c r="C8" s="115" t="s">
        <v>59</v>
      </c>
      <c r="D8" s="117" t="s">
        <v>102</v>
      </c>
      <c r="E8" s="116" t="s">
        <v>16</v>
      </c>
      <c r="F8" s="115" t="s">
        <v>103</v>
      </c>
      <c r="G8" s="115" t="s">
        <v>104</v>
      </c>
      <c r="H8" s="116"/>
      <c r="I8" s="101" t="e" cm="1" vm="7">
        <f t="array" ref="I8">_xldudf_BOARDFLARE_FMATCH(G8,D8)</f>
        <v>#VALUE!</v>
      </c>
      <c r="J8" s="103">
        <f>IF(M8&gt;O8, M8,O8)</f>
        <v>0.61</v>
      </c>
      <c r="K8" s="102"/>
      <c r="L8" s="97" t="e" cm="1" vm="7">
        <f t="array" ref="L8">_xldudf_BOARDFLARE_FMATCH(G8,D8)</f>
        <v>#VALUE!</v>
      </c>
      <c r="M8" s="98" cm="1">
        <f t="array" ref="M8">_FV(L8,"Similarity",TRUE)</f>
        <v>0.61</v>
      </c>
      <c r="N8" s="97" t="e" cm="1" vm="8">
        <f t="array" ref="N8">_xldudf_BOARDFLARE_FMATCH(D8,G8)</f>
        <v>#VALUE!</v>
      </c>
      <c r="O8" s="98" cm="1">
        <f t="array" ref="O8">_FV(N8,"Similarity",TRUE)</f>
        <v>0.6</v>
      </c>
      <c r="P8" s="97"/>
      <c r="AF8" s="116" t="s">
        <v>105</v>
      </c>
      <c r="AG8" s="116" t="s">
        <v>105</v>
      </c>
      <c r="AH8" s="116" t="b">
        <f>AF8=AG8</f>
        <v>1</v>
      </c>
      <c r="AI8" s="116" t="b">
        <f>Table113[[#This Row],[Expected Value]]=Table113[[#This Row],[AI Replaced Text]]</f>
        <v>0</v>
      </c>
    </row>
    <row r="9" spans="1:35" ht="15.75">
      <c r="A9" s="115" t="s">
        <v>91</v>
      </c>
      <c r="B9" s="116"/>
      <c r="C9" s="118" t="s">
        <v>87</v>
      </c>
      <c r="D9" s="120" t="s">
        <v>92</v>
      </c>
      <c r="E9" s="116" t="s">
        <v>16</v>
      </c>
      <c r="F9" s="115" t="s">
        <v>93</v>
      </c>
      <c r="G9" s="115" t="s">
        <v>94</v>
      </c>
      <c r="H9" s="116"/>
      <c r="I9" s="101" t="e" cm="1" vm="3">
        <f t="array" ref="I9">_xldudf_BOARDFLARE_FMATCH(G9,D9)</f>
        <v>#VALUE!</v>
      </c>
      <c r="J9" s="103">
        <f>IF(M9&gt;O9, M9,O9)</f>
        <v>1</v>
      </c>
      <c r="K9" s="102"/>
      <c r="L9" s="97" t="e" cm="1" vm="3">
        <f t="array" ref="L9">_xldudf_BOARDFLARE_FMATCH(G9,D9)</f>
        <v>#VALUE!</v>
      </c>
      <c r="M9" s="98" cm="1">
        <f t="array" ref="M9">_FV(L9,"Similarity",TRUE)</f>
        <v>1</v>
      </c>
      <c r="N9" s="97" t="e" cm="1" vm="4">
        <f t="array" ref="N9">_xldudf_BOARDFLARE_FMATCH(D9,G9)</f>
        <v>#VALUE!</v>
      </c>
      <c r="O9" s="98" cm="1">
        <f t="array" ref="O9">_FV(N9,"Similarity",TRUE)</f>
        <v>0.92</v>
      </c>
      <c r="P9" s="97"/>
      <c r="AF9" s="116"/>
      <c r="AG9" s="116"/>
      <c r="AH9" s="116"/>
      <c r="AI9" s="116"/>
    </row>
    <row r="10" spans="1:35" ht="15.75">
      <c r="A10" s="115" t="s">
        <v>95</v>
      </c>
      <c r="B10" s="116"/>
      <c r="C10" s="118" t="s">
        <v>87</v>
      </c>
      <c r="D10" s="117" t="s">
        <v>96</v>
      </c>
      <c r="E10" s="116" t="s">
        <v>16</v>
      </c>
      <c r="F10" s="115"/>
      <c r="G10" s="115"/>
      <c r="H10" s="116"/>
      <c r="I10" s="101" t="e" cm="1" vm="5">
        <f t="array" ref="I10">_xldudf_BOARDFLARE_FMATCH(G10,D10)</f>
        <v>#VALUE!</v>
      </c>
      <c r="J10" s="103">
        <f>IF(M10&gt;O10, M10,O10)</f>
        <v>0</v>
      </c>
      <c r="K10" s="102"/>
      <c r="L10" s="97" t="e" cm="1" vm="5">
        <f t="array" ref="L10">_xldudf_BOARDFLARE_FMATCH(G10,D10)</f>
        <v>#VALUE!</v>
      </c>
      <c r="M10" s="98" cm="1">
        <f t="array" ref="M10">_FV(L10,"Similarity",TRUE)</f>
        <v>0</v>
      </c>
      <c r="N10" s="97" t="e" cm="1" vm="6">
        <f t="array" ref="N10">_xldudf_BOARDFLARE_FMATCH(D10,G10)</f>
        <v>#VALUE!</v>
      </c>
      <c r="O10" s="98" cm="1">
        <f t="array" ref="O10">_FV(N10,"Similarity",TRUE)</f>
        <v>0</v>
      </c>
      <c r="P10" s="97"/>
      <c r="AF10" s="116"/>
      <c r="AG10" s="116"/>
      <c r="AH10" s="116"/>
      <c r="AI10" s="116"/>
    </row>
    <row r="11" spans="1:35" ht="15.75">
      <c r="A11" s="115" t="s">
        <v>106</v>
      </c>
      <c r="B11" s="116"/>
      <c r="C11" s="118" t="s">
        <v>87</v>
      </c>
      <c r="D11" s="120" t="s">
        <v>107</v>
      </c>
      <c r="E11" s="116" t="s">
        <v>16</v>
      </c>
      <c r="F11" s="115" t="s">
        <v>108</v>
      </c>
      <c r="G11" s="115"/>
      <c r="H11" s="116"/>
      <c r="I11" s="101" t="e" cm="1" vm="5">
        <f t="array" ref="I11">_xldudf_BOARDFLARE_FMATCH(G11,D11)</f>
        <v>#VALUE!</v>
      </c>
      <c r="J11" s="103">
        <f>IF(M11&gt;O11, M11,O11)</f>
        <v>0</v>
      </c>
      <c r="K11" s="102"/>
      <c r="L11" s="97" t="e" cm="1" vm="5">
        <f t="array" ref="L11">_xldudf_BOARDFLARE_FMATCH(G11,D11)</f>
        <v>#VALUE!</v>
      </c>
      <c r="M11" s="98" cm="1">
        <f t="array" ref="M11">_FV(L11,"Similarity",TRUE)</f>
        <v>0</v>
      </c>
      <c r="N11" s="97" t="e" cm="1" vm="9">
        <f t="array" ref="N11">_xldudf_BOARDFLARE_FMATCH(D11,G11)</f>
        <v>#VALUE!</v>
      </c>
      <c r="O11" s="98" cm="1">
        <f t="array" ref="O11">_FV(N11,"Similarity",TRUE)</f>
        <v>0</v>
      </c>
      <c r="P11" s="97"/>
      <c r="AF11" s="116"/>
      <c r="AG11" s="116"/>
      <c r="AH11" s="116" t="b">
        <f t="shared" ref="AH11:AH13" si="0">AF11=AG11</f>
        <v>1</v>
      </c>
      <c r="AI11" s="116" t="b">
        <f t="shared" ref="AI11:AI13" si="1">O11=R11</f>
        <v>1</v>
      </c>
    </row>
    <row r="12" spans="1:35" ht="15.75">
      <c r="A12" s="115" t="s">
        <v>109</v>
      </c>
      <c r="B12" s="116"/>
      <c r="C12" s="118" t="s">
        <v>87</v>
      </c>
      <c r="D12" s="121" t="s">
        <v>110</v>
      </c>
      <c r="E12" s="116" t="s">
        <v>16</v>
      </c>
      <c r="F12" s="115" t="s">
        <v>111</v>
      </c>
      <c r="G12" s="115" t="s">
        <v>112</v>
      </c>
      <c r="H12" s="116"/>
      <c r="I12" s="101" t="e" cm="1" vm="10">
        <f t="array" ref="I12">_xldudf_BOARDFLARE_FMATCH(G12,D12)</f>
        <v>#VALUE!</v>
      </c>
      <c r="J12" s="103">
        <f>IF(M12&gt;O12, M12,O12)</f>
        <v>0.93</v>
      </c>
      <c r="K12" s="102"/>
      <c r="L12" s="97" t="e" cm="1" vm="10">
        <f t="array" ref="L12">_xldudf_BOARDFLARE_FMATCH(G12,D12)</f>
        <v>#VALUE!</v>
      </c>
      <c r="M12" s="98" cm="1">
        <f t="array" ref="M12">_FV(L12,"Similarity",TRUE)</f>
        <v>0.93</v>
      </c>
      <c r="N12" s="97" t="e" cm="1" vm="11">
        <f t="array" ref="N12">_xldudf_BOARDFLARE_FMATCH(D12,G12)</f>
        <v>#VALUE!</v>
      </c>
      <c r="O12" s="98" cm="1">
        <f t="array" ref="O12">_FV(N12,"Similarity",TRUE)</f>
        <v>0.79</v>
      </c>
      <c r="P12" s="97"/>
      <c r="AF12" s="116"/>
      <c r="AG12" s="116"/>
      <c r="AH12" s="116" t="b">
        <f t="shared" si="0"/>
        <v>1</v>
      </c>
      <c r="AI12" s="116" t="b">
        <f t="shared" si="1"/>
        <v>0</v>
      </c>
    </row>
    <row r="13" spans="1:35" ht="15.75">
      <c r="A13" s="115" t="s">
        <v>86</v>
      </c>
      <c r="B13" s="116"/>
      <c r="C13" s="118" t="s">
        <v>87</v>
      </c>
      <c r="D13" s="120" t="s">
        <v>88</v>
      </c>
      <c r="E13" s="116" t="s">
        <v>16</v>
      </c>
      <c r="F13" s="115" t="s">
        <v>89</v>
      </c>
      <c r="G13" s="115" t="s">
        <v>90</v>
      </c>
      <c r="H13" s="116"/>
      <c r="I13" s="101" t="e" cm="1" vm="1">
        <f t="array" ref="I13">_xldudf_BOARDFLARE_FMATCH(G13,D13)</f>
        <v>#VALUE!</v>
      </c>
      <c r="J13" s="103">
        <f>IF(M13&gt;O13, M13,O13)</f>
        <v>0.99</v>
      </c>
      <c r="K13" s="102"/>
      <c r="L13" s="97" t="e" cm="1" vm="1">
        <f t="array" ref="L13">_xldudf_BOARDFLARE_FMATCH(G13,D13)</f>
        <v>#VALUE!</v>
      </c>
      <c r="M13" s="98" cm="1">
        <f t="array" ref="M13">_FV(L13,"Similarity",TRUE)</f>
        <v>0.99</v>
      </c>
      <c r="N13" s="97" t="e" cm="1" vm="2">
        <f t="array" ref="N13">_xldudf_BOARDFLARE_FMATCH(D13,G13)</f>
        <v>#VALUE!</v>
      </c>
      <c r="O13" s="98" cm="1">
        <f t="array" ref="O13">_FV(N13,"Similarity",TRUE)</f>
        <v>0.85</v>
      </c>
      <c r="P13" s="97"/>
      <c r="AF13" s="116"/>
      <c r="AG13" s="116"/>
      <c r="AH13" s="116" t="b">
        <f t="shared" si="0"/>
        <v>1</v>
      </c>
      <c r="AI13" s="116" t="b">
        <f t="shared" si="1"/>
        <v>0</v>
      </c>
    </row>
    <row r="14" spans="1:35" ht="15.75">
      <c r="A14" s="115" t="s">
        <v>91</v>
      </c>
      <c r="B14" s="116"/>
      <c r="C14" s="118" t="s">
        <v>87</v>
      </c>
      <c r="D14" s="120" t="s">
        <v>92</v>
      </c>
      <c r="E14" s="116" t="s">
        <v>16</v>
      </c>
      <c r="F14" s="115" t="s">
        <v>93</v>
      </c>
      <c r="G14" s="115" t="s">
        <v>94</v>
      </c>
      <c r="H14" s="116"/>
      <c r="I14" s="101" t="e" cm="1" vm="3">
        <f t="array" ref="I14">_xldudf_BOARDFLARE_FMATCH(G14,D14)</f>
        <v>#VALUE!</v>
      </c>
      <c r="J14" s="103">
        <f>IF(M14&gt;O14, M14,O14)</f>
        <v>1</v>
      </c>
      <c r="K14" s="102"/>
      <c r="L14" s="97" t="e" cm="1" vm="3">
        <f t="array" ref="L14">_xldudf_BOARDFLARE_FMATCH(G14,D14)</f>
        <v>#VALUE!</v>
      </c>
      <c r="M14" s="98" cm="1">
        <f t="array" ref="M14">_FV(L14,"Similarity",TRUE)</f>
        <v>1</v>
      </c>
      <c r="N14" s="97" t="e" cm="1" vm="4">
        <f t="array" ref="N14">_xldudf_BOARDFLARE_FMATCH(D14,G14)</f>
        <v>#VALUE!</v>
      </c>
      <c r="O14" s="98" cm="1">
        <f t="array" ref="O14">_FV(N14,"Similarity",TRUE)</f>
        <v>0.92</v>
      </c>
      <c r="P14" s="97"/>
      <c r="AF14" s="116"/>
      <c r="AG14" s="116"/>
      <c r="AH14" s="116"/>
      <c r="AI14" s="116"/>
    </row>
    <row r="15" spans="1:35" ht="15.75">
      <c r="A15" s="115" t="s">
        <v>95</v>
      </c>
      <c r="B15" s="116"/>
      <c r="C15" s="118" t="s">
        <v>87</v>
      </c>
      <c r="D15" s="117" t="s">
        <v>96</v>
      </c>
      <c r="E15" s="116" t="s">
        <v>16</v>
      </c>
      <c r="F15" s="115"/>
      <c r="G15" s="115"/>
      <c r="H15" s="116"/>
      <c r="I15" s="101" t="e" cm="1" vm="5">
        <f t="array" ref="I15">_xldudf_BOARDFLARE_FMATCH(G15,D15)</f>
        <v>#VALUE!</v>
      </c>
      <c r="J15" s="103">
        <f>IF(M15&gt;O15, M15,O15)</f>
        <v>0</v>
      </c>
      <c r="K15" s="102"/>
      <c r="L15" s="97" t="e" cm="1" vm="5">
        <f t="array" ref="L15">_xldudf_BOARDFLARE_FMATCH(G15,D15)</f>
        <v>#VALUE!</v>
      </c>
      <c r="M15" s="98" cm="1">
        <f t="array" ref="M15">_FV(L15,"Similarity",TRUE)</f>
        <v>0</v>
      </c>
      <c r="N15" s="97" t="e" cm="1" vm="6">
        <f t="array" ref="N15">_xldudf_BOARDFLARE_FMATCH(D15,G15)</f>
        <v>#VALUE!</v>
      </c>
      <c r="O15" s="98" cm="1">
        <f t="array" ref="O15">_FV(N15,"Similarity",TRUE)</f>
        <v>0</v>
      </c>
      <c r="P15" s="97"/>
      <c r="AF15" s="116"/>
      <c r="AG15" s="116"/>
      <c r="AH15" s="116"/>
      <c r="AI15" s="116"/>
    </row>
    <row r="16" spans="1:35" ht="14.25" customHeight="1">
      <c r="A16" s="115" t="s">
        <v>97</v>
      </c>
      <c r="B16" s="116"/>
      <c r="C16" s="118" t="s">
        <v>87</v>
      </c>
      <c r="D16" s="120" t="s">
        <v>88</v>
      </c>
      <c r="E16" s="116" t="s">
        <v>16</v>
      </c>
      <c r="F16" s="115" t="s">
        <v>98</v>
      </c>
      <c r="G16" s="115" t="s">
        <v>90</v>
      </c>
      <c r="H16" s="116"/>
      <c r="I16" s="101" t="e" cm="1" vm="1">
        <f t="array" ref="I16">_xldudf_BOARDFLARE_FMATCH(G16,D16)</f>
        <v>#VALUE!</v>
      </c>
      <c r="J16" s="103">
        <f>IF(M16&gt;O16, M16,O16)</f>
        <v>0.99</v>
      </c>
      <c r="K16" s="102"/>
      <c r="L16" s="97" t="e" cm="1" vm="1">
        <f t="array" ref="L16">_xldudf_BOARDFLARE_FMATCH(G16,D16)</f>
        <v>#VALUE!</v>
      </c>
      <c r="M16" s="98" cm="1">
        <f t="array" ref="M16">_FV(L16,"Similarity",TRUE)</f>
        <v>0.99</v>
      </c>
      <c r="N16" s="97" t="e" cm="1" vm="2">
        <f t="array" ref="N16">_xldudf_BOARDFLARE_FMATCH(D16,G16)</f>
        <v>#VALUE!</v>
      </c>
      <c r="O16" s="98" cm="1">
        <f t="array" ref="O16">_FV(N16,"Similarity",TRUE)</f>
        <v>0.85</v>
      </c>
      <c r="P16" s="97"/>
      <c r="AF16" s="116"/>
      <c r="AG16" s="116"/>
      <c r="AH16" s="116" t="b">
        <f>AF16=AG16</f>
        <v>1</v>
      </c>
      <c r="AI16" s="116" t="b">
        <f>O16=R16</f>
        <v>0</v>
      </c>
    </row>
    <row r="17" spans="1:35" ht="15.75">
      <c r="A17" s="115" t="s">
        <v>113</v>
      </c>
      <c r="B17" s="116"/>
      <c r="C17" s="118" t="s">
        <v>87</v>
      </c>
      <c r="D17" s="119" t="s">
        <v>114</v>
      </c>
      <c r="E17" s="116" t="s">
        <v>16</v>
      </c>
      <c r="F17" s="115"/>
      <c r="G17" s="115"/>
      <c r="H17" s="116"/>
      <c r="I17" s="101" t="e" cm="1" vm="5">
        <f t="array" ref="I17">_xldudf_BOARDFLARE_FMATCH(G17,D17)</f>
        <v>#VALUE!</v>
      </c>
      <c r="J17" s="103">
        <f>IF(M17&gt;O17, M17,O17)</f>
        <v>0</v>
      </c>
      <c r="K17" s="102"/>
      <c r="L17" s="97" t="e" cm="1" vm="5">
        <f t="array" ref="L17">_xldudf_BOARDFLARE_FMATCH(G17,D17)</f>
        <v>#VALUE!</v>
      </c>
      <c r="M17" s="98" cm="1">
        <f t="array" ref="M17">_FV(L17,"Similarity",TRUE)</f>
        <v>0</v>
      </c>
      <c r="N17" s="97" t="e" cm="1" vm="12">
        <f t="array" ref="N17">_xldudf_BOARDFLARE_FMATCH(D17,G17)</f>
        <v>#VALUE!</v>
      </c>
      <c r="O17" s="98" cm="1">
        <f t="array" ref="O17">_FV(N17,"Similarity",TRUE)</f>
        <v>0</v>
      </c>
      <c r="P17" s="97"/>
      <c r="T17" s="98"/>
      <c r="AF17" s="116"/>
      <c r="AG17" s="116"/>
      <c r="AH17" s="116"/>
      <c r="AI17" s="116"/>
    </row>
    <row r="18" spans="1:35" ht="15">
      <c r="A18" s="115" t="s">
        <v>115</v>
      </c>
      <c r="B18" s="116"/>
      <c r="C18" s="115" t="s">
        <v>59</v>
      </c>
      <c r="D18" s="116" t="s">
        <v>116</v>
      </c>
      <c r="E18" s="116" t="s">
        <v>16</v>
      </c>
      <c r="F18" s="115" t="s">
        <v>117</v>
      </c>
      <c r="G18" s="115" t="s">
        <v>118</v>
      </c>
      <c r="H18" s="116"/>
      <c r="I18" s="101" t="e" cm="1" vm="13">
        <f t="array" ref="I18">_xldudf_BOARDFLARE_FMATCH(G18,D18)</f>
        <v>#VALUE!</v>
      </c>
      <c r="J18" s="103">
        <f>IF(M18&gt;O18, M18,O18)</f>
        <v>0.79</v>
      </c>
      <c r="K18" s="102"/>
      <c r="L18" s="97" t="e" cm="1" vm="13">
        <f t="array" ref="L18">_xldudf_BOARDFLARE_FMATCH(G18,D18)</f>
        <v>#VALUE!</v>
      </c>
      <c r="M18" s="98" cm="1">
        <f t="array" ref="M18">_FV(L18,"Similarity",TRUE)</f>
        <v>0.79</v>
      </c>
      <c r="N18" s="97" t="e" cm="1" vm="14">
        <f t="array" ref="N18">_xldudf_BOARDFLARE_FMATCH(D18,G18)</f>
        <v>#VALUE!</v>
      </c>
      <c r="O18" s="98" cm="1">
        <f t="array" ref="O18">_FV(N18,"Similarity",TRUE)</f>
        <v>0</v>
      </c>
      <c r="P18" s="97"/>
      <c r="T18" s="98"/>
      <c r="AF18" s="116" t="s">
        <v>105</v>
      </c>
      <c r="AG18" s="116" t="s">
        <v>105</v>
      </c>
      <c r="AH18" s="116" t="b">
        <f t="shared" ref="AH18:AH19" si="2">AF18=AG18</f>
        <v>1</v>
      </c>
      <c r="AI18" s="116" t="b">
        <f>Table113[[#This Row],[Expected Value]]=Table113[[#This Row],[AI Replaced Text]]</f>
        <v>0</v>
      </c>
    </row>
    <row r="19" spans="1:35" ht="15.75">
      <c r="A19" s="115" t="s">
        <v>119</v>
      </c>
      <c r="B19" s="116"/>
      <c r="C19" s="115" t="s">
        <v>59</v>
      </c>
      <c r="D19" s="117" t="s">
        <v>120</v>
      </c>
      <c r="E19" s="116" t="s">
        <v>16</v>
      </c>
      <c r="F19" s="115" t="s">
        <v>121</v>
      </c>
      <c r="G19" s="115" t="s">
        <v>122</v>
      </c>
      <c r="H19" s="116"/>
      <c r="I19" s="101" t="e" cm="1" vm="15">
        <f t="array" ref="I19">_xldudf_BOARDFLARE_FMATCH(G19,D19)</f>
        <v>#VALUE!</v>
      </c>
      <c r="J19" s="103">
        <f>IF(M19&gt;O19, M19,O19)</f>
        <v>0</v>
      </c>
      <c r="K19" s="102"/>
      <c r="L19" s="97" t="e" cm="1" vm="15">
        <f t="array" ref="L19">_xldudf_BOARDFLARE_FMATCH(G19,D19)</f>
        <v>#VALUE!</v>
      </c>
      <c r="M19" s="98" cm="1">
        <f t="array" ref="M19">_FV(L19,"Similarity",TRUE)</f>
        <v>0</v>
      </c>
      <c r="N19" s="97" t="e" cm="1" vm="16">
        <f t="array" ref="N19">_xldudf_BOARDFLARE_FMATCH(D19,G19)</f>
        <v>#VALUE!</v>
      </c>
      <c r="O19" s="98" cm="1">
        <f t="array" ref="O19">_FV(N19,"Similarity",TRUE)</f>
        <v>0</v>
      </c>
      <c r="P19" s="97"/>
      <c r="T19" s="98"/>
      <c r="AF19" s="116" t="s">
        <v>105</v>
      </c>
      <c r="AG19" s="116" t="s">
        <v>123</v>
      </c>
      <c r="AH19" s="116" t="b">
        <f t="shared" si="2"/>
        <v>0</v>
      </c>
      <c r="AI19" s="116" t="b">
        <f>Table113[[#This Row],[Expected Value]]=Table113[[#This Row],[AI Replaced Text]]</f>
        <v>0</v>
      </c>
    </row>
    <row r="20" spans="1:35" ht="15.75">
      <c r="A20" s="115" t="s">
        <v>124</v>
      </c>
      <c r="B20" s="116"/>
      <c r="C20" s="118" t="s">
        <v>87</v>
      </c>
      <c r="D20" s="117" t="s">
        <v>125</v>
      </c>
      <c r="E20" s="116" t="s">
        <v>16</v>
      </c>
      <c r="F20" s="115" t="s">
        <v>126</v>
      </c>
      <c r="G20" s="115" t="s">
        <v>127</v>
      </c>
      <c r="H20" s="116"/>
      <c r="I20" s="101" t="e" cm="1" vm="17">
        <f t="array" ref="I20">_xldudf_BOARDFLARE_FMATCH(G20,D20)</f>
        <v>#VALUE!</v>
      </c>
      <c r="J20" s="103">
        <f>IF(M20&gt;O20, M20,O20)</f>
        <v>0.56999999999999995</v>
      </c>
      <c r="K20" s="102"/>
      <c r="L20" s="97" t="e" cm="1" vm="17">
        <f t="array" ref="L20">_xldudf_BOARDFLARE_FMATCH(G20,D20)</f>
        <v>#VALUE!</v>
      </c>
      <c r="M20" s="98" cm="1">
        <f t="array" ref="M20">_FV(L20,"Similarity",TRUE)</f>
        <v>0.56999999999999995</v>
      </c>
      <c r="N20" s="97" t="e" cm="1" vm="18">
        <f t="array" ref="N20">_xldudf_BOARDFLARE_FMATCH(D20,G20)</f>
        <v>#VALUE!</v>
      </c>
      <c r="O20" s="98" cm="1">
        <f t="array" ref="O20">_FV(N20,"Similarity",TRUE)</f>
        <v>0.55000000000000004</v>
      </c>
      <c r="P20" s="97"/>
      <c r="T20" s="98"/>
      <c r="AF20" s="116" t="s">
        <v>105</v>
      </c>
      <c r="AG20" s="116"/>
      <c r="AH20" s="116"/>
      <c r="AI20" s="116"/>
    </row>
    <row r="21" spans="1:35" ht="15">
      <c r="A21" s="115" t="s">
        <v>128</v>
      </c>
      <c r="B21" s="116"/>
      <c r="C21" s="115" t="s">
        <v>58</v>
      </c>
      <c r="D21" s="116" t="s">
        <v>129</v>
      </c>
      <c r="E21" s="116" t="s">
        <v>16</v>
      </c>
      <c r="F21" s="115" t="s">
        <v>130</v>
      </c>
      <c r="G21" s="115" t="s">
        <v>131</v>
      </c>
      <c r="H21" s="116"/>
      <c r="I21" s="101" t="e" cm="1" vm="19">
        <f t="array" ref="I21">_xldudf_BOARDFLARE_FMATCH(G21,D21)</f>
        <v>#VALUE!</v>
      </c>
      <c r="J21" s="103">
        <f>IF(M21&gt;O21, M21,O21)</f>
        <v>0</v>
      </c>
      <c r="K21" s="102"/>
      <c r="L21" s="97" t="e" cm="1" vm="19">
        <f t="array" ref="L21">_xldudf_BOARDFLARE_FMATCH(G21,D21)</f>
        <v>#VALUE!</v>
      </c>
      <c r="M21" s="98" cm="1">
        <f t="array" ref="M21">_FV(L21,"Similarity",TRUE)</f>
        <v>0</v>
      </c>
      <c r="N21" s="97" t="e" cm="1" vm="20">
        <f t="array" ref="N21">_xldudf_BOARDFLARE_FMATCH(D21,G21)</f>
        <v>#VALUE!</v>
      </c>
      <c r="O21" s="98" cm="1">
        <f t="array" ref="O21">_FV(N21,"Similarity",TRUE)</f>
        <v>0</v>
      </c>
      <c r="P21" s="97"/>
      <c r="R21" s="125">
        <v>16</v>
      </c>
      <c r="S21" s="125">
        <v>2</v>
      </c>
      <c r="T21" s="125" t="s">
        <v>132</v>
      </c>
      <c r="U21" s="125" t="s">
        <v>133</v>
      </c>
      <c r="V21" s="125" t="s">
        <v>133</v>
      </c>
      <c r="W21" s="125" t="s">
        <v>133</v>
      </c>
      <c r="X21" s="125" t="s">
        <v>123</v>
      </c>
      <c r="AF21" s="116" t="s">
        <v>105</v>
      </c>
      <c r="AG21" s="116"/>
      <c r="AH21" s="116"/>
      <c r="AI21" s="116"/>
    </row>
    <row r="22" spans="1:35" ht="15.75">
      <c r="A22" s="115" t="s">
        <v>134</v>
      </c>
      <c r="B22" s="116"/>
      <c r="C22" s="115" t="s">
        <v>59</v>
      </c>
      <c r="D22" s="117" t="s">
        <v>135</v>
      </c>
      <c r="E22" s="116" t="s">
        <v>16</v>
      </c>
      <c r="F22" s="115" t="s">
        <v>136</v>
      </c>
      <c r="G22" s="115" t="s">
        <v>137</v>
      </c>
      <c r="H22" s="116"/>
      <c r="I22" s="101" t="e" cm="1" vm="21">
        <f t="array" ref="I22">_xldudf_BOARDFLARE_FMATCH(G22,D22)</f>
        <v>#VALUE!</v>
      </c>
      <c r="J22" s="103">
        <f>IF(M22&gt;O22, M22,O22)</f>
        <v>0</v>
      </c>
      <c r="K22" s="102"/>
      <c r="L22" s="97" t="e" cm="1" vm="21">
        <f t="array" ref="L22">_xldudf_BOARDFLARE_FMATCH(G22,D22)</f>
        <v>#VALUE!</v>
      </c>
      <c r="M22" s="98" cm="1">
        <f t="array" ref="M22">_FV(L22,"Similarity",TRUE)</f>
        <v>0</v>
      </c>
      <c r="N22" s="97" t="e" cm="1" vm="22">
        <f t="array" ref="N22">_xldudf_BOARDFLARE_FMATCH(D22,G22)</f>
        <v>#VALUE!</v>
      </c>
      <c r="O22" s="98" cm="1">
        <f t="array" ref="O22">_FV(N22,"Similarity",TRUE)</f>
        <v>0</v>
      </c>
      <c r="P22" s="97"/>
      <c r="R22" s="116"/>
      <c r="S22" s="116"/>
      <c r="T22" s="116"/>
      <c r="U22" s="116"/>
      <c r="V22" s="116"/>
      <c r="W22" s="116"/>
      <c r="X22" s="116"/>
      <c r="AF22" s="116" t="s">
        <v>105</v>
      </c>
      <c r="AG22" s="116" t="s">
        <v>123</v>
      </c>
      <c r="AH22" s="116" t="b">
        <f>AF22=AG22</f>
        <v>0</v>
      </c>
      <c r="AI22" s="116" t="b">
        <f>Table113[[#This Row],[Expected Value]]=Table113[[#This Row],[AI Replaced Text]]</f>
        <v>0</v>
      </c>
    </row>
    <row r="23" spans="1:35" ht="15">
      <c r="A23" s="115" t="s">
        <v>138</v>
      </c>
      <c r="B23" s="116"/>
      <c r="C23" s="118" t="s">
        <v>87</v>
      </c>
      <c r="D23" s="116" t="s">
        <v>139</v>
      </c>
      <c r="E23" s="116" t="s">
        <v>16</v>
      </c>
      <c r="F23" s="115" t="s">
        <v>140</v>
      </c>
      <c r="G23" s="115" t="s">
        <v>141</v>
      </c>
      <c r="H23" s="116"/>
      <c r="I23" s="101" t="e" cm="1" vm="23">
        <f t="array" ref="I23">_xldudf_BOARDFLARE_FMATCH(G23,D23)</f>
        <v>#VALUE!</v>
      </c>
      <c r="J23" s="103">
        <f>IF(M23&gt;O23, M23,O23)</f>
        <v>0.59</v>
      </c>
      <c r="K23" s="102"/>
      <c r="L23" s="97" t="e" cm="1" vm="23">
        <f t="array" ref="L23">_xldudf_BOARDFLARE_FMATCH(G23,D23)</f>
        <v>#VALUE!</v>
      </c>
      <c r="M23" s="98" cm="1">
        <f t="array" ref="M23">_FV(L23,"Similarity",TRUE)</f>
        <v>0</v>
      </c>
      <c r="N23" s="97" t="e" cm="1" vm="24">
        <f t="array" ref="N23">_xldudf_BOARDFLARE_FMATCH(D23,G23)</f>
        <v>#VALUE!</v>
      </c>
      <c r="O23" s="98" cm="1">
        <f t="array" ref="O23">_FV(N23,"Similarity",TRUE)</f>
        <v>0.59</v>
      </c>
      <c r="P23" s="97"/>
      <c r="R23" s="116"/>
      <c r="S23" s="116"/>
      <c r="T23" s="116"/>
      <c r="U23" s="116"/>
      <c r="V23" s="116"/>
      <c r="W23" s="116"/>
      <c r="X23" s="116"/>
      <c r="AF23" s="116" t="s">
        <v>105</v>
      </c>
      <c r="AG23" s="116"/>
      <c r="AH23" s="116"/>
      <c r="AI23" s="116"/>
    </row>
    <row r="24" spans="1:35" ht="15">
      <c r="A24" s="115" t="s">
        <v>142</v>
      </c>
      <c r="B24" s="116"/>
      <c r="C24" s="115" t="s">
        <v>58</v>
      </c>
      <c r="D24" s="116" t="s">
        <v>143</v>
      </c>
      <c r="E24" s="116" t="s">
        <v>16</v>
      </c>
      <c r="F24" s="115" t="s">
        <v>144</v>
      </c>
      <c r="G24" s="115" t="s">
        <v>145</v>
      </c>
      <c r="H24" s="116"/>
      <c r="I24" s="101" t="e" cm="1" vm="25">
        <f t="array" ref="I24">_xldudf_BOARDFLARE_FMATCH(G24,D24)</f>
        <v>#VALUE!</v>
      </c>
      <c r="J24" s="103">
        <f>IF(M24&gt;O24, M24,O24)</f>
        <v>0</v>
      </c>
      <c r="K24" s="102"/>
      <c r="L24" s="97" t="e" cm="1" vm="25">
        <f t="array" ref="L24">_xldudf_BOARDFLARE_FMATCH(G24,D24)</f>
        <v>#VALUE!</v>
      </c>
      <c r="M24" s="98" cm="1">
        <f t="array" ref="M24">_FV(L24,"Similarity",TRUE)</f>
        <v>0</v>
      </c>
      <c r="N24" s="97" t="e" cm="1" vm="26">
        <f t="array" ref="N24">_xldudf_BOARDFLARE_FMATCH(D24,G24)</f>
        <v>#VALUE!</v>
      </c>
      <c r="O24" s="98" cm="1">
        <f t="array" ref="O24">_FV(N24,"Similarity",TRUE)</f>
        <v>0</v>
      </c>
      <c r="P24" s="97"/>
      <c r="R24" s="125">
        <v>13</v>
      </c>
      <c r="S24" s="125">
        <v>3</v>
      </c>
      <c r="T24" s="125" t="s">
        <v>146</v>
      </c>
      <c r="U24" s="125" t="s">
        <v>133</v>
      </c>
      <c r="V24" s="125" t="s">
        <v>133</v>
      </c>
      <c r="W24" s="125" t="s">
        <v>133</v>
      </c>
      <c r="X24" s="125" t="s">
        <v>123</v>
      </c>
      <c r="AF24" s="116" t="s">
        <v>105</v>
      </c>
      <c r="AG24" s="116"/>
      <c r="AH24" s="116"/>
      <c r="AI24" s="116"/>
    </row>
    <row r="25" spans="1:35" ht="15">
      <c r="A25" s="115" t="s">
        <v>147</v>
      </c>
      <c r="B25" s="116"/>
      <c r="C25" s="118" t="s">
        <v>87</v>
      </c>
      <c r="D25" s="116" t="s">
        <v>148</v>
      </c>
      <c r="E25" s="116" t="s">
        <v>16</v>
      </c>
      <c r="F25" s="115"/>
      <c r="G25" s="115"/>
      <c r="H25" s="116"/>
      <c r="I25" s="101" t="e" cm="1" vm="5">
        <f t="array" ref="I25">_xldudf_BOARDFLARE_FMATCH(G25,D25)</f>
        <v>#VALUE!</v>
      </c>
      <c r="J25" s="103">
        <f>IF(M25&gt;O25, M25,O25)</f>
        <v>0</v>
      </c>
      <c r="K25" s="102"/>
      <c r="L25" s="97" t="e" cm="1" vm="5">
        <f t="array" ref="L25">_xldudf_BOARDFLARE_FMATCH(G25,D25)</f>
        <v>#VALUE!</v>
      </c>
      <c r="M25" s="98" cm="1">
        <f t="array" ref="M25">_FV(L25,"Similarity",TRUE)</f>
        <v>0</v>
      </c>
      <c r="N25" s="97" t="e" cm="1" vm="27">
        <f t="array" ref="N25">_xldudf_BOARDFLARE_FMATCH(D25,G25)</f>
        <v>#VALUE!</v>
      </c>
      <c r="O25" s="98" cm="1">
        <f t="array" ref="O25">_FV(N25,"Similarity",TRUE)</f>
        <v>0</v>
      </c>
      <c r="P25" s="97"/>
      <c r="R25" s="116"/>
      <c r="S25" s="116"/>
      <c r="T25" s="116"/>
      <c r="U25" s="116"/>
      <c r="V25" s="116"/>
      <c r="W25" s="116"/>
      <c r="X25" s="116"/>
      <c r="AF25" s="116" t="s">
        <v>105</v>
      </c>
      <c r="AG25" s="116"/>
      <c r="AH25" s="116"/>
      <c r="AI25" s="116"/>
    </row>
    <row r="26" spans="1:35" ht="15.75">
      <c r="A26" s="115" t="s">
        <v>149</v>
      </c>
      <c r="B26" s="116"/>
      <c r="C26" s="115" t="s">
        <v>59</v>
      </c>
      <c r="D26" s="117" t="s">
        <v>150</v>
      </c>
      <c r="E26" s="116" t="s">
        <v>16</v>
      </c>
      <c r="F26" s="115"/>
      <c r="G26" s="115"/>
      <c r="H26" s="116"/>
      <c r="I26" s="101" t="e" cm="1" vm="5">
        <f t="array" ref="I26">_xldudf_BOARDFLARE_FMATCH(G26,D26)</f>
        <v>#VALUE!</v>
      </c>
      <c r="J26" s="103">
        <f>IF(M26&gt;O26, M26,O26)</f>
        <v>0</v>
      </c>
      <c r="K26" s="102"/>
      <c r="L26" s="97" t="e" cm="1" vm="5">
        <f t="array" ref="L26">_xldudf_BOARDFLARE_FMATCH(G26,D26)</f>
        <v>#VALUE!</v>
      </c>
      <c r="M26" s="98" cm="1">
        <f t="array" ref="M26">_FV(L26,"Similarity",TRUE)</f>
        <v>0</v>
      </c>
      <c r="N26" s="97" t="e" cm="1" vm="28">
        <f t="array" ref="N26">_xldudf_BOARDFLARE_FMATCH(D26,G26)</f>
        <v>#VALUE!</v>
      </c>
      <c r="O26" s="98" cm="1">
        <f t="array" ref="O26">_FV(N26,"Similarity",TRUE)</f>
        <v>0</v>
      </c>
      <c r="P26" s="97"/>
      <c r="R26" s="116"/>
      <c r="S26" s="116"/>
      <c r="T26" s="116"/>
      <c r="U26" s="116"/>
      <c r="V26" s="116"/>
      <c r="W26" s="116"/>
      <c r="X26" s="116"/>
      <c r="AF26" s="116" t="s">
        <v>105</v>
      </c>
      <c r="AG26" s="116" t="s">
        <v>123</v>
      </c>
      <c r="AH26" s="116" t="b">
        <f>AF26=AG26</f>
        <v>0</v>
      </c>
      <c r="AI26" s="116" t="b">
        <f>Table113[[#This Row],[Expected Value]]=Table113[[#This Row],[AI Replaced Text]]</f>
        <v>0</v>
      </c>
    </row>
    <row r="27" spans="1:35" ht="15">
      <c r="A27" s="115" t="s">
        <v>138</v>
      </c>
      <c r="B27" s="116"/>
      <c r="C27" s="118" t="s">
        <v>87</v>
      </c>
      <c r="D27" s="116" t="s">
        <v>139</v>
      </c>
      <c r="E27" s="116" t="s">
        <v>16</v>
      </c>
      <c r="F27" s="115" t="s">
        <v>140</v>
      </c>
      <c r="G27" s="115" t="s">
        <v>141</v>
      </c>
      <c r="H27" s="116"/>
      <c r="I27" s="101" t="e" cm="1" vm="23">
        <f t="array" ref="I27">_xldudf_BOARDFLARE_FMATCH(G27,D27)</f>
        <v>#VALUE!</v>
      </c>
      <c r="J27" s="103">
        <f>IF(M27&gt;O27, M27,O27)</f>
        <v>0.59</v>
      </c>
      <c r="K27" s="102"/>
      <c r="L27" s="97" t="e" cm="1" vm="23">
        <f t="array" ref="L27">_xldudf_BOARDFLARE_FMATCH(G27,D27)</f>
        <v>#VALUE!</v>
      </c>
      <c r="M27" s="98" cm="1">
        <f t="array" ref="M27">_FV(L27,"Similarity",TRUE)</f>
        <v>0</v>
      </c>
      <c r="N27" s="97" t="e" cm="1" vm="24">
        <f t="array" ref="N27">_xldudf_BOARDFLARE_FMATCH(D27,G27)</f>
        <v>#VALUE!</v>
      </c>
      <c r="O27" s="98" cm="1">
        <f t="array" ref="O27">_FV(N27,"Similarity",TRUE)</f>
        <v>0.59</v>
      </c>
      <c r="P27" s="97"/>
      <c r="R27" s="116"/>
      <c r="S27" s="116"/>
      <c r="T27" s="116"/>
      <c r="U27" s="116"/>
      <c r="V27" s="116"/>
      <c r="W27" s="116"/>
      <c r="X27" s="116"/>
      <c r="AF27" s="116" t="s">
        <v>105</v>
      </c>
      <c r="AG27" s="116"/>
      <c r="AH27" s="116"/>
      <c r="AI27" s="116"/>
    </row>
    <row r="28" spans="1:35" ht="15">
      <c r="A28" s="115" t="s">
        <v>142</v>
      </c>
      <c r="B28" s="116"/>
      <c r="C28" s="115" t="s">
        <v>58</v>
      </c>
      <c r="D28" s="116" t="s">
        <v>143</v>
      </c>
      <c r="E28" s="116" t="s">
        <v>16</v>
      </c>
      <c r="F28" s="115" t="s">
        <v>144</v>
      </c>
      <c r="G28" s="115" t="s">
        <v>145</v>
      </c>
      <c r="H28" s="116"/>
      <c r="I28" s="101" t="e" cm="1" vm="25">
        <f t="array" ref="I28">_xldudf_BOARDFLARE_FMATCH(G28,D28)</f>
        <v>#VALUE!</v>
      </c>
      <c r="J28" s="103">
        <f>IF(M28&gt;O28, M28,O28)</f>
        <v>0</v>
      </c>
      <c r="K28" s="102"/>
      <c r="L28" s="97" t="e" cm="1" vm="25">
        <f t="array" ref="L28">_xldudf_BOARDFLARE_FMATCH(G28,D28)</f>
        <v>#VALUE!</v>
      </c>
      <c r="M28" s="98" cm="1">
        <f t="array" ref="M28">_FV(L28,"Similarity",TRUE)</f>
        <v>0</v>
      </c>
      <c r="N28" s="97" t="e" cm="1" vm="26">
        <f t="array" ref="N28">_xldudf_BOARDFLARE_FMATCH(D28,G28)</f>
        <v>#VALUE!</v>
      </c>
      <c r="O28" s="98" cm="1">
        <f t="array" ref="O28">_FV(N28,"Similarity",TRUE)</f>
        <v>0</v>
      </c>
      <c r="R28" s="125">
        <v>13</v>
      </c>
      <c r="S28" s="125">
        <v>3</v>
      </c>
      <c r="T28" s="125" t="s">
        <v>146</v>
      </c>
      <c r="U28" s="125" t="s">
        <v>133</v>
      </c>
      <c r="V28" s="125" t="s">
        <v>133</v>
      </c>
      <c r="W28" s="125" t="s">
        <v>133</v>
      </c>
      <c r="X28" s="125" t="s">
        <v>123</v>
      </c>
      <c r="AF28" s="116" t="s">
        <v>105</v>
      </c>
      <c r="AG28" s="116"/>
      <c r="AH28" s="116"/>
      <c r="AI28" s="116"/>
    </row>
    <row r="29" spans="1:35" ht="15">
      <c r="A29" s="115" t="s">
        <v>147</v>
      </c>
      <c r="B29" s="116"/>
      <c r="C29" s="118" t="s">
        <v>87</v>
      </c>
      <c r="D29" s="116" t="s">
        <v>148</v>
      </c>
      <c r="E29" s="116" t="s">
        <v>16</v>
      </c>
      <c r="F29" s="115"/>
      <c r="G29" s="115"/>
      <c r="H29" s="116"/>
      <c r="I29" s="101" t="e" cm="1" vm="5">
        <f t="array" ref="I29">_xldudf_BOARDFLARE_FMATCH(G29,D29)</f>
        <v>#VALUE!</v>
      </c>
      <c r="J29" s="103">
        <f>IF(M29&gt;O29, M29,O29)</f>
        <v>0</v>
      </c>
      <c r="K29" s="102"/>
      <c r="L29" s="97" t="e" cm="1" vm="5">
        <f t="array" ref="L29">_xldudf_BOARDFLARE_FMATCH(G29,D29)</f>
        <v>#VALUE!</v>
      </c>
      <c r="M29" s="98" cm="1">
        <f t="array" ref="M29">_FV(L29,"Similarity",TRUE)</f>
        <v>0</v>
      </c>
      <c r="N29" s="97" t="e" cm="1" vm="27">
        <f t="array" ref="N29">_xldudf_BOARDFLARE_FMATCH(D29,G29)</f>
        <v>#VALUE!</v>
      </c>
      <c r="O29" s="98" cm="1">
        <f t="array" ref="O29">_FV(N29,"Similarity",TRUE)</f>
        <v>0</v>
      </c>
      <c r="R29" s="116"/>
      <c r="S29" s="116"/>
      <c r="T29" s="116"/>
      <c r="U29" s="116"/>
      <c r="V29" s="116"/>
      <c r="W29" s="116"/>
      <c r="X29" s="116"/>
      <c r="AF29" s="116" t="s">
        <v>105</v>
      </c>
      <c r="AG29" s="116"/>
      <c r="AH29" s="116" t="b">
        <f>AF29=AG29</f>
        <v>0</v>
      </c>
      <c r="AI29" s="116" t="b">
        <f>O29=R29</f>
        <v>1</v>
      </c>
    </row>
    <row r="30" spans="1:35" ht="15.75">
      <c r="A30" s="115" t="s">
        <v>151</v>
      </c>
      <c r="B30" s="116"/>
      <c r="C30" s="115" t="s">
        <v>59</v>
      </c>
      <c r="D30" s="117" t="s">
        <v>152</v>
      </c>
      <c r="E30" s="116" t="s">
        <v>16</v>
      </c>
      <c r="F30" s="115" t="s">
        <v>153</v>
      </c>
      <c r="G30" s="115" t="s">
        <v>154</v>
      </c>
      <c r="H30" s="116"/>
      <c r="I30" s="101" t="e" cm="1" vm="29">
        <f t="array" ref="I30">_xldudf_BOARDFLARE_FMATCH(G30,D30)</f>
        <v>#VALUE!</v>
      </c>
      <c r="J30" s="103">
        <f>IF(M30&gt;O30, M30,O30)</f>
        <v>0</v>
      </c>
      <c r="K30" s="102"/>
      <c r="L30" s="97" t="e" cm="1" vm="29">
        <f t="array" ref="L30">_xldudf_BOARDFLARE_FMATCH(G30,D30)</f>
        <v>#VALUE!</v>
      </c>
      <c r="M30" s="98" cm="1">
        <f t="array" ref="M30">_FV(L30,"Similarity",TRUE)</f>
        <v>0</v>
      </c>
      <c r="N30" s="97" t="e" cm="1" vm="30">
        <f t="array" ref="N30">_xldudf_BOARDFLARE_FMATCH(D30,G30)</f>
        <v>#VALUE!</v>
      </c>
      <c r="O30" s="98" cm="1">
        <f t="array" ref="O30">_FV(N30,"Similarity",TRUE)</f>
        <v>0</v>
      </c>
      <c r="R30" s="116"/>
      <c r="S30" s="116"/>
      <c r="T30" s="116"/>
      <c r="U30" s="116"/>
      <c r="V30" s="116"/>
      <c r="W30" s="116"/>
      <c r="X30" s="116"/>
      <c r="AF30" s="116" t="s">
        <v>105</v>
      </c>
      <c r="AG30" s="116" t="s">
        <v>105</v>
      </c>
      <c r="AH30" s="116" t="b">
        <f>AF30=AG30</f>
        <v>1</v>
      </c>
      <c r="AI30" s="116" t="b">
        <f>Table113[[#This Row],[Expected Value]]=Table113[[#This Row],[AI Replaced Text]]</f>
        <v>0</v>
      </c>
    </row>
    <row r="31" spans="1:35" ht="15">
      <c r="A31" s="115" t="s">
        <v>155</v>
      </c>
      <c r="B31" s="116"/>
      <c r="C31" s="115"/>
      <c r="D31" s="116"/>
      <c r="E31" s="116" t="s">
        <v>16</v>
      </c>
      <c r="F31" s="115"/>
      <c r="G31" s="115"/>
      <c r="H31" s="116"/>
      <c r="I31" s="101" t="e" cm="1" vm="5">
        <f t="array" ref="I31">_xldudf_BOARDFLARE_FMATCH(G31,D31)</f>
        <v>#VALUE!</v>
      </c>
      <c r="J31" s="103">
        <f>IF(M31&gt;O31, M31,O31)</f>
        <v>0</v>
      </c>
      <c r="K31" s="102"/>
      <c r="L31" s="97" t="e" cm="1" vm="5">
        <f t="array" ref="L31">_xldudf_BOARDFLARE_FMATCH(G31,D31)</f>
        <v>#VALUE!</v>
      </c>
      <c r="M31" s="98" cm="1">
        <f t="array" ref="M31">_FV(L31,"Similarity",TRUE)</f>
        <v>0</v>
      </c>
      <c r="N31" s="97" t="e" cm="1" vm="5">
        <f t="array" ref="N31">_xldudf_BOARDFLARE_FMATCH(D31,G31)</f>
        <v>#VALUE!</v>
      </c>
      <c r="O31" s="98" cm="1">
        <f t="array" ref="O31">_FV(N31,"Similarity",TRUE)</f>
        <v>0</v>
      </c>
      <c r="R31" s="116"/>
      <c r="S31" s="116"/>
      <c r="T31" s="116"/>
      <c r="U31" s="116"/>
      <c r="V31" s="116"/>
      <c r="W31" s="116"/>
      <c r="X31" s="116"/>
      <c r="AF31" s="116" t="s">
        <v>105</v>
      </c>
      <c r="AG31" s="116"/>
      <c r="AH31" s="116"/>
      <c r="AI31" s="116"/>
    </row>
    <row r="32" spans="1:35" ht="15.75">
      <c r="A32" s="115" t="s">
        <v>86</v>
      </c>
      <c r="B32" s="116"/>
      <c r="C32" s="118" t="s">
        <v>87</v>
      </c>
      <c r="D32" s="120" t="s">
        <v>88</v>
      </c>
      <c r="E32" s="116" t="s">
        <v>16</v>
      </c>
      <c r="F32" s="115" t="s">
        <v>89</v>
      </c>
      <c r="G32" s="115" t="s">
        <v>90</v>
      </c>
      <c r="H32" s="116"/>
      <c r="I32" s="101" t="e" cm="1" vm="1">
        <f t="array" ref="I32">_xldudf_BOARDFLARE_FMATCH(G32,D32)</f>
        <v>#VALUE!</v>
      </c>
      <c r="J32" s="103">
        <f>IF(M32&gt;O32, M32,O32)</f>
        <v>0.99</v>
      </c>
      <c r="K32" s="102"/>
      <c r="L32" s="97" t="e" cm="1" vm="1">
        <f t="array" ref="L32">_xldudf_BOARDFLARE_FMATCH(G32,D32)</f>
        <v>#VALUE!</v>
      </c>
      <c r="M32" s="98" cm="1">
        <f t="array" ref="M32">_FV(L32,"Similarity",TRUE)</f>
        <v>0.99</v>
      </c>
      <c r="N32" s="97" t="e" cm="1" vm="2">
        <f t="array" ref="N32">_xldudf_BOARDFLARE_FMATCH(D32,G32)</f>
        <v>#VALUE!</v>
      </c>
      <c r="O32" s="98" cm="1">
        <f t="array" ref="O32">_FV(N32,"Similarity",TRUE)</f>
        <v>0.85</v>
      </c>
      <c r="R32" s="116"/>
      <c r="S32" s="116"/>
      <c r="T32" s="116"/>
      <c r="U32" s="116"/>
      <c r="V32" s="116"/>
      <c r="W32" s="116"/>
      <c r="X32" s="116"/>
      <c r="AF32" s="116" t="s">
        <v>105</v>
      </c>
      <c r="AG32" s="116"/>
      <c r="AH32" s="116"/>
      <c r="AI32" s="116"/>
    </row>
    <row r="33" spans="1:35" ht="15.75">
      <c r="A33" s="115" t="s">
        <v>91</v>
      </c>
      <c r="B33" s="116"/>
      <c r="C33" s="118" t="s">
        <v>87</v>
      </c>
      <c r="D33" s="120" t="s">
        <v>92</v>
      </c>
      <c r="E33" s="116" t="s">
        <v>16</v>
      </c>
      <c r="F33" s="115" t="s">
        <v>93</v>
      </c>
      <c r="G33" s="115" t="s">
        <v>94</v>
      </c>
      <c r="H33" s="116"/>
      <c r="I33" s="101" t="e" cm="1" vm="3">
        <f t="array" ref="I33">_xldudf_BOARDFLARE_FMATCH(G33,D33)</f>
        <v>#VALUE!</v>
      </c>
      <c r="J33" s="103">
        <f>IF(M33&gt;O33, M33,O33)</f>
        <v>1</v>
      </c>
      <c r="K33" s="102"/>
      <c r="L33" s="97" t="e" cm="1" vm="3">
        <f t="array" ref="L33">_xldudf_BOARDFLARE_FMATCH(G33,D33)</f>
        <v>#VALUE!</v>
      </c>
      <c r="M33" s="98" cm="1">
        <f t="array" ref="M33">_FV(L33,"Similarity",TRUE)</f>
        <v>1</v>
      </c>
      <c r="N33" s="97" t="e" cm="1" vm="4">
        <f t="array" ref="N33">_xldudf_BOARDFLARE_FMATCH(D33,G33)</f>
        <v>#VALUE!</v>
      </c>
      <c r="O33" s="98" cm="1">
        <f t="array" ref="O33">_FV(N33,"Similarity",TRUE)</f>
        <v>0.92</v>
      </c>
      <c r="R33" s="116"/>
      <c r="S33" s="116"/>
      <c r="T33" s="116"/>
      <c r="U33" s="116"/>
      <c r="V33" s="116"/>
      <c r="W33" s="116"/>
      <c r="X33" s="116"/>
      <c r="AF33" s="116" t="s">
        <v>105</v>
      </c>
      <c r="AG33" s="116"/>
      <c r="AH33" s="116"/>
      <c r="AI33" s="116"/>
    </row>
    <row r="34" spans="1:35" ht="15.75">
      <c r="A34" s="115" t="s">
        <v>95</v>
      </c>
      <c r="B34" s="116"/>
      <c r="C34" s="118" t="s">
        <v>87</v>
      </c>
      <c r="D34" s="117" t="s">
        <v>96</v>
      </c>
      <c r="E34" s="116" t="s">
        <v>16</v>
      </c>
      <c r="F34" s="115"/>
      <c r="G34" s="115"/>
      <c r="H34" s="116"/>
      <c r="I34" s="101" t="e" cm="1" vm="5">
        <f t="array" ref="I34">_xldudf_BOARDFLARE_FMATCH(G34,D34)</f>
        <v>#VALUE!</v>
      </c>
      <c r="J34" s="103">
        <f>IF(M34&gt;O34, M34,O34)</f>
        <v>0</v>
      </c>
      <c r="K34" s="102"/>
      <c r="L34" s="97" t="e" cm="1" vm="5">
        <f t="array" ref="L34">_xldudf_BOARDFLARE_FMATCH(G34,D34)</f>
        <v>#VALUE!</v>
      </c>
      <c r="M34" s="98" cm="1">
        <f t="array" ref="M34">_FV(L34,"Similarity",TRUE)</f>
        <v>0</v>
      </c>
      <c r="N34" s="97" t="e" cm="1" vm="6">
        <f t="array" ref="N34">_xldudf_BOARDFLARE_FMATCH(D34,G34)</f>
        <v>#VALUE!</v>
      </c>
      <c r="O34" s="98" cm="1">
        <f t="array" ref="O34">_FV(N34,"Similarity",TRUE)</f>
        <v>0</v>
      </c>
      <c r="R34" s="116"/>
      <c r="S34" s="116"/>
      <c r="T34" s="116"/>
      <c r="U34" s="116"/>
      <c r="V34" s="116"/>
      <c r="W34" s="116"/>
      <c r="X34" s="116"/>
      <c r="AF34" s="116" t="s">
        <v>105</v>
      </c>
      <c r="AG34" s="116"/>
      <c r="AH34" s="116"/>
      <c r="AI34" s="116"/>
    </row>
    <row r="35" spans="1:35" ht="15.75">
      <c r="A35" s="115" t="s">
        <v>97</v>
      </c>
      <c r="B35" s="116"/>
      <c r="C35" s="118" t="s">
        <v>87</v>
      </c>
      <c r="D35" s="120" t="s">
        <v>88</v>
      </c>
      <c r="E35" s="116" t="s">
        <v>16</v>
      </c>
      <c r="F35" s="115" t="s">
        <v>98</v>
      </c>
      <c r="G35" s="115" t="s">
        <v>90</v>
      </c>
      <c r="H35" s="116"/>
      <c r="I35" s="101" t="e" cm="1" vm="1">
        <f t="array" ref="I35">_xldudf_BOARDFLARE_FMATCH(G35,D35)</f>
        <v>#VALUE!</v>
      </c>
      <c r="J35" s="103">
        <f>IF(M35&gt;O35, M35,O35)</f>
        <v>0.99</v>
      </c>
      <c r="K35" s="102"/>
      <c r="L35" s="97" t="e" cm="1" vm="1">
        <f t="array" ref="L35">_xldudf_BOARDFLARE_FMATCH(G35,D35)</f>
        <v>#VALUE!</v>
      </c>
      <c r="M35" s="98" cm="1">
        <f t="array" ref="M35">_FV(L35,"Similarity",TRUE)</f>
        <v>0.99</v>
      </c>
      <c r="N35" s="97" t="e" cm="1" vm="2">
        <f t="array" ref="N35">_xldudf_BOARDFLARE_FMATCH(D35,G35)</f>
        <v>#VALUE!</v>
      </c>
      <c r="O35" s="98" cm="1">
        <f t="array" ref="O35">_FV(N35,"Similarity",TRUE)</f>
        <v>0.85</v>
      </c>
      <c r="R35" s="116"/>
      <c r="S35" s="116"/>
      <c r="T35" s="116"/>
      <c r="U35" s="116"/>
      <c r="V35" s="116"/>
      <c r="W35" s="116"/>
      <c r="X35" s="116"/>
      <c r="AF35" s="116" t="s">
        <v>105</v>
      </c>
      <c r="AG35" s="116"/>
      <c r="AH35" s="116" t="b">
        <f t="shared" ref="AH35:AH37" si="3">AF35=AG35</f>
        <v>0</v>
      </c>
      <c r="AI35" s="116" t="b">
        <f t="shared" ref="AI35:AI37" si="4">O35=R35</f>
        <v>0</v>
      </c>
    </row>
    <row r="36" spans="1:35" ht="15.75">
      <c r="A36" s="115" t="s">
        <v>113</v>
      </c>
      <c r="B36" s="116"/>
      <c r="C36" s="118" t="s">
        <v>87</v>
      </c>
      <c r="D36" s="119" t="s">
        <v>114</v>
      </c>
      <c r="E36" s="116" t="s">
        <v>16</v>
      </c>
      <c r="F36" s="115" t="s">
        <v>156</v>
      </c>
      <c r="G36" s="115" t="s">
        <v>157</v>
      </c>
      <c r="H36" s="116"/>
      <c r="I36" s="101" t="e" cm="1" vm="31">
        <f t="array" ref="I36">_xldudf_BOARDFLARE_FMATCH(G36,D36)</f>
        <v>#VALUE!</v>
      </c>
      <c r="J36" s="103">
        <f>IF(M36&gt;O36, M36,O36)</f>
        <v>1</v>
      </c>
      <c r="K36" s="102"/>
      <c r="L36" s="97" t="e" cm="1" vm="31">
        <f t="array" ref="L36">_xldudf_BOARDFLARE_FMATCH(G36,D36)</f>
        <v>#VALUE!</v>
      </c>
      <c r="M36" s="98" cm="1">
        <f t="array" ref="M36">_FV(L36,"Similarity",TRUE)</f>
        <v>1</v>
      </c>
      <c r="N36" s="97" t="e" cm="1" vm="32">
        <f t="array" ref="N36">_xldudf_BOARDFLARE_FMATCH(D36,G36)</f>
        <v>#VALUE!</v>
      </c>
      <c r="O36" s="98" cm="1">
        <f t="array" ref="O36">_FV(N36,"Similarity",TRUE)</f>
        <v>1</v>
      </c>
      <c r="R36" s="116"/>
      <c r="S36" s="116"/>
      <c r="T36" s="116"/>
      <c r="U36" s="116"/>
      <c r="V36" s="116"/>
      <c r="W36" s="116"/>
      <c r="X36" s="116"/>
      <c r="AF36" s="116" t="s">
        <v>105</v>
      </c>
      <c r="AG36" s="116"/>
      <c r="AH36" s="116" t="b">
        <f t="shared" si="3"/>
        <v>0</v>
      </c>
      <c r="AI36" s="116" t="b">
        <f t="shared" si="4"/>
        <v>0</v>
      </c>
    </row>
    <row r="37" spans="1:35" ht="15">
      <c r="A37" s="115" t="s">
        <v>115</v>
      </c>
      <c r="B37" s="116"/>
      <c r="C37" s="115" t="s">
        <v>59</v>
      </c>
      <c r="D37" s="116" t="s">
        <v>116</v>
      </c>
      <c r="E37" s="116" t="s">
        <v>16</v>
      </c>
      <c r="F37" s="115" t="s">
        <v>117</v>
      </c>
      <c r="G37" s="115" t="s">
        <v>118</v>
      </c>
      <c r="H37" s="116"/>
      <c r="I37" s="101" t="e" cm="1" vm="13">
        <f t="array" ref="I37">_xldudf_BOARDFLARE_FMATCH(G37,D37)</f>
        <v>#VALUE!</v>
      </c>
      <c r="J37" s="103">
        <f>IF(M37&gt;O37, M37,O37)</f>
        <v>0.79</v>
      </c>
      <c r="K37" s="102"/>
      <c r="L37" s="97" t="e" cm="1" vm="13">
        <f t="array" ref="L37">_xldudf_BOARDFLARE_FMATCH(G37,D37)</f>
        <v>#VALUE!</v>
      </c>
      <c r="M37" s="98" cm="1">
        <f t="array" ref="M37">_FV(L37,"Similarity",TRUE)</f>
        <v>0.79</v>
      </c>
      <c r="N37" s="97" t="e" cm="1" vm="14">
        <f t="array" ref="N37">_xldudf_BOARDFLARE_FMATCH(D37,G37)</f>
        <v>#VALUE!</v>
      </c>
      <c r="O37" s="98" cm="1">
        <f t="array" ref="O37">_FV(N37,"Similarity",TRUE)</f>
        <v>0</v>
      </c>
      <c r="R37" s="116"/>
      <c r="S37" s="116"/>
      <c r="T37" s="116"/>
      <c r="U37" s="116"/>
      <c r="V37" s="116"/>
      <c r="W37" s="116"/>
      <c r="X37" s="116"/>
      <c r="AF37" s="116" t="s">
        <v>105</v>
      </c>
      <c r="AG37" s="116" t="s">
        <v>105</v>
      </c>
      <c r="AH37" s="116" t="b">
        <f>AF37=AG37</f>
        <v>1</v>
      </c>
      <c r="AI37" s="116" t="b">
        <f>Table113[[#This Row],[Expected Value]]=Table113[[#This Row],[AI Replaced Text]]</f>
        <v>0</v>
      </c>
    </row>
    <row r="38" spans="1:35" ht="15">
      <c r="A38" s="115" t="s">
        <v>128</v>
      </c>
      <c r="B38" s="116"/>
      <c r="C38" s="115" t="s">
        <v>58</v>
      </c>
      <c r="D38" s="116" t="s">
        <v>129</v>
      </c>
      <c r="E38" s="116" t="s">
        <v>16</v>
      </c>
      <c r="F38" s="115" t="s">
        <v>158</v>
      </c>
      <c r="G38" s="115" t="s">
        <v>159</v>
      </c>
      <c r="H38" s="116"/>
      <c r="I38" s="101" t="e" cm="1" vm="33">
        <f t="array" ref="I38">_xldudf_BOARDFLARE_FMATCH(G38,D38)</f>
        <v>#VALUE!</v>
      </c>
      <c r="J38" s="103">
        <f>IF(M38&gt;O38, M38,O38)</f>
        <v>0</v>
      </c>
      <c r="K38" s="102"/>
      <c r="L38" s="97" t="e" cm="1" vm="33">
        <f t="array" ref="L38">_xldudf_BOARDFLARE_FMATCH(G38,D38)</f>
        <v>#VALUE!</v>
      </c>
      <c r="M38" s="98" cm="1">
        <f t="array" ref="M38">_FV(L38,"Similarity",TRUE)</f>
        <v>0</v>
      </c>
      <c r="N38" s="97" t="e" cm="1" vm="20">
        <f t="array" ref="N38">_xldudf_BOARDFLARE_FMATCH(D38,G38)</f>
        <v>#VALUE!</v>
      </c>
      <c r="O38" s="98" cm="1">
        <f t="array" ref="O38">_FV(N38,"Similarity",TRUE)</f>
        <v>0</v>
      </c>
      <c r="R38" s="125">
        <v>16</v>
      </c>
      <c r="S38" s="125">
        <v>2</v>
      </c>
      <c r="T38" s="125" t="s">
        <v>132</v>
      </c>
      <c r="U38" s="125" t="s">
        <v>133</v>
      </c>
      <c r="V38" s="125" t="s">
        <v>133</v>
      </c>
      <c r="W38" s="125" t="s">
        <v>133</v>
      </c>
      <c r="X38" s="125" t="s">
        <v>123</v>
      </c>
      <c r="AF38" s="116" t="s">
        <v>105</v>
      </c>
      <c r="AG38" s="116"/>
      <c r="AH38" s="116"/>
      <c r="AI38" s="116"/>
    </row>
    <row r="39" spans="1:35" ht="15.75">
      <c r="A39" s="115" t="s">
        <v>134</v>
      </c>
      <c r="B39" s="116"/>
      <c r="C39" s="115" t="s">
        <v>59</v>
      </c>
      <c r="D39" s="117" t="s">
        <v>135</v>
      </c>
      <c r="E39" s="116" t="s">
        <v>16</v>
      </c>
      <c r="F39" s="115" t="s">
        <v>136</v>
      </c>
      <c r="G39" s="115" t="s">
        <v>137</v>
      </c>
      <c r="H39" s="116"/>
      <c r="I39" s="101" t="e" cm="1" vm="21">
        <f t="array" ref="I39">_xldudf_BOARDFLARE_FMATCH(G39,D39)</f>
        <v>#VALUE!</v>
      </c>
      <c r="J39" s="103">
        <f>IF(M39&gt;O39, M39,O39)</f>
        <v>0</v>
      </c>
      <c r="K39" s="102"/>
      <c r="L39" s="97" t="e" cm="1" vm="21">
        <f t="array" ref="L39">_xldudf_BOARDFLARE_FMATCH(G39,D39)</f>
        <v>#VALUE!</v>
      </c>
      <c r="M39" s="98" cm="1">
        <f t="array" ref="M39">_FV(L39,"Similarity",TRUE)</f>
        <v>0</v>
      </c>
      <c r="N39" s="97" t="e" cm="1" vm="22">
        <f t="array" ref="N39">_xldudf_BOARDFLARE_FMATCH(D39,G39)</f>
        <v>#VALUE!</v>
      </c>
      <c r="O39" s="98" cm="1">
        <f t="array" ref="O39">_FV(N39,"Similarity",TRUE)</f>
        <v>0</v>
      </c>
      <c r="R39" s="116"/>
      <c r="S39" s="116"/>
      <c r="T39" s="116"/>
      <c r="U39" s="116"/>
      <c r="V39" s="116"/>
      <c r="W39" s="116"/>
      <c r="X39" s="116"/>
      <c r="AF39" s="116" t="s">
        <v>105</v>
      </c>
      <c r="AG39" s="116" t="s">
        <v>105</v>
      </c>
      <c r="AH39" s="116" t="b">
        <f>AF39=AG39</f>
        <v>1</v>
      </c>
      <c r="AI39" s="116" t="b">
        <f>Table113[[#This Row],[Expected Value]]=Table113[[#This Row],[AI Replaced Text]]</f>
        <v>0</v>
      </c>
    </row>
    <row r="40" spans="1:35" ht="15">
      <c r="A40" s="115" t="s">
        <v>160</v>
      </c>
      <c r="B40" s="116"/>
      <c r="C40" s="118" t="s">
        <v>87</v>
      </c>
      <c r="D40" s="115" t="s">
        <v>161</v>
      </c>
      <c r="E40" s="116" t="s">
        <v>16</v>
      </c>
      <c r="F40" s="115" t="s">
        <v>162</v>
      </c>
      <c r="G40" s="115" t="s">
        <v>163</v>
      </c>
      <c r="H40" s="116"/>
      <c r="I40" s="101" t="e" cm="1" vm="34">
        <f t="array" ref="I40">_xldudf_BOARDFLARE_FMATCH(G40,D40)</f>
        <v>#VALUE!</v>
      </c>
      <c r="J40" s="103">
        <f>IF(M40&gt;O40, M40,O40)</f>
        <v>0.63</v>
      </c>
      <c r="K40" s="102"/>
      <c r="L40" s="97" t="e" cm="1" vm="34">
        <f t="array" ref="L40">_xldudf_BOARDFLARE_FMATCH(G40,D40)</f>
        <v>#VALUE!</v>
      </c>
      <c r="M40" s="98" cm="1">
        <f t="array" ref="M40">_FV(L40,"Similarity",TRUE)</f>
        <v>0.63</v>
      </c>
      <c r="N40" s="97" t="e" cm="1" vm="35">
        <f t="array" ref="N40">_xldudf_BOARDFLARE_FMATCH(D40,G40)</f>
        <v>#VALUE!</v>
      </c>
      <c r="O40" s="98" cm="1">
        <f t="array" ref="O40">_FV(N40,"Similarity",TRUE)</f>
        <v>0.63</v>
      </c>
      <c r="R40" s="116"/>
      <c r="S40" s="116"/>
      <c r="T40" s="116"/>
      <c r="U40" s="116"/>
      <c r="V40" s="116"/>
      <c r="W40" s="116"/>
      <c r="X40" s="116"/>
      <c r="AF40" s="116" t="s">
        <v>105</v>
      </c>
      <c r="AG40" s="116"/>
      <c r="AH40" s="116" t="b">
        <f t="shared" ref="AH39:AH40" si="5">AF40=AG40</f>
        <v>0</v>
      </c>
      <c r="AI40" s="116" t="b">
        <f t="shared" ref="AI39:AI40" si="6">O40=R40</f>
        <v>0</v>
      </c>
    </row>
    <row r="41" spans="1:35" ht="15">
      <c r="A41" s="115" t="s">
        <v>142</v>
      </c>
      <c r="B41" s="116"/>
      <c r="C41" s="115" t="s">
        <v>58</v>
      </c>
      <c r="D41" s="116" t="s">
        <v>143</v>
      </c>
      <c r="E41" s="116" t="s">
        <v>16</v>
      </c>
      <c r="F41" s="115" t="s">
        <v>144</v>
      </c>
      <c r="G41" s="115" t="s">
        <v>145</v>
      </c>
      <c r="H41" s="116"/>
      <c r="I41" s="101" t="e" cm="1" vm="25">
        <f t="array" ref="I41">_xldudf_BOARDFLARE_FMATCH(G41,D41)</f>
        <v>#VALUE!</v>
      </c>
      <c r="J41" s="103">
        <f>IF(M41&gt;O41, M41,O41)</f>
        <v>0</v>
      </c>
      <c r="K41" s="102"/>
      <c r="L41" s="97" t="e" cm="1" vm="25">
        <f t="array" ref="L41">_xldudf_BOARDFLARE_FMATCH(G41,D41)</f>
        <v>#VALUE!</v>
      </c>
      <c r="M41" s="98" cm="1">
        <f t="array" ref="M41">_FV(L41,"Similarity",TRUE)</f>
        <v>0</v>
      </c>
      <c r="N41" s="97" t="e" cm="1" vm="26">
        <f t="array" ref="N41">_xldudf_BOARDFLARE_FMATCH(D41,G41)</f>
        <v>#VALUE!</v>
      </c>
      <c r="O41" s="98" cm="1">
        <f t="array" ref="O41">_FV(N41,"Similarity",TRUE)</f>
        <v>0</v>
      </c>
      <c r="R41" s="125">
        <v>13</v>
      </c>
      <c r="S41" s="125">
        <v>3</v>
      </c>
      <c r="T41" s="125" t="s">
        <v>146</v>
      </c>
      <c r="U41" s="125" t="s">
        <v>133</v>
      </c>
      <c r="V41" s="125" t="s">
        <v>133</v>
      </c>
      <c r="W41" s="125" t="s">
        <v>133</v>
      </c>
      <c r="X41" s="125" t="s">
        <v>123</v>
      </c>
      <c r="AF41" s="116" t="s">
        <v>105</v>
      </c>
      <c r="AG41" s="116"/>
      <c r="AH41" s="116"/>
      <c r="AI41" s="116"/>
    </row>
    <row r="42" spans="1:35" ht="15">
      <c r="A42" s="115" t="s">
        <v>147</v>
      </c>
      <c r="B42" s="116"/>
      <c r="C42" s="118" t="s">
        <v>87</v>
      </c>
      <c r="D42" s="116" t="s">
        <v>164</v>
      </c>
      <c r="E42" s="116" t="s">
        <v>16</v>
      </c>
      <c r="F42" s="115"/>
      <c r="G42" s="115"/>
      <c r="H42" s="116"/>
      <c r="I42" s="101" t="e" cm="1" vm="5">
        <f t="array" ref="I42">_xldudf_BOARDFLARE_FMATCH(G42,D42)</f>
        <v>#VALUE!</v>
      </c>
      <c r="J42" s="103">
        <f>IF(M42&gt;O42, M42,O42)</f>
        <v>0</v>
      </c>
      <c r="K42" s="102"/>
      <c r="L42" s="97" t="e" cm="1" vm="5">
        <f t="array" ref="L42">_xldudf_BOARDFLARE_FMATCH(G42,D42)</f>
        <v>#VALUE!</v>
      </c>
      <c r="M42" s="98" cm="1">
        <f t="array" ref="M42">_FV(L42,"Similarity",TRUE)</f>
        <v>0</v>
      </c>
      <c r="N42" s="97" t="e" cm="1" vm="36">
        <f t="array" ref="N42">_xldudf_BOARDFLARE_FMATCH(D42,G42)</f>
        <v>#VALUE!</v>
      </c>
      <c r="O42" s="98" cm="1">
        <f t="array" ref="O42">_FV(N42,"Similarity",TRUE)</f>
        <v>0</v>
      </c>
      <c r="R42" s="116"/>
      <c r="S42" s="116"/>
      <c r="T42" s="116"/>
      <c r="U42" s="116"/>
      <c r="V42" s="116"/>
      <c r="W42" s="116"/>
      <c r="X42" s="116"/>
      <c r="AF42" s="116" t="s">
        <v>105</v>
      </c>
      <c r="AG42" s="116"/>
      <c r="AH42" s="116"/>
      <c r="AI42" s="116"/>
    </row>
    <row r="43" spans="1:35" ht="15">
      <c r="A43" s="115" t="s">
        <v>165</v>
      </c>
      <c r="B43" s="116"/>
      <c r="C43" s="118" t="s">
        <v>87</v>
      </c>
      <c r="D43" s="116" t="s">
        <v>166</v>
      </c>
      <c r="E43" s="116" t="s">
        <v>16</v>
      </c>
      <c r="F43" s="115"/>
      <c r="G43" s="115"/>
      <c r="H43" s="116"/>
      <c r="I43" s="101" t="e" cm="1" vm="5">
        <f t="array" ref="I43">_xldudf_BOARDFLARE_FMATCH(G43,D43)</f>
        <v>#VALUE!</v>
      </c>
      <c r="J43" s="103">
        <f>IF(M43&gt;O43, M43,O43)</f>
        <v>0</v>
      </c>
      <c r="K43" s="102"/>
      <c r="L43" s="97" t="e" cm="1" vm="5">
        <f t="array" ref="L43">_xldudf_BOARDFLARE_FMATCH(G43,D43)</f>
        <v>#VALUE!</v>
      </c>
      <c r="M43" s="98" cm="1">
        <f t="array" ref="M43">_FV(L43,"Similarity",TRUE)</f>
        <v>0</v>
      </c>
      <c r="N43" s="97" t="e" cm="1" vm="37">
        <f t="array" ref="N43">_xldudf_BOARDFLARE_FMATCH(D43,G43)</f>
        <v>#VALUE!</v>
      </c>
      <c r="O43" s="98" cm="1">
        <f t="array" ref="O43">_FV(N43,"Similarity",TRUE)</f>
        <v>0</v>
      </c>
      <c r="R43" s="116"/>
      <c r="S43" s="116"/>
      <c r="T43" s="116"/>
      <c r="U43" s="116"/>
      <c r="V43" s="116"/>
      <c r="W43" s="116"/>
      <c r="X43" s="116"/>
      <c r="AF43" s="116" t="s">
        <v>105</v>
      </c>
      <c r="AG43" s="116"/>
      <c r="AH43" s="116"/>
      <c r="AI43" s="116"/>
    </row>
    <row r="44" spans="1:35" ht="15">
      <c r="A44" s="115" t="s">
        <v>167</v>
      </c>
      <c r="B44" s="116"/>
      <c r="C44" s="118" t="s">
        <v>87</v>
      </c>
      <c r="D44" s="116" t="s">
        <v>168</v>
      </c>
      <c r="E44" s="116" t="s">
        <v>16</v>
      </c>
      <c r="F44" s="115"/>
      <c r="G44" s="115"/>
      <c r="H44" s="116"/>
      <c r="I44" s="101" t="e" cm="1" vm="5">
        <f t="array" ref="I44">_xldudf_BOARDFLARE_FMATCH(G44,D44)</f>
        <v>#VALUE!</v>
      </c>
      <c r="J44" s="103">
        <f>IF(M44&gt;O44, M44,O44)</f>
        <v>0</v>
      </c>
      <c r="K44" s="102"/>
      <c r="L44" s="97" t="e" cm="1" vm="5">
        <f t="array" ref="L44">_xldudf_BOARDFLARE_FMATCH(G44,D44)</f>
        <v>#VALUE!</v>
      </c>
      <c r="M44" s="98" cm="1">
        <f t="array" ref="M44">_FV(L44,"Similarity",TRUE)</f>
        <v>0</v>
      </c>
      <c r="N44" s="97" t="e" cm="1" vm="38">
        <f t="array" ref="N44">_xldudf_BOARDFLARE_FMATCH(D44,G44)</f>
        <v>#VALUE!</v>
      </c>
      <c r="O44" s="98" cm="1">
        <f t="array" ref="O44">_FV(N44,"Similarity",TRUE)</f>
        <v>0</v>
      </c>
      <c r="R44" s="116"/>
      <c r="S44" s="116"/>
      <c r="T44" s="116"/>
      <c r="U44" s="116"/>
      <c r="V44" s="116"/>
      <c r="W44" s="116"/>
      <c r="X44" s="116"/>
      <c r="AF44" s="116" t="s">
        <v>105</v>
      </c>
      <c r="AG44" s="116"/>
      <c r="AH44" s="116" t="b">
        <f t="shared" ref="AH44:AH48" si="7">AF44=AG44</f>
        <v>0</v>
      </c>
      <c r="AI44" s="116" t="b">
        <f t="shared" ref="AI44:AI48" si="8">O44=R44</f>
        <v>1</v>
      </c>
    </row>
    <row r="45" spans="1:35" ht="15">
      <c r="A45" s="115" t="s">
        <v>169</v>
      </c>
      <c r="B45" s="116"/>
      <c r="C45" s="115" t="s">
        <v>59</v>
      </c>
      <c r="D45" s="116" t="s">
        <v>170</v>
      </c>
      <c r="E45" s="116" t="s">
        <v>16</v>
      </c>
      <c r="F45" s="115" t="s">
        <v>171</v>
      </c>
      <c r="G45" s="115" t="s">
        <v>172</v>
      </c>
      <c r="H45" s="116"/>
      <c r="I45" s="101" t="e" cm="1" vm="39">
        <f t="array" ref="I45">_xldudf_BOARDFLARE_FMATCH(G45,D45)</f>
        <v>#VALUE!</v>
      </c>
      <c r="J45" s="103">
        <f>IF(M45&gt;O45, M45,O45)</f>
        <v>0</v>
      </c>
      <c r="K45" s="102"/>
      <c r="L45" s="97" t="e" cm="1" vm="39">
        <f t="array" ref="L45">_xldudf_BOARDFLARE_FMATCH(G45,D45)</f>
        <v>#VALUE!</v>
      </c>
      <c r="M45" s="98" cm="1">
        <f t="array" ref="M45">_FV(L45,"Similarity",TRUE)</f>
        <v>0</v>
      </c>
      <c r="N45" s="97" t="e" cm="1" vm="40">
        <f t="array" ref="N45">_xldudf_BOARDFLARE_FMATCH(D45,G45)</f>
        <v>#VALUE!</v>
      </c>
      <c r="O45" s="98" cm="1">
        <f t="array" ref="O45">_FV(N45,"Similarity",TRUE)</f>
        <v>0</v>
      </c>
      <c r="R45" s="116"/>
      <c r="S45" s="116"/>
      <c r="T45" s="116"/>
      <c r="U45" s="116"/>
      <c r="V45" s="116"/>
      <c r="W45" s="116"/>
      <c r="X45" s="116"/>
      <c r="AF45" s="116" t="s">
        <v>105</v>
      </c>
      <c r="AG45" s="116" t="s">
        <v>105</v>
      </c>
      <c r="AH45" s="116" t="b">
        <f>AF45=AG45</f>
        <v>1</v>
      </c>
      <c r="AI45" s="116" t="b">
        <f>Table113[[#This Row],[Expected Value]]=Table113[[#This Row],[AI Replaced Text]]</f>
        <v>0</v>
      </c>
    </row>
    <row r="46" spans="1:35" ht="15">
      <c r="A46" s="115" t="s">
        <v>173</v>
      </c>
      <c r="B46" s="116"/>
      <c r="C46" s="118" t="s">
        <v>87</v>
      </c>
      <c r="D46" s="122" t="s">
        <v>174</v>
      </c>
      <c r="E46" s="116" t="s">
        <v>16</v>
      </c>
      <c r="F46" s="115" t="s">
        <v>175</v>
      </c>
      <c r="G46" s="115" t="s">
        <v>176</v>
      </c>
      <c r="H46" s="116"/>
      <c r="I46" s="101" t="e" cm="1" vm="41">
        <f t="array" ref="I46">_xldudf_BOARDFLARE_FMATCH(G46,D46)</f>
        <v>#VALUE!</v>
      </c>
      <c r="J46" s="103">
        <f>IF(M46&gt;O46, M46,O46)</f>
        <v>0.98</v>
      </c>
      <c r="K46" s="102"/>
      <c r="L46" s="97" t="e" cm="1" vm="41">
        <f t="array" ref="L46">_xldudf_BOARDFLARE_FMATCH(G46,D46)</f>
        <v>#VALUE!</v>
      </c>
      <c r="M46" s="98" cm="1">
        <f t="array" ref="M46">_FV(L46,"Similarity",TRUE)</f>
        <v>0</v>
      </c>
      <c r="N46" s="97" t="e" cm="1" vm="42">
        <f t="array" ref="N46">_xldudf_BOARDFLARE_FMATCH(D46,G46)</f>
        <v>#VALUE!</v>
      </c>
      <c r="O46" s="98" cm="1">
        <f t="array" ref="O46">_FV(N46,"Similarity",TRUE)</f>
        <v>0.98</v>
      </c>
      <c r="R46" s="116"/>
      <c r="S46" s="116"/>
      <c r="T46" s="116"/>
      <c r="U46" s="116"/>
      <c r="V46" s="116"/>
      <c r="W46" s="116"/>
      <c r="X46" s="116"/>
      <c r="AF46" s="116" t="s">
        <v>105</v>
      </c>
      <c r="AG46" s="116"/>
      <c r="AH46" s="116" t="b">
        <f t="shared" si="7"/>
        <v>0</v>
      </c>
      <c r="AI46" s="116" t="b">
        <f t="shared" si="8"/>
        <v>0</v>
      </c>
    </row>
    <row r="47" spans="1:35" ht="15.75">
      <c r="A47" s="115" t="s">
        <v>149</v>
      </c>
      <c r="B47" s="116"/>
      <c r="C47" s="115" t="s">
        <v>59</v>
      </c>
      <c r="D47" s="117" t="s">
        <v>150</v>
      </c>
      <c r="E47" s="116" t="s">
        <v>16</v>
      </c>
      <c r="F47" s="115"/>
      <c r="G47" s="115"/>
      <c r="H47" s="116"/>
      <c r="I47" s="101" t="e" cm="1" vm="5">
        <f t="array" ref="I47">_xldudf_BOARDFLARE_FMATCH(G47,D47)</f>
        <v>#VALUE!</v>
      </c>
      <c r="J47" s="103">
        <f>IF(M47&gt;O47, M47,O47)</f>
        <v>0</v>
      </c>
      <c r="K47" s="102"/>
      <c r="L47" s="97" t="e" cm="1" vm="5">
        <f t="array" ref="L47">_xldudf_BOARDFLARE_FMATCH(G47,D47)</f>
        <v>#VALUE!</v>
      </c>
      <c r="M47" s="98" cm="1">
        <f t="array" ref="M47">_FV(L47,"Similarity",TRUE)</f>
        <v>0</v>
      </c>
      <c r="N47" s="97" t="e" cm="1" vm="28">
        <f t="array" ref="N47">_xldudf_BOARDFLARE_FMATCH(D47,G47)</f>
        <v>#VALUE!</v>
      </c>
      <c r="O47" s="98" cm="1">
        <f t="array" ref="O47">_FV(N47,"Similarity",TRUE)</f>
        <v>0</v>
      </c>
      <c r="R47" s="116"/>
      <c r="S47" s="116"/>
      <c r="T47" s="116"/>
      <c r="U47" s="116"/>
      <c r="V47" s="116"/>
      <c r="W47" s="116"/>
      <c r="X47" s="116"/>
      <c r="AF47" s="116" t="s">
        <v>105</v>
      </c>
      <c r="AG47" s="116" t="s">
        <v>123</v>
      </c>
      <c r="AH47" s="116" t="b">
        <f>AF47=AG47</f>
        <v>0</v>
      </c>
      <c r="AI47" s="116" t="b">
        <f>Table113[[#This Row],[Expected Value]]=Table113[[#This Row],[AI Replaced Text]]</f>
        <v>0</v>
      </c>
    </row>
    <row r="48" spans="1:35" ht="15">
      <c r="A48" s="115" t="s">
        <v>177</v>
      </c>
      <c r="B48" s="116"/>
      <c r="C48" s="118" t="s">
        <v>87</v>
      </c>
      <c r="D48" s="115" t="s">
        <v>161</v>
      </c>
      <c r="E48" s="116" t="s">
        <v>16</v>
      </c>
      <c r="F48" s="115" t="s">
        <v>178</v>
      </c>
      <c r="G48" s="115" t="s">
        <v>179</v>
      </c>
      <c r="H48" s="116"/>
      <c r="I48" s="101" t="e" cm="1" vm="43">
        <f t="array" ref="I48">_xldudf_BOARDFLARE_FMATCH(G48,D48)</f>
        <v>#VALUE!</v>
      </c>
      <c r="J48" s="103">
        <f>IF(M48&gt;O48, M48,O48)</f>
        <v>0.57999999999999996</v>
      </c>
      <c r="K48" s="102"/>
      <c r="L48" s="97" t="e" cm="1" vm="43">
        <f t="array" ref="L48">_xldudf_BOARDFLARE_FMATCH(G48,D48)</f>
        <v>#VALUE!</v>
      </c>
      <c r="M48" s="98" cm="1">
        <f t="array" ref="M48">_FV(L48,"Similarity",TRUE)</f>
        <v>0.56999999999999995</v>
      </c>
      <c r="N48" s="97" t="e" cm="1" vm="44">
        <f t="array" ref="N48">_xldudf_BOARDFLARE_FMATCH(D48,G48)</f>
        <v>#VALUE!</v>
      </c>
      <c r="O48" s="98" cm="1">
        <f t="array" ref="O48">_FV(N48,"Similarity",TRUE)</f>
        <v>0.57999999999999996</v>
      </c>
      <c r="R48" s="116"/>
      <c r="S48" s="116"/>
      <c r="T48" s="116"/>
      <c r="U48" s="116"/>
      <c r="V48" s="116"/>
      <c r="W48" s="116"/>
      <c r="X48" s="116"/>
      <c r="AF48" s="116" t="s">
        <v>105</v>
      </c>
      <c r="AG48" s="116"/>
      <c r="AH48" s="116" t="b">
        <f t="shared" si="7"/>
        <v>0</v>
      </c>
      <c r="AI48" s="116" t="b">
        <f t="shared" si="8"/>
        <v>0</v>
      </c>
    </row>
    <row r="49" spans="1:35" ht="15">
      <c r="A49" s="115" t="s">
        <v>142</v>
      </c>
      <c r="B49" s="116"/>
      <c r="C49" s="115" t="s">
        <v>58</v>
      </c>
      <c r="D49" s="116" t="s">
        <v>143</v>
      </c>
      <c r="E49" s="116" t="s">
        <v>16</v>
      </c>
      <c r="F49" s="115" t="s">
        <v>144</v>
      </c>
      <c r="G49" s="115" t="s">
        <v>145</v>
      </c>
      <c r="H49" s="116"/>
      <c r="I49" s="101" t="e" cm="1" vm="25">
        <f t="array" ref="I49">_xldudf_BOARDFLARE_FMATCH(G49,D49)</f>
        <v>#VALUE!</v>
      </c>
      <c r="J49" s="103">
        <f>IF(M49&gt;O49, M49,O49)</f>
        <v>0</v>
      </c>
      <c r="K49" s="102"/>
      <c r="L49" s="97" t="e" cm="1" vm="25">
        <f t="array" ref="L49">_xldudf_BOARDFLARE_FMATCH(G49,D49)</f>
        <v>#VALUE!</v>
      </c>
      <c r="M49" s="98" cm="1">
        <f t="array" ref="M49">_FV(L49,"Similarity",TRUE)</f>
        <v>0</v>
      </c>
      <c r="N49" s="97" t="e" cm="1" vm="26">
        <f t="array" ref="N49">_xldudf_BOARDFLARE_FMATCH(D49,G49)</f>
        <v>#VALUE!</v>
      </c>
      <c r="O49" s="98" cm="1">
        <f t="array" ref="O49">_FV(N49,"Similarity",TRUE)</f>
        <v>0</v>
      </c>
      <c r="R49" s="125">
        <v>13</v>
      </c>
      <c r="S49" s="125">
        <v>3</v>
      </c>
      <c r="T49" s="125" t="s">
        <v>146</v>
      </c>
      <c r="U49" s="125" t="s">
        <v>133</v>
      </c>
      <c r="V49" s="125" t="s">
        <v>133</v>
      </c>
      <c r="W49" s="125" t="s">
        <v>133</v>
      </c>
      <c r="X49" s="125" t="s">
        <v>123</v>
      </c>
      <c r="AF49" s="116" t="s">
        <v>105</v>
      </c>
      <c r="AG49" s="116"/>
      <c r="AH49" s="116"/>
      <c r="AI49" s="116"/>
    </row>
    <row r="50" spans="1:35" ht="15">
      <c r="A50" s="115" t="s">
        <v>147</v>
      </c>
      <c r="B50" s="116"/>
      <c r="C50" s="118" t="s">
        <v>87</v>
      </c>
      <c r="D50" s="116" t="s">
        <v>164</v>
      </c>
      <c r="E50" s="116" t="s">
        <v>16</v>
      </c>
      <c r="F50" s="115"/>
      <c r="G50" s="115"/>
      <c r="H50" s="116"/>
      <c r="I50" s="101" t="e" cm="1" vm="5">
        <f t="array" ref="I50">_xldudf_BOARDFLARE_FMATCH(G50,D50)</f>
        <v>#VALUE!</v>
      </c>
      <c r="J50" s="103">
        <f>IF(M50&gt;O50, M50,O50)</f>
        <v>0</v>
      </c>
      <c r="K50" s="102"/>
      <c r="L50" s="97" t="e" cm="1" vm="5">
        <f t="array" ref="L50">_xldudf_BOARDFLARE_FMATCH(G50,D50)</f>
        <v>#VALUE!</v>
      </c>
      <c r="M50" s="98" cm="1">
        <f t="array" ref="M50">_FV(L50,"Similarity",TRUE)</f>
        <v>0</v>
      </c>
      <c r="N50" s="97" t="e" cm="1" vm="36">
        <f t="array" ref="N50">_xldudf_BOARDFLARE_FMATCH(D50,G50)</f>
        <v>#VALUE!</v>
      </c>
      <c r="O50" s="98" cm="1">
        <f t="array" ref="O50">_FV(N50,"Similarity",TRUE)</f>
        <v>0</v>
      </c>
      <c r="AF50" s="116" t="s">
        <v>105</v>
      </c>
      <c r="AG50" s="116"/>
      <c r="AH50" s="116"/>
      <c r="AI50" s="116"/>
    </row>
    <row r="51" spans="1:35" ht="15.75">
      <c r="A51" s="115" t="s">
        <v>151</v>
      </c>
      <c r="B51" s="116"/>
      <c r="C51" s="115" t="s">
        <v>59</v>
      </c>
      <c r="D51" s="117" t="s">
        <v>152</v>
      </c>
      <c r="E51" s="116" t="s">
        <v>16</v>
      </c>
      <c r="F51" s="115" t="s">
        <v>153</v>
      </c>
      <c r="G51" s="115" t="s">
        <v>154</v>
      </c>
      <c r="H51" s="116"/>
      <c r="I51" s="101" t="e" cm="1" vm="29">
        <f t="array" ref="I51">_xldudf_BOARDFLARE_FMATCH(G51,D51)</f>
        <v>#VALUE!</v>
      </c>
      <c r="J51" s="103">
        <f>IF(M51&gt;O51, M51,O51)</f>
        <v>0</v>
      </c>
      <c r="K51" s="102"/>
      <c r="L51" s="97" t="e" cm="1" vm="29">
        <f t="array" ref="L51">_xldudf_BOARDFLARE_FMATCH(G51,D51)</f>
        <v>#VALUE!</v>
      </c>
      <c r="M51" s="98" cm="1">
        <f t="array" ref="M51">_FV(L51,"Similarity",TRUE)</f>
        <v>0</v>
      </c>
      <c r="N51" s="97" t="e" cm="1" vm="30">
        <f t="array" ref="N51">_xldudf_BOARDFLARE_FMATCH(D51,G51)</f>
        <v>#VALUE!</v>
      </c>
      <c r="O51" s="98" cm="1">
        <f t="array" ref="O51">_FV(N51,"Similarity",TRUE)</f>
        <v>0</v>
      </c>
      <c r="AF51" s="116" t="s">
        <v>105</v>
      </c>
      <c r="AG51" s="116" t="s">
        <v>105</v>
      </c>
      <c r="AH51" s="116" t="b">
        <f t="shared" ref="AH51:AH52" si="9">AF51=AG51</f>
        <v>1</v>
      </c>
      <c r="AI51" s="116" t="b">
        <f>Table113[[#This Row],[Expected Value]]=Table113[[#This Row],[AI Replaced Text]]</f>
        <v>0</v>
      </c>
    </row>
    <row r="52" spans="1:35" ht="15">
      <c r="A52" s="115" t="s">
        <v>180</v>
      </c>
      <c r="B52" s="116"/>
      <c r="C52" s="115" t="s">
        <v>59</v>
      </c>
      <c r="D52" s="116" t="s">
        <v>181</v>
      </c>
      <c r="E52" s="116" t="s">
        <v>16</v>
      </c>
      <c r="F52" s="115" t="s">
        <v>182</v>
      </c>
      <c r="G52" s="115" t="s">
        <v>183</v>
      </c>
      <c r="H52" s="116"/>
      <c r="I52" s="101" t="e" cm="1" vm="45">
        <f t="array" ref="I52">_xldudf_BOARDFLARE_FMATCH(G52,D52)</f>
        <v>#VALUE!</v>
      </c>
      <c r="J52" s="103">
        <f>IF(M52&gt;O52, M52,O52)</f>
        <v>0</v>
      </c>
      <c r="K52" s="102"/>
      <c r="L52" s="97" t="e" cm="1" vm="45">
        <f t="array" ref="L52">_xldudf_BOARDFLARE_FMATCH(G52,D52)</f>
        <v>#VALUE!</v>
      </c>
      <c r="M52" s="98" cm="1">
        <f t="array" ref="M52">_FV(L52,"Similarity",TRUE)</f>
        <v>0</v>
      </c>
      <c r="N52" s="97" t="e" cm="1" vm="46">
        <f t="array" ref="N52">_xldudf_BOARDFLARE_FMATCH(D52,G52)</f>
        <v>#VALUE!</v>
      </c>
      <c r="O52" s="98" cm="1">
        <f t="array" ref="O52">_FV(N52,"Similarity",TRUE)</f>
        <v>0</v>
      </c>
      <c r="AF52" s="116" t="s">
        <v>105</v>
      </c>
      <c r="AG52" s="116" t="s">
        <v>105</v>
      </c>
      <c r="AH52" s="116" t="b">
        <f t="shared" si="9"/>
        <v>1</v>
      </c>
      <c r="AI52" s="116" t="b">
        <f>Table113[[#This Row],[Expected Value]]=Table113[[#This Row],[AI Replaced Text]]</f>
        <v>0</v>
      </c>
    </row>
    <row r="53" spans="1:35" ht="15.75">
      <c r="A53" s="115" t="s">
        <v>184</v>
      </c>
      <c r="B53" s="116"/>
      <c r="C53" s="118" t="s">
        <v>87</v>
      </c>
      <c r="D53" s="117" t="s">
        <v>185</v>
      </c>
      <c r="E53" s="116" t="s">
        <v>16</v>
      </c>
      <c r="F53" s="115" t="s">
        <v>186</v>
      </c>
      <c r="G53" s="115" t="s">
        <v>187</v>
      </c>
      <c r="H53" s="116"/>
      <c r="I53" s="101" t="e" cm="1" vm="47">
        <f t="array" ref="I53">_xldudf_BOARDFLARE_FMATCH(G53,D53)</f>
        <v>#VALUE!</v>
      </c>
      <c r="J53" s="103">
        <f>IF(M53&gt;O53, M53,O53)</f>
        <v>0.67</v>
      </c>
      <c r="K53" s="102"/>
      <c r="L53" s="97" t="e" cm="1" vm="47">
        <f t="array" ref="L53">_xldudf_BOARDFLARE_FMATCH(G53,D53)</f>
        <v>#VALUE!</v>
      </c>
      <c r="M53" s="98" cm="1">
        <f t="array" ref="M53">_FV(L53,"Similarity",TRUE)</f>
        <v>0.67</v>
      </c>
      <c r="N53" s="97" t="e" cm="1" vm="48">
        <f t="array" ref="N53">_xldudf_BOARDFLARE_FMATCH(D53,G53)</f>
        <v>#VALUE!</v>
      </c>
      <c r="O53" s="98" cm="1">
        <f t="array" ref="O53">_FV(N53,"Similarity",TRUE)</f>
        <v>0.62</v>
      </c>
      <c r="AF53" s="116" t="s">
        <v>105</v>
      </c>
      <c r="AG53" s="116"/>
      <c r="AH53" s="116" t="b">
        <f>AF53=AG53</f>
        <v>0</v>
      </c>
      <c r="AI53" s="116" t="b">
        <f>O53=R53</f>
        <v>0</v>
      </c>
    </row>
    <row r="54" spans="1:35" ht="15.75">
      <c r="A54" s="115" t="s">
        <v>134</v>
      </c>
      <c r="B54" s="116"/>
      <c r="C54" s="115" t="s">
        <v>59</v>
      </c>
      <c r="D54" s="117" t="s">
        <v>135</v>
      </c>
      <c r="E54" s="116" t="s">
        <v>16</v>
      </c>
      <c r="F54" s="115" t="s">
        <v>136</v>
      </c>
      <c r="G54" s="115" t="s">
        <v>137</v>
      </c>
      <c r="H54" s="116"/>
      <c r="I54" s="101" t="e" cm="1" vm="21">
        <f t="array" ref="I54">_xldudf_BOARDFLARE_FMATCH(G54,D54)</f>
        <v>#VALUE!</v>
      </c>
      <c r="J54" s="103">
        <f>IF(M54&gt;O54, M54,O54)</f>
        <v>0</v>
      </c>
      <c r="K54" s="102"/>
      <c r="L54" s="97" t="e" cm="1" vm="21">
        <f t="array" ref="L54">_xldudf_BOARDFLARE_FMATCH(G54,D54)</f>
        <v>#VALUE!</v>
      </c>
      <c r="M54" s="98" cm="1">
        <f t="array" ref="M54">_FV(L54,"Similarity",TRUE)</f>
        <v>0</v>
      </c>
      <c r="N54" s="97" t="e" cm="1" vm="22">
        <f t="array" ref="N54">_xldudf_BOARDFLARE_FMATCH(D54,G54)</f>
        <v>#VALUE!</v>
      </c>
      <c r="O54" s="98" cm="1">
        <f t="array" ref="O54">_FV(N54,"Similarity",TRUE)</f>
        <v>0</v>
      </c>
      <c r="AF54" s="116" t="s">
        <v>105</v>
      </c>
      <c r="AG54" s="116" t="s">
        <v>123</v>
      </c>
      <c r="AH54" s="116" t="b">
        <f t="shared" ref="AH54:AH55" si="10">AF54=AG54</f>
        <v>0</v>
      </c>
      <c r="AI54" s="116" t="b">
        <f>Table113[[#This Row],[Expected Value]]=Table113[[#This Row],[AI Replaced Text]]</f>
        <v>0</v>
      </c>
    </row>
    <row r="55" spans="1:35" ht="15.75">
      <c r="A55" s="115" t="s">
        <v>134</v>
      </c>
      <c r="B55" s="116"/>
      <c r="C55" s="115" t="s">
        <v>59</v>
      </c>
      <c r="D55" s="117" t="s">
        <v>135</v>
      </c>
      <c r="E55" s="116" t="s">
        <v>16</v>
      </c>
      <c r="F55" s="115" t="s">
        <v>136</v>
      </c>
      <c r="G55" s="115" t="s">
        <v>137</v>
      </c>
      <c r="H55" s="116"/>
      <c r="I55" s="101" t="e" cm="1" vm="21">
        <f t="array" ref="I55">_xldudf_BOARDFLARE_FMATCH(G55,D55)</f>
        <v>#VALUE!</v>
      </c>
      <c r="J55" s="103">
        <f>IF(M55&gt;O55, M55,O55)</f>
        <v>0</v>
      </c>
      <c r="K55" s="102"/>
      <c r="L55" s="97" t="e" cm="1" vm="21">
        <f t="array" ref="L55">_xldudf_BOARDFLARE_FMATCH(G55,D55)</f>
        <v>#VALUE!</v>
      </c>
      <c r="M55" s="98" cm="1">
        <f t="array" ref="M55">_FV(L55,"Similarity",TRUE)</f>
        <v>0</v>
      </c>
      <c r="N55" s="97" t="e" cm="1" vm="22">
        <f t="array" ref="N55">_xldudf_BOARDFLARE_FMATCH(D55,G55)</f>
        <v>#VALUE!</v>
      </c>
      <c r="O55" s="98" cm="1">
        <f t="array" ref="O55">_FV(N55,"Similarity",TRUE)</f>
        <v>0</v>
      </c>
      <c r="AF55" s="116" t="s">
        <v>105</v>
      </c>
      <c r="AG55" s="116" t="s">
        <v>123</v>
      </c>
      <c r="AH55" s="116" t="b">
        <f t="shared" si="10"/>
        <v>0</v>
      </c>
      <c r="AI55" s="116" t="b">
        <f>Table113[[#This Row],[Expected Value]]=Table113[[#This Row],[AI Replaced Text]]</f>
        <v>0</v>
      </c>
    </row>
    <row r="56" spans="1:35" ht="15">
      <c r="A56" s="115" t="s">
        <v>188</v>
      </c>
      <c r="B56" s="116"/>
      <c r="C56" s="118" t="s">
        <v>87</v>
      </c>
      <c r="D56" s="123" t="s">
        <v>189</v>
      </c>
      <c r="E56" s="116" t="s">
        <v>16</v>
      </c>
      <c r="F56" s="115"/>
      <c r="G56" s="115"/>
      <c r="H56" s="116"/>
      <c r="I56" s="101" t="e" cm="1" vm="5">
        <f t="array" ref="I56">_xldudf_BOARDFLARE_FMATCH(G56,D56)</f>
        <v>#VALUE!</v>
      </c>
      <c r="J56" s="103">
        <f>IF(M56&gt;O56, M56,O56)</f>
        <v>0</v>
      </c>
      <c r="K56" s="102"/>
      <c r="L56" s="97" t="e" cm="1" vm="5">
        <f t="array" ref="L56">_xldudf_BOARDFLARE_FMATCH(G56,D56)</f>
        <v>#VALUE!</v>
      </c>
      <c r="M56" s="98" cm="1">
        <f t="array" ref="M56">_FV(L56,"Similarity",TRUE)</f>
        <v>0</v>
      </c>
      <c r="N56" s="97" t="e" cm="1" vm="49">
        <f t="array" ref="N56">_xldudf_BOARDFLARE_FMATCH(D56,G56)</f>
        <v>#VALUE!</v>
      </c>
      <c r="O56" s="98" cm="1">
        <f t="array" ref="O56">_FV(N56,"Similarity",TRUE)</f>
        <v>0</v>
      </c>
      <c r="AF56" s="116" t="s">
        <v>105</v>
      </c>
      <c r="AG56" s="116"/>
      <c r="AH56" s="116"/>
      <c r="AI56" s="116"/>
    </row>
    <row r="57" spans="1:35" ht="15">
      <c r="A57" s="115" t="s">
        <v>190</v>
      </c>
      <c r="B57" s="116"/>
      <c r="C57" s="115" t="s">
        <v>59</v>
      </c>
      <c r="D57" s="116" t="s">
        <v>191</v>
      </c>
      <c r="E57" s="116" t="s">
        <v>16</v>
      </c>
      <c r="F57" s="115" t="s">
        <v>192</v>
      </c>
      <c r="G57" s="115" t="s">
        <v>193</v>
      </c>
      <c r="H57" s="116"/>
      <c r="I57" s="101" t="e" cm="1" vm="50">
        <f t="array" ref="I57">_xldudf_BOARDFLARE_FMATCH(G57,D57)</f>
        <v>#VALUE!</v>
      </c>
      <c r="J57" s="103">
        <f>IF(M57&gt;O57, M57,O57)</f>
        <v>0</v>
      </c>
      <c r="K57" s="102"/>
      <c r="L57" s="97" t="e" cm="1" vm="50">
        <f t="array" ref="L57">_xldudf_BOARDFLARE_FMATCH(G57,D57)</f>
        <v>#VALUE!</v>
      </c>
      <c r="M57" s="98" cm="1">
        <f t="array" ref="M57">_FV(L57,"Similarity",TRUE)</f>
        <v>0</v>
      </c>
      <c r="N57" s="97" t="e" cm="1" vm="51">
        <f t="array" ref="N57">_xldudf_BOARDFLARE_FMATCH(D57,G57)</f>
        <v>#VALUE!</v>
      </c>
      <c r="O57" s="98" cm="1">
        <f t="array" ref="O57">_FV(N57,"Similarity",TRUE)</f>
        <v>0</v>
      </c>
      <c r="AF57" s="116" t="s">
        <v>105</v>
      </c>
      <c r="AG57" s="116" t="s">
        <v>105</v>
      </c>
      <c r="AH57" s="116" t="b">
        <f>AF57=AG57</f>
        <v>1</v>
      </c>
      <c r="AI57" s="116" t="b">
        <f>Table113[[#This Row],[Expected Value]]=Table113[[#This Row],[AI Replaced Text]]</f>
        <v>0</v>
      </c>
    </row>
    <row r="58" spans="1:35" ht="15">
      <c r="A58" s="115" t="s">
        <v>188</v>
      </c>
      <c r="B58" s="116"/>
      <c r="C58" s="118" t="s">
        <v>87</v>
      </c>
      <c r="D58" s="123" t="s">
        <v>189</v>
      </c>
      <c r="E58" s="116" t="s">
        <v>16</v>
      </c>
      <c r="F58" s="115"/>
      <c r="G58" s="115"/>
      <c r="H58" s="116"/>
      <c r="I58" s="101" t="e" cm="1" vm="5">
        <f t="array" ref="I58">_xldudf_BOARDFLARE_FMATCH(G58,D58)</f>
        <v>#VALUE!</v>
      </c>
      <c r="J58" s="103">
        <f>IF(M58&gt;O58, M58,O58)</f>
        <v>0</v>
      </c>
      <c r="K58" s="102"/>
      <c r="L58" s="97" t="e" cm="1" vm="5">
        <f t="array" ref="L58">_xldudf_BOARDFLARE_FMATCH(G58,D58)</f>
        <v>#VALUE!</v>
      </c>
      <c r="M58" s="98" cm="1">
        <f t="array" ref="M58">_FV(L58,"Similarity",TRUE)</f>
        <v>0</v>
      </c>
      <c r="N58" s="97" t="e" cm="1" vm="49">
        <f t="array" ref="N58">_xldudf_BOARDFLARE_FMATCH(D58,G58)</f>
        <v>#VALUE!</v>
      </c>
      <c r="O58" s="98" cm="1">
        <f t="array" ref="O58">_FV(N58,"Similarity",TRUE)</f>
        <v>0</v>
      </c>
      <c r="AF58" s="116" t="s">
        <v>105</v>
      </c>
      <c r="AG58" s="116"/>
      <c r="AH58" s="116"/>
      <c r="AI58" s="116"/>
    </row>
    <row r="59" spans="1:35" ht="15">
      <c r="A59" s="115" t="s">
        <v>194</v>
      </c>
      <c r="B59" s="116"/>
      <c r="C59" s="115" t="s">
        <v>59</v>
      </c>
      <c r="D59" s="116" t="s">
        <v>191</v>
      </c>
      <c r="E59" s="116" t="s">
        <v>16</v>
      </c>
      <c r="F59" s="115" t="s">
        <v>192</v>
      </c>
      <c r="G59" s="115" t="s">
        <v>193</v>
      </c>
      <c r="H59" s="116"/>
      <c r="I59" s="101" t="e" cm="1" vm="50">
        <f t="array" ref="I59">_xldudf_BOARDFLARE_FMATCH(G59,D59)</f>
        <v>#VALUE!</v>
      </c>
      <c r="J59" s="103">
        <f>IF(M59&gt;O59, M59,O59)</f>
        <v>0</v>
      </c>
      <c r="K59" s="102"/>
      <c r="L59" s="97" t="e" cm="1" vm="50">
        <f t="array" ref="L59">_xldudf_BOARDFLARE_FMATCH(G59,D59)</f>
        <v>#VALUE!</v>
      </c>
      <c r="M59" s="98" cm="1">
        <f t="array" ref="M59">_FV(L59,"Similarity",TRUE)</f>
        <v>0</v>
      </c>
      <c r="N59" s="97" t="e" cm="1" vm="51">
        <f t="array" ref="N59">_xldudf_BOARDFLARE_FMATCH(D59,G59)</f>
        <v>#VALUE!</v>
      </c>
      <c r="O59" s="98" cm="1">
        <f t="array" ref="O59">_FV(N59,"Similarity",TRUE)</f>
        <v>0</v>
      </c>
      <c r="AF59" s="116" t="s">
        <v>105</v>
      </c>
      <c r="AG59" s="116" t="s">
        <v>105</v>
      </c>
      <c r="AH59" s="116" t="b">
        <f>AF59=AG59</f>
        <v>1</v>
      </c>
      <c r="AI59" s="116" t="b">
        <f>Table113[[#This Row],[Expected Value]]=Table113[[#This Row],[AI Replaced Text]]</f>
        <v>0</v>
      </c>
    </row>
    <row r="60" spans="1:35" ht="15">
      <c r="A60" s="115" t="s">
        <v>195</v>
      </c>
      <c r="B60" s="116"/>
      <c r="C60" s="115" t="s">
        <v>196</v>
      </c>
      <c r="D60" s="116" t="s">
        <v>197</v>
      </c>
      <c r="E60" s="116" t="s">
        <v>16</v>
      </c>
      <c r="F60" s="115" t="s">
        <v>198</v>
      </c>
      <c r="G60" s="115" t="s">
        <v>199</v>
      </c>
      <c r="H60" s="116"/>
      <c r="I60" s="101" t="e" cm="1" vm="52">
        <f t="array" ref="I60">_xldudf_BOARDFLARE_FMATCH(G60,D60)</f>
        <v>#VALUE!</v>
      </c>
      <c r="J60" s="103">
        <f>IF(M60&gt;O60, M60,O60)</f>
        <v>0</v>
      </c>
      <c r="K60" s="102"/>
      <c r="L60" s="97" t="e" cm="1" vm="52">
        <f t="array" ref="L60">_xldudf_BOARDFLARE_FMATCH(G60,D60)</f>
        <v>#VALUE!</v>
      </c>
      <c r="M60" s="98" cm="1">
        <f t="array" ref="M60">_FV(L60,"Similarity",TRUE)</f>
        <v>0</v>
      </c>
      <c r="N60" s="97" t="e" cm="1" vm="53">
        <f t="array" ref="N60">_xldudf_BOARDFLARE_FMATCH(D60,G60)</f>
        <v>#VALUE!</v>
      </c>
      <c r="O60" s="98" cm="1">
        <f t="array" ref="O60">_FV(N60,"Similarity",TRUE)</f>
        <v>0</v>
      </c>
      <c r="AF60" s="116" t="s">
        <v>105</v>
      </c>
      <c r="AG60" s="116"/>
      <c r="AH60" s="116"/>
      <c r="AI60" s="116"/>
    </row>
    <row r="61" spans="1:35" ht="15.75">
      <c r="A61" s="115" t="s">
        <v>184</v>
      </c>
      <c r="B61" s="116"/>
      <c r="C61" s="118" t="s">
        <v>87</v>
      </c>
      <c r="D61" s="117" t="s">
        <v>185</v>
      </c>
      <c r="E61" s="116" t="s">
        <v>16</v>
      </c>
      <c r="F61" s="115" t="s">
        <v>186</v>
      </c>
      <c r="G61" s="115" t="s">
        <v>187</v>
      </c>
      <c r="H61" s="116"/>
      <c r="I61" s="101" t="e" cm="1" vm="47">
        <f t="array" ref="I61">_xldudf_BOARDFLARE_FMATCH(G61,D61)</f>
        <v>#VALUE!</v>
      </c>
      <c r="J61" s="103">
        <f>IF(M61&gt;O61, M61,O61)</f>
        <v>0.67</v>
      </c>
      <c r="K61" s="102"/>
      <c r="L61" s="97" t="e" cm="1" vm="47">
        <f t="array" ref="L61">_xldudf_BOARDFLARE_FMATCH(G61,D61)</f>
        <v>#VALUE!</v>
      </c>
      <c r="M61" s="98" cm="1">
        <f t="array" ref="M61">_FV(L61,"Similarity",TRUE)</f>
        <v>0.67</v>
      </c>
      <c r="N61" s="97" t="e" cm="1" vm="48">
        <f t="array" ref="N61">_xldudf_BOARDFLARE_FMATCH(D61,G61)</f>
        <v>#VALUE!</v>
      </c>
      <c r="O61" s="98" cm="1">
        <f t="array" ref="O61">_FV(N61,"Similarity",TRUE)</f>
        <v>0.62</v>
      </c>
      <c r="AF61" s="116" t="s">
        <v>105</v>
      </c>
      <c r="AG61" s="116"/>
      <c r="AH61" s="116"/>
      <c r="AI61" s="116"/>
    </row>
    <row r="62" spans="1:35" ht="15.75">
      <c r="A62" s="115" t="s">
        <v>149</v>
      </c>
      <c r="B62" s="116"/>
      <c r="C62" s="115" t="s">
        <v>59</v>
      </c>
      <c r="D62" s="117" t="s">
        <v>150</v>
      </c>
      <c r="E62" s="116" t="s">
        <v>16</v>
      </c>
      <c r="F62" s="115"/>
      <c r="G62" s="115"/>
      <c r="H62" s="116"/>
      <c r="I62" s="101" t="e" cm="1" vm="5">
        <f t="array" ref="I62">_xldudf_BOARDFLARE_FMATCH(G62,D62)</f>
        <v>#VALUE!</v>
      </c>
      <c r="J62" s="103">
        <f>IF(M62&gt;O62, M62,O62)</f>
        <v>0</v>
      </c>
      <c r="K62" s="102"/>
      <c r="L62" s="97" t="e" cm="1" vm="5">
        <f t="array" ref="L62">_xldudf_BOARDFLARE_FMATCH(G62,D62)</f>
        <v>#VALUE!</v>
      </c>
      <c r="M62" s="98" cm="1">
        <f t="array" ref="M62">_FV(L62,"Similarity",TRUE)</f>
        <v>0</v>
      </c>
      <c r="N62" s="97" t="e" cm="1" vm="28">
        <f t="array" ref="N62">_xldudf_BOARDFLARE_FMATCH(D62,G62)</f>
        <v>#VALUE!</v>
      </c>
      <c r="O62" s="98" cm="1">
        <f t="array" ref="O62">_FV(N62,"Similarity",TRUE)</f>
        <v>0</v>
      </c>
      <c r="AF62" s="116" t="s">
        <v>105</v>
      </c>
      <c r="AG62" s="116" t="s">
        <v>123</v>
      </c>
      <c r="AH62" s="116" t="b">
        <f t="shared" ref="AH62:AH64" si="11">AF62=AG62</f>
        <v>0</v>
      </c>
      <c r="AI62" s="116" t="b">
        <f>Table113[[#This Row],[Expected Value]]=Table113[[#This Row],[AI Replaced Text]]</f>
        <v>0</v>
      </c>
    </row>
    <row r="63" spans="1:35" ht="15.75">
      <c r="A63" s="115" t="s">
        <v>149</v>
      </c>
      <c r="B63" s="116"/>
      <c r="C63" s="115" t="s">
        <v>59</v>
      </c>
      <c r="D63" s="117" t="s">
        <v>150</v>
      </c>
      <c r="E63" s="116" t="s">
        <v>16</v>
      </c>
      <c r="F63" s="115"/>
      <c r="G63" s="115"/>
      <c r="H63" s="116"/>
      <c r="I63" s="101" t="e" cm="1" vm="5">
        <f t="array" ref="I63">_xldudf_BOARDFLARE_FMATCH(G63,D63)</f>
        <v>#VALUE!</v>
      </c>
      <c r="J63" s="103">
        <f>IF(M63&gt;O63, M63,O63)</f>
        <v>0</v>
      </c>
      <c r="K63" s="102"/>
      <c r="L63" s="97" t="e" cm="1" vm="5">
        <f t="array" ref="L63">_xldudf_BOARDFLARE_FMATCH(G63,D63)</f>
        <v>#VALUE!</v>
      </c>
      <c r="M63" s="98" cm="1">
        <f t="array" ref="M63">_FV(L63,"Similarity",TRUE)</f>
        <v>0</v>
      </c>
      <c r="N63" s="97" t="e" cm="1" vm="28">
        <f t="array" ref="N63">_xldudf_BOARDFLARE_FMATCH(D63,G63)</f>
        <v>#VALUE!</v>
      </c>
      <c r="O63" s="98" cm="1">
        <f t="array" ref="O63">_FV(N63,"Similarity",TRUE)</f>
        <v>0</v>
      </c>
      <c r="AF63" s="116" t="s">
        <v>105</v>
      </c>
      <c r="AG63" s="116" t="s">
        <v>123</v>
      </c>
      <c r="AH63" s="116" t="b">
        <f t="shared" si="11"/>
        <v>0</v>
      </c>
      <c r="AI63" s="116" t="b">
        <f>Table113[[#This Row],[Expected Value]]=Table113[[#This Row],[AI Replaced Text]]</f>
        <v>0</v>
      </c>
    </row>
    <row r="64" spans="1:35" ht="15">
      <c r="A64" s="115" t="s">
        <v>200</v>
      </c>
      <c r="B64" s="116"/>
      <c r="C64" s="115" t="s">
        <v>59</v>
      </c>
      <c r="D64" s="116" t="s">
        <v>191</v>
      </c>
      <c r="E64" s="116" t="s">
        <v>16</v>
      </c>
      <c r="F64" s="115" t="s">
        <v>201</v>
      </c>
      <c r="G64" s="115" t="s">
        <v>202</v>
      </c>
      <c r="H64" s="116"/>
      <c r="I64" s="101" t="e" cm="1" vm="54">
        <f t="array" ref="I64">_xldudf_BOARDFLARE_FMATCH(G64,D64)</f>
        <v>#VALUE!</v>
      </c>
      <c r="J64" s="103">
        <f>IF(M64&gt;O64, M64,O64)</f>
        <v>0</v>
      </c>
      <c r="K64" s="102"/>
      <c r="L64" s="97" t="e" cm="1" vm="54">
        <f t="array" ref="L64">_xldudf_BOARDFLARE_FMATCH(G64,D64)</f>
        <v>#VALUE!</v>
      </c>
      <c r="M64" s="98" cm="1">
        <f t="array" ref="M64">_FV(L64,"Similarity",TRUE)</f>
        <v>0</v>
      </c>
      <c r="N64" s="97" t="e" cm="1" vm="51">
        <f t="array" ref="N64">_xldudf_BOARDFLARE_FMATCH(D64,G64)</f>
        <v>#VALUE!</v>
      </c>
      <c r="O64" s="98" cm="1">
        <f t="array" ref="O64">_FV(N64,"Similarity",TRUE)</f>
        <v>0</v>
      </c>
      <c r="AF64" s="116" t="s">
        <v>105</v>
      </c>
      <c r="AG64" s="116" t="s">
        <v>105</v>
      </c>
      <c r="AH64" s="116" t="b">
        <f t="shared" si="11"/>
        <v>1</v>
      </c>
      <c r="AI64" s="116" t="b">
        <f>Table113[[#This Row],[Expected Value]]=Table113[[#This Row],[AI Replaced Text]]</f>
        <v>0</v>
      </c>
    </row>
    <row r="65" spans="1:35" ht="15">
      <c r="A65" s="115" t="s">
        <v>203</v>
      </c>
      <c r="B65" s="116"/>
      <c r="C65" s="115" t="s">
        <v>196</v>
      </c>
      <c r="D65" s="116" t="s">
        <v>204</v>
      </c>
      <c r="E65" s="116" t="s">
        <v>16</v>
      </c>
      <c r="F65" s="115" t="s">
        <v>205</v>
      </c>
      <c r="G65" s="115" t="s">
        <v>206</v>
      </c>
      <c r="H65" s="116"/>
      <c r="I65" s="101" t="e" cm="1" vm="55">
        <f t="array" ref="I65">_xldudf_BOARDFLARE_FMATCH(G65,D65)</f>
        <v>#VALUE!</v>
      </c>
      <c r="J65" s="103">
        <f>IF(M65&gt;O65, M65,O65)</f>
        <v>0</v>
      </c>
      <c r="K65" s="102"/>
      <c r="L65" s="97" t="e" cm="1" vm="55">
        <f t="array" ref="L65">_xldudf_BOARDFLARE_FMATCH(G65,D65)</f>
        <v>#VALUE!</v>
      </c>
      <c r="M65" s="98" cm="1">
        <f t="array" ref="M65">_FV(L65,"Similarity",TRUE)</f>
        <v>0</v>
      </c>
      <c r="N65" s="97" t="e" cm="1" vm="56">
        <f t="array" ref="N65">_xldudf_BOARDFLARE_FMATCH(D65,G65)</f>
        <v>#VALUE!</v>
      </c>
      <c r="O65" s="98" cm="1">
        <f t="array" ref="O65">_FV(N65,"Similarity",TRUE)</f>
        <v>0</v>
      </c>
      <c r="AF65" s="116" t="s">
        <v>105</v>
      </c>
      <c r="AG65" s="116"/>
      <c r="AH65" s="116" t="b">
        <f t="shared" ref="AH62:AH65" si="12">AF65=AG65</f>
        <v>0</v>
      </c>
      <c r="AI65" s="116" t="b">
        <f t="shared" ref="AI62:AI65" si="13">O65=R65</f>
        <v>1</v>
      </c>
    </row>
    <row r="66" spans="1:35" ht="15">
      <c r="A66" s="115" t="s">
        <v>207</v>
      </c>
      <c r="B66" s="116"/>
      <c r="C66" s="115" t="s">
        <v>196</v>
      </c>
      <c r="D66" s="116" t="s">
        <v>208</v>
      </c>
      <c r="E66" s="116" t="s">
        <v>16</v>
      </c>
      <c r="F66" s="115" t="s">
        <v>209</v>
      </c>
      <c r="G66" s="115" t="s">
        <v>210</v>
      </c>
      <c r="H66" s="116"/>
      <c r="I66" s="101" t="e" cm="1" vm="57">
        <f t="array" ref="I66">_xldudf_BOARDFLARE_FMATCH(G66,D66)</f>
        <v>#VALUE!</v>
      </c>
      <c r="J66" s="103">
        <f>IF(M66&gt;O66, M66,O66)</f>
        <v>0</v>
      </c>
      <c r="K66" s="102"/>
      <c r="L66" s="97" t="e" cm="1" vm="57">
        <f t="array" ref="L66">_xldudf_BOARDFLARE_FMATCH(G66,D66)</f>
        <v>#VALUE!</v>
      </c>
      <c r="M66" s="98" cm="1">
        <f t="array" ref="M66">_FV(L66,"Similarity",TRUE)</f>
        <v>0</v>
      </c>
      <c r="N66" s="97" t="e" cm="1" vm="58">
        <f t="array" ref="N66">_xldudf_BOARDFLARE_FMATCH(D66,G66)</f>
        <v>#VALUE!</v>
      </c>
      <c r="O66" s="98" cm="1">
        <f t="array" ref="O66">_FV(N66,"Similarity",TRUE)</f>
        <v>0</v>
      </c>
      <c r="AF66" s="116" t="s">
        <v>105</v>
      </c>
      <c r="AG66" s="116"/>
      <c r="AH66" s="116"/>
      <c r="AI66" s="116"/>
    </row>
    <row r="67" spans="1:35" ht="15.75">
      <c r="A67" s="115" t="s">
        <v>134</v>
      </c>
      <c r="B67" s="116"/>
      <c r="C67" s="115" t="s">
        <v>59</v>
      </c>
      <c r="D67" s="117" t="s">
        <v>135</v>
      </c>
      <c r="E67" s="116" t="s">
        <v>16</v>
      </c>
      <c r="F67" s="115" t="s">
        <v>136</v>
      </c>
      <c r="G67" s="115" t="s">
        <v>137</v>
      </c>
      <c r="H67" s="116"/>
      <c r="I67" s="101" t="e" cm="1" vm="21">
        <f t="array" ref="I67">_xldudf_BOARDFLARE_FMATCH(G67,D67)</f>
        <v>#VALUE!</v>
      </c>
      <c r="J67" s="103">
        <f>IF(M67&gt;O67, M67,O67)</f>
        <v>0</v>
      </c>
      <c r="K67" s="102"/>
      <c r="L67" s="97" t="e" cm="1" vm="21">
        <f t="array" ref="L67">_xldudf_BOARDFLARE_FMATCH(G67,D67)</f>
        <v>#VALUE!</v>
      </c>
      <c r="M67" s="98" cm="1">
        <f t="array" ref="M67">_FV(L67,"Similarity",TRUE)</f>
        <v>0</v>
      </c>
      <c r="N67" s="97" t="e" cm="1" vm="22">
        <f t="array" ref="N67">_xldudf_BOARDFLARE_FMATCH(D67,G67)</f>
        <v>#VALUE!</v>
      </c>
      <c r="O67" s="98" cm="1">
        <f t="array" ref="O67">_FV(N67,"Similarity",TRUE)</f>
        <v>0</v>
      </c>
      <c r="AF67" s="116" t="s">
        <v>105</v>
      </c>
      <c r="AG67" s="116" t="s">
        <v>105</v>
      </c>
      <c r="AH67" s="116" t="b">
        <f>AF67=AG67</f>
        <v>1</v>
      </c>
      <c r="AI67" s="116" t="b">
        <f>Table113[[#This Row],[Expected Value]]=Table113[[#This Row],[AI Replaced Text]]</f>
        <v>0</v>
      </c>
    </row>
    <row r="68" spans="1:35" ht="15">
      <c r="A68" s="115" t="s">
        <v>211</v>
      </c>
      <c r="B68" s="116"/>
      <c r="C68" s="126" t="s">
        <v>196</v>
      </c>
      <c r="D68" s="116" t="s">
        <v>212</v>
      </c>
      <c r="E68" s="116" t="s">
        <v>16</v>
      </c>
      <c r="F68" s="115" t="s">
        <v>213</v>
      </c>
      <c r="G68" s="115" t="s">
        <v>214</v>
      </c>
      <c r="H68" s="116"/>
      <c r="I68" s="101" t="e" cm="1" vm="59">
        <f t="array" ref="I68">_xldudf_BOARDFLARE_FMATCH(G68,D68)</f>
        <v>#VALUE!</v>
      </c>
      <c r="J68" s="103">
        <f>IF(M68&gt;O68, M68,O68)</f>
        <v>0</v>
      </c>
      <c r="K68" s="102"/>
      <c r="L68" s="97" t="e" cm="1" vm="59">
        <f t="array" ref="L68">_xldudf_BOARDFLARE_FMATCH(G68,D68)</f>
        <v>#VALUE!</v>
      </c>
      <c r="M68" s="98" cm="1">
        <f t="array" ref="M68">_FV(L68,"Similarity",TRUE)</f>
        <v>0</v>
      </c>
      <c r="N68" s="97" t="e" cm="1" vm="60">
        <f t="array" ref="N68">_xldudf_BOARDFLARE_FMATCH(D68,G68)</f>
        <v>#VALUE!</v>
      </c>
      <c r="O68" s="98" cm="1">
        <f t="array" ref="O68">_FV(N68,"Similarity",TRUE)</f>
        <v>0</v>
      </c>
      <c r="AF68" s="116" t="s">
        <v>105</v>
      </c>
      <c r="AG68" s="116"/>
      <c r="AH68" s="116" t="b">
        <f t="shared" ref="AH67:AH70" si="14">AF68=AG68</f>
        <v>0</v>
      </c>
      <c r="AI68" s="116" t="b">
        <f t="shared" ref="AI67:AI70" si="15">O68=R68</f>
        <v>1</v>
      </c>
    </row>
    <row r="69" spans="1:35" ht="15">
      <c r="A69" s="115" t="s">
        <v>215</v>
      </c>
      <c r="B69" s="116"/>
      <c r="C69" s="118" t="s">
        <v>87</v>
      </c>
      <c r="D69" s="115" t="s">
        <v>216</v>
      </c>
      <c r="E69" s="116" t="s">
        <v>16</v>
      </c>
      <c r="F69" s="115" t="s">
        <v>217</v>
      </c>
      <c r="G69" s="115" t="s">
        <v>216</v>
      </c>
      <c r="H69" s="116"/>
      <c r="I69" s="101" t="e" cm="1" vm="61">
        <f t="array" ref="I69">_xldudf_BOARDFLARE_FMATCH(G69,D69)</f>
        <v>#VALUE!</v>
      </c>
      <c r="J69" s="103">
        <f>IF(M69&gt;O69, M69,O69)</f>
        <v>1</v>
      </c>
      <c r="K69" s="102"/>
      <c r="L69" s="97" t="e" cm="1" vm="61">
        <f t="array" ref="L69">_xldudf_BOARDFLARE_FMATCH(G69,D69)</f>
        <v>#VALUE!</v>
      </c>
      <c r="M69" s="98" cm="1">
        <f t="array" ref="M69">_FV(L69,"Similarity",TRUE)</f>
        <v>1</v>
      </c>
      <c r="N69" s="97" t="e" cm="1" vm="61">
        <f t="array" ref="N69">_xldudf_BOARDFLARE_FMATCH(D69,G69)</f>
        <v>#VALUE!</v>
      </c>
      <c r="O69" s="98" cm="1">
        <f t="array" ref="O69">_FV(N69,"Similarity",TRUE)</f>
        <v>1</v>
      </c>
      <c r="AF69" s="116" t="s">
        <v>105</v>
      </c>
      <c r="AG69" s="116"/>
      <c r="AH69" s="116" t="b">
        <f t="shared" si="14"/>
        <v>0</v>
      </c>
      <c r="AI69" s="116" t="b">
        <f t="shared" si="15"/>
        <v>0</v>
      </c>
    </row>
    <row r="70" spans="1:35" ht="15.75">
      <c r="A70" s="115" t="s">
        <v>218</v>
      </c>
      <c r="B70" s="116"/>
      <c r="C70" s="115" t="s">
        <v>59</v>
      </c>
      <c r="D70" s="117" t="s">
        <v>219</v>
      </c>
      <c r="E70" s="116" t="s">
        <v>16</v>
      </c>
      <c r="F70" s="115" t="s">
        <v>220</v>
      </c>
      <c r="G70" s="115" t="s">
        <v>221</v>
      </c>
      <c r="H70" s="116"/>
      <c r="I70" s="101" t="e" cm="1" vm="62">
        <f t="array" ref="I70">_xldudf_BOARDFLARE_FMATCH(G70,D70)</f>
        <v>#VALUE!</v>
      </c>
      <c r="J70" s="103">
        <f>IF(M70&gt;O70, M70,O70)</f>
        <v>0</v>
      </c>
      <c r="K70" s="102"/>
      <c r="L70" s="97" t="e" cm="1" vm="62">
        <f t="array" ref="L70">_xldudf_BOARDFLARE_FMATCH(G70,D70)</f>
        <v>#VALUE!</v>
      </c>
      <c r="M70" s="98" cm="1">
        <f t="array" ref="M70">_FV(L70,"Similarity",TRUE)</f>
        <v>0</v>
      </c>
      <c r="N70" s="97" t="e" cm="1" vm="63">
        <f t="array" ref="N70">_xldudf_BOARDFLARE_FMATCH(D70,G70)</f>
        <v>#VALUE!</v>
      </c>
      <c r="O70" s="98" cm="1">
        <f t="array" ref="O70">_FV(N70,"Similarity",TRUE)</f>
        <v>0</v>
      </c>
      <c r="AF70" s="116" t="s">
        <v>105</v>
      </c>
      <c r="AG70" s="116" t="s">
        <v>105</v>
      </c>
      <c r="AH70" s="116" t="b">
        <f>AF70=AG70</f>
        <v>1</v>
      </c>
      <c r="AI70" s="116" t="b">
        <f>Table113[[#This Row],[Expected Value]]=Table113[[#This Row],[AI Replaced Text]]</f>
        <v>0</v>
      </c>
    </row>
    <row r="71" spans="1:35" ht="15">
      <c r="A71" s="115" t="s">
        <v>222</v>
      </c>
      <c r="B71" s="116"/>
      <c r="C71" s="126" t="s">
        <v>196</v>
      </c>
      <c r="D71" s="116" t="s">
        <v>223</v>
      </c>
      <c r="E71" s="116" t="s">
        <v>16</v>
      </c>
      <c r="F71" s="115" t="s">
        <v>224</v>
      </c>
      <c r="G71" s="115" t="s">
        <v>225</v>
      </c>
      <c r="H71" s="116"/>
      <c r="I71" s="101" t="e" cm="1" vm="64">
        <f t="array" ref="I71">_xldudf_BOARDFLARE_FMATCH(G71,D71)</f>
        <v>#VALUE!</v>
      </c>
      <c r="J71" s="103">
        <f>IF(M71&gt;O71, M71,O71)</f>
        <v>0</v>
      </c>
      <c r="K71" s="102"/>
      <c r="L71" s="97" t="e" cm="1" vm="64">
        <f t="array" ref="L71">_xldudf_BOARDFLARE_FMATCH(G71,D71)</f>
        <v>#VALUE!</v>
      </c>
      <c r="M71" s="98" cm="1">
        <f t="array" ref="M71">_FV(L71,"Similarity",TRUE)</f>
        <v>0</v>
      </c>
      <c r="N71" s="97" t="e" cm="1" vm="65">
        <f t="array" ref="N71">_xldudf_BOARDFLARE_FMATCH(D71,G71)</f>
        <v>#VALUE!</v>
      </c>
      <c r="O71" s="98" cm="1">
        <f t="array" ref="O71">_FV(N71,"Similarity",TRUE)</f>
        <v>0</v>
      </c>
      <c r="AF71" s="116" t="s">
        <v>105</v>
      </c>
      <c r="AG71" s="116"/>
      <c r="AH71" s="116"/>
      <c r="AI71" s="116"/>
    </row>
    <row r="72" spans="1:35" ht="15.75">
      <c r="A72" s="115" t="s">
        <v>226</v>
      </c>
      <c r="B72" s="116"/>
      <c r="C72" s="118" t="s">
        <v>87</v>
      </c>
      <c r="D72" s="117" t="s">
        <v>227</v>
      </c>
      <c r="E72" s="116" t="s">
        <v>16</v>
      </c>
      <c r="F72" s="115" t="s">
        <v>228</v>
      </c>
      <c r="G72" s="115"/>
      <c r="H72" s="116"/>
      <c r="I72" s="101" t="e" cm="1" vm="5">
        <f t="array" ref="I72">_xldudf_BOARDFLARE_FMATCH(G72,D72)</f>
        <v>#VALUE!</v>
      </c>
      <c r="J72" s="103">
        <f>IF(M72&gt;O72, M72,O72)</f>
        <v>0</v>
      </c>
      <c r="K72" s="102"/>
      <c r="L72" s="97" t="e" cm="1" vm="5">
        <f t="array" ref="L72">_xldudf_BOARDFLARE_FMATCH(G72,D72)</f>
        <v>#VALUE!</v>
      </c>
      <c r="M72" s="98" cm="1">
        <f t="array" ref="M72">_FV(L72,"Similarity",TRUE)</f>
        <v>0</v>
      </c>
      <c r="N72" s="97" t="e" cm="1" vm="66">
        <f t="array" ref="N72">_xldudf_BOARDFLARE_FMATCH(D72,G72)</f>
        <v>#VALUE!</v>
      </c>
      <c r="O72" s="98" cm="1">
        <f t="array" ref="O72">_FV(N72,"Similarity",TRUE)</f>
        <v>0</v>
      </c>
      <c r="AF72" s="116" t="s">
        <v>105</v>
      </c>
      <c r="AG72" s="116"/>
      <c r="AH72" s="116" t="b">
        <f>AF72=AG72</f>
        <v>0</v>
      </c>
      <c r="AI72" s="116" t="b">
        <f>O72=R72</f>
        <v>1</v>
      </c>
    </row>
    <row r="73" spans="1:35" ht="15.75">
      <c r="A73" s="115" t="s">
        <v>226</v>
      </c>
      <c r="B73" s="116"/>
      <c r="C73" s="118" t="s">
        <v>87</v>
      </c>
      <c r="D73" s="117" t="s">
        <v>227</v>
      </c>
      <c r="E73" s="116" t="s">
        <v>16</v>
      </c>
      <c r="F73" s="115" t="s">
        <v>229</v>
      </c>
      <c r="G73" s="115" t="s">
        <v>230</v>
      </c>
      <c r="H73" s="116"/>
      <c r="I73" s="101" t="e" cm="1" vm="67">
        <f t="array" ref="I73">_xldudf_BOARDFLARE_FMATCH(G73,D73)</f>
        <v>#VALUE!</v>
      </c>
      <c r="J73" s="103">
        <f>IF(M73&gt;O73, M73,O73)</f>
        <v>0</v>
      </c>
      <c r="K73" s="102"/>
      <c r="L73" s="97" t="e" cm="1" vm="67">
        <f t="array" ref="L73">_xldudf_BOARDFLARE_FMATCH(G73,D73)</f>
        <v>#VALUE!</v>
      </c>
      <c r="M73" s="98" cm="1">
        <f t="array" ref="M73">_FV(L73,"Similarity",TRUE)</f>
        <v>0</v>
      </c>
      <c r="N73" s="97" t="e" cm="1" vm="66">
        <f t="array" ref="N73">_xldudf_BOARDFLARE_FMATCH(D73,G73)</f>
        <v>#VALUE!</v>
      </c>
      <c r="O73" s="98" cm="1">
        <f t="array" ref="O73">_FV(N73,"Similarity",TRUE)</f>
        <v>0</v>
      </c>
      <c r="AF73" s="116" t="s">
        <v>105</v>
      </c>
      <c r="AG73" s="116"/>
      <c r="AH73" s="116"/>
      <c r="AI73" s="116"/>
    </row>
    <row r="74" spans="1:35" ht="15">
      <c r="A74" s="115" t="s">
        <v>231</v>
      </c>
      <c r="B74" s="116"/>
      <c r="C74" s="115" t="s">
        <v>196</v>
      </c>
      <c r="D74" s="116" t="s">
        <v>232</v>
      </c>
      <c r="E74" s="116" t="s">
        <v>16</v>
      </c>
      <c r="F74" s="115" t="s">
        <v>233</v>
      </c>
      <c r="G74" s="115" t="s">
        <v>234</v>
      </c>
      <c r="H74" s="116"/>
      <c r="I74" s="101" t="e" cm="1" vm="68">
        <f t="array" ref="I74">_xldudf_BOARDFLARE_FMATCH(G74,D74)</f>
        <v>#VALUE!</v>
      </c>
      <c r="J74" s="103">
        <f>IF(M74&gt;O74, M74,O74)</f>
        <v>0</v>
      </c>
      <c r="K74" s="102"/>
      <c r="L74" s="97" t="e" cm="1" vm="68">
        <f t="array" ref="L74">_xldudf_BOARDFLARE_FMATCH(G74,D74)</f>
        <v>#VALUE!</v>
      </c>
      <c r="M74" s="98" cm="1">
        <f t="array" ref="M74">_FV(L74,"Similarity",TRUE)</f>
        <v>0</v>
      </c>
      <c r="N74" s="97" t="e" cm="1" vm="69">
        <f t="array" ref="N74">_xldudf_BOARDFLARE_FMATCH(D74,G74)</f>
        <v>#VALUE!</v>
      </c>
      <c r="O74" s="98" cm="1">
        <f t="array" ref="O74">_FV(N74,"Similarity",TRUE)</f>
        <v>0</v>
      </c>
      <c r="AF74" s="116" t="s">
        <v>105</v>
      </c>
      <c r="AG74" s="116"/>
      <c r="AH74" s="116"/>
      <c r="AI74" s="116"/>
    </row>
    <row r="75" spans="1:35" ht="15">
      <c r="A75" s="115" t="s">
        <v>235</v>
      </c>
      <c r="B75" s="116"/>
      <c r="C75" s="126" t="s">
        <v>196</v>
      </c>
      <c r="D75" s="116" t="s">
        <v>236</v>
      </c>
      <c r="E75" s="116" t="s">
        <v>16</v>
      </c>
      <c r="F75" s="115"/>
      <c r="G75" s="115"/>
      <c r="H75" s="116"/>
      <c r="I75" s="101" t="e" cm="1" vm="5">
        <f t="array" ref="I75">_xldudf_BOARDFLARE_FMATCH(G75,D75)</f>
        <v>#VALUE!</v>
      </c>
      <c r="J75" s="103">
        <f>IF(M75&gt;O75, M75,O75)</f>
        <v>0</v>
      </c>
      <c r="K75" s="102"/>
      <c r="L75" s="97" t="e" cm="1" vm="5">
        <f t="array" ref="L75">_xldudf_BOARDFLARE_FMATCH(G75,D75)</f>
        <v>#VALUE!</v>
      </c>
      <c r="M75" s="98" cm="1">
        <f t="array" ref="M75">_FV(L75,"Similarity",TRUE)</f>
        <v>0</v>
      </c>
      <c r="N75" s="97" t="e" cm="1" vm="70">
        <f t="array" ref="N75">_xldudf_BOARDFLARE_FMATCH(D75,G75)</f>
        <v>#VALUE!</v>
      </c>
      <c r="O75" s="98" cm="1">
        <f t="array" ref="O75">_FV(N75,"Similarity",TRUE)</f>
        <v>0</v>
      </c>
      <c r="AF75" s="116" t="s">
        <v>105</v>
      </c>
      <c r="AG75" s="116"/>
      <c r="AH75" s="116"/>
      <c r="AI75" s="116"/>
    </row>
    <row r="76" spans="1:35" ht="15">
      <c r="A76" s="115" t="s">
        <v>237</v>
      </c>
      <c r="B76" s="116"/>
      <c r="C76" s="115" t="s">
        <v>196</v>
      </c>
      <c r="D76" s="116"/>
      <c r="E76" s="116" t="s">
        <v>16</v>
      </c>
      <c r="F76" s="115" t="s">
        <v>238</v>
      </c>
      <c r="G76" s="115" t="s">
        <v>239</v>
      </c>
      <c r="H76" s="116"/>
      <c r="I76" s="101" t="e" cm="1" vm="71">
        <f t="array" ref="I76">_xldudf_BOARDFLARE_FMATCH(G76,D76)</f>
        <v>#VALUE!</v>
      </c>
      <c r="J76" s="103">
        <f>IF(M76&gt;O76, M76,O76)</f>
        <v>0</v>
      </c>
      <c r="K76" s="102"/>
      <c r="L76" s="97" t="e" cm="1" vm="71">
        <f t="array" ref="L76">_xldudf_BOARDFLARE_FMATCH(G76,D76)</f>
        <v>#VALUE!</v>
      </c>
      <c r="M76" s="98" cm="1">
        <f t="array" ref="M76">_FV(L76,"Similarity",TRUE)</f>
        <v>0</v>
      </c>
      <c r="N76" s="97" t="e" cm="1" vm="5">
        <f t="array" ref="N76">_xldudf_BOARDFLARE_FMATCH(D76,G76)</f>
        <v>#VALUE!</v>
      </c>
      <c r="O76" s="98" cm="1">
        <f t="array" ref="O76">_FV(N76,"Similarity",TRUE)</f>
        <v>0</v>
      </c>
      <c r="AF76" s="116" t="s">
        <v>105</v>
      </c>
      <c r="AG76" s="116"/>
      <c r="AH76" s="116"/>
      <c r="AI76" s="116"/>
    </row>
    <row r="77" spans="1:35" ht="15.75">
      <c r="A77" s="115" t="s">
        <v>149</v>
      </c>
      <c r="B77" s="116"/>
      <c r="C77" s="115" t="s">
        <v>59</v>
      </c>
      <c r="D77" s="117" t="s">
        <v>150</v>
      </c>
      <c r="E77" s="116" t="s">
        <v>16</v>
      </c>
      <c r="F77" s="115"/>
      <c r="G77" s="115"/>
      <c r="H77" s="116"/>
      <c r="I77" s="101" t="e" cm="1" vm="5">
        <f t="array" ref="I77">_xldudf_BOARDFLARE_FMATCH(G77,D77)</f>
        <v>#VALUE!</v>
      </c>
      <c r="J77" s="103">
        <f>IF(M77&gt;O77, M77,O77)</f>
        <v>0</v>
      </c>
      <c r="K77" s="102"/>
      <c r="L77" s="97" t="e" cm="1" vm="5">
        <f t="array" ref="L77">_xldudf_BOARDFLARE_FMATCH(G77,D77)</f>
        <v>#VALUE!</v>
      </c>
      <c r="M77" s="98" cm="1">
        <f t="array" ref="M77">_FV(L77,"Similarity",TRUE)</f>
        <v>0</v>
      </c>
      <c r="N77" s="97" t="e" cm="1" vm="28">
        <f t="array" ref="N77">_xldudf_BOARDFLARE_FMATCH(D77,G77)</f>
        <v>#VALUE!</v>
      </c>
      <c r="O77" s="98" cm="1">
        <f t="array" ref="O77">_FV(N77,"Similarity",TRUE)</f>
        <v>0</v>
      </c>
      <c r="AF77" s="116" t="s">
        <v>105</v>
      </c>
      <c r="AG77" s="116" t="s">
        <v>123</v>
      </c>
      <c r="AH77" s="116" t="b">
        <f>AF77=AG77</f>
        <v>0</v>
      </c>
      <c r="AI77" s="116" t="b">
        <f>Table113[[#This Row],[Expected Value]]=Table113[[#This Row],[AI Replaced Text]]</f>
        <v>0</v>
      </c>
    </row>
    <row r="78" spans="1:35" ht="15">
      <c r="A78" s="115" t="s">
        <v>211</v>
      </c>
      <c r="B78" s="116"/>
      <c r="C78" s="126" t="s">
        <v>196</v>
      </c>
      <c r="D78" s="116" t="s">
        <v>212</v>
      </c>
      <c r="E78" s="116" t="s">
        <v>16</v>
      </c>
      <c r="F78" s="115" t="s">
        <v>213</v>
      </c>
      <c r="G78" s="115" t="s">
        <v>214</v>
      </c>
      <c r="H78" s="116"/>
      <c r="I78" s="101" t="e" cm="1" vm="59">
        <f t="array" ref="I78">_xldudf_BOARDFLARE_FMATCH(G78,D78)</f>
        <v>#VALUE!</v>
      </c>
      <c r="J78" s="103">
        <f>IF(M78&gt;O78, M78,O78)</f>
        <v>0</v>
      </c>
      <c r="K78" s="102"/>
      <c r="L78" s="97" t="e" cm="1" vm="59">
        <f t="array" ref="L78">_xldudf_BOARDFLARE_FMATCH(G78,D78)</f>
        <v>#VALUE!</v>
      </c>
      <c r="M78" s="98" cm="1">
        <f t="array" ref="M78">_FV(L78,"Similarity",TRUE)</f>
        <v>0</v>
      </c>
      <c r="N78" s="97" t="e" cm="1" vm="60">
        <f t="array" ref="N78">_xldudf_BOARDFLARE_FMATCH(D78,G78)</f>
        <v>#VALUE!</v>
      </c>
      <c r="O78" s="98" cm="1">
        <f t="array" ref="O78">_FV(N78,"Similarity",TRUE)</f>
        <v>0</v>
      </c>
      <c r="AF78" s="116" t="s">
        <v>105</v>
      </c>
      <c r="AG78" s="116"/>
    </row>
    <row r="79" spans="1:35" ht="15">
      <c r="A79" s="115" t="s">
        <v>215</v>
      </c>
      <c r="B79" s="116"/>
      <c r="C79" s="118" t="s">
        <v>87</v>
      </c>
      <c r="D79" s="115" t="s">
        <v>216</v>
      </c>
      <c r="E79" s="116" t="s">
        <v>16</v>
      </c>
      <c r="F79" s="115" t="s">
        <v>217</v>
      </c>
      <c r="G79" s="115" t="s">
        <v>216</v>
      </c>
      <c r="H79" s="116"/>
      <c r="I79" s="101" t="e" cm="1" vm="61">
        <f t="array" ref="I79">_xldudf_BOARDFLARE_FMATCH(G79,D79)</f>
        <v>#VALUE!</v>
      </c>
      <c r="J79" s="103">
        <f>IF(M79&gt;O79, M79,O79)</f>
        <v>1</v>
      </c>
      <c r="K79" s="102"/>
      <c r="L79" s="97" t="e" cm="1" vm="61">
        <f t="array" ref="L79">_xldudf_BOARDFLARE_FMATCH(G79,D79)</f>
        <v>#VALUE!</v>
      </c>
      <c r="M79" s="98" cm="1">
        <f t="array" ref="M79">_FV(L79,"Similarity",TRUE)</f>
        <v>1</v>
      </c>
      <c r="N79" s="97" t="e" cm="1" vm="61">
        <f t="array" ref="N79">_xldudf_BOARDFLARE_FMATCH(D79,G79)</f>
        <v>#VALUE!</v>
      </c>
      <c r="O79" s="98" cm="1">
        <f t="array" ref="O79">_FV(N79,"Similarity",TRUE)</f>
        <v>1</v>
      </c>
      <c r="AF79" s="116" t="s">
        <v>105</v>
      </c>
      <c r="AG79" s="116"/>
    </row>
    <row r="80" spans="1:35" ht="15.75">
      <c r="A80" s="115" t="s">
        <v>240</v>
      </c>
      <c r="B80" s="116"/>
      <c r="C80" s="115" t="s">
        <v>59</v>
      </c>
      <c r="D80" s="117" t="s">
        <v>219</v>
      </c>
      <c r="E80" s="116" t="s">
        <v>16</v>
      </c>
      <c r="F80" s="115" t="s">
        <v>241</v>
      </c>
      <c r="G80" s="115" t="s">
        <v>242</v>
      </c>
      <c r="H80" s="116"/>
      <c r="I80" s="101" t="e" cm="1" vm="72">
        <f t="array" ref="I80">_xldudf_BOARDFLARE_FMATCH(G80,D80)</f>
        <v>#VALUE!</v>
      </c>
      <c r="J80" s="103">
        <f>IF(M80&gt;O80, M80,O80)</f>
        <v>0</v>
      </c>
      <c r="K80" s="102"/>
      <c r="L80" s="97" t="e" cm="1" vm="72">
        <f t="array" ref="L80">_xldudf_BOARDFLARE_FMATCH(G80,D80)</f>
        <v>#VALUE!</v>
      </c>
      <c r="M80" s="98" cm="1">
        <f t="array" ref="M80">_FV(L80,"Similarity",TRUE)</f>
        <v>0</v>
      </c>
      <c r="N80" s="97" t="e" cm="1" vm="63">
        <f t="array" ref="N80">_xldudf_BOARDFLARE_FMATCH(D80,G80)</f>
        <v>#VALUE!</v>
      </c>
      <c r="O80" s="98" cm="1">
        <f t="array" ref="O80">_FV(N80,"Similarity",TRUE)</f>
        <v>0</v>
      </c>
      <c r="AF80" s="116" t="s">
        <v>105</v>
      </c>
      <c r="AG80" s="116" t="s">
        <v>105</v>
      </c>
      <c r="AH80" s="116" t="b">
        <f>AF80=AG80</f>
        <v>1</v>
      </c>
      <c r="AI80" s="116" t="b">
        <f>Table113[[#This Row],[Expected Value]]=Table113[[#This Row],[AI Replaced Text]]</f>
        <v>0</v>
      </c>
    </row>
    <row r="81" spans="1:35" ht="15">
      <c r="A81" s="115" t="s">
        <v>243</v>
      </c>
      <c r="B81" s="116"/>
      <c r="C81" s="115" t="s">
        <v>196</v>
      </c>
      <c r="D81" s="116" t="s">
        <v>244</v>
      </c>
      <c r="E81" s="116" t="s">
        <v>16</v>
      </c>
      <c r="F81" s="115"/>
      <c r="G81" s="115"/>
      <c r="H81" s="116"/>
      <c r="I81" s="101" t="e" cm="1" vm="5">
        <f t="array" ref="I81">_xldudf_BOARDFLARE_FMATCH(G81,D81)</f>
        <v>#VALUE!</v>
      </c>
      <c r="J81" s="103">
        <f>IF(M81&gt;O81, M81,O81)</f>
        <v>0</v>
      </c>
      <c r="K81" s="102"/>
      <c r="L81" s="97" t="e" cm="1" vm="5">
        <f t="array" ref="L81">_xldudf_BOARDFLARE_FMATCH(G81,D81)</f>
        <v>#VALUE!</v>
      </c>
      <c r="M81" s="98" cm="1">
        <f t="array" ref="M81">_FV(L81,"Similarity",TRUE)</f>
        <v>0</v>
      </c>
      <c r="N81" s="97" t="e" cm="1" vm="73">
        <f t="array" ref="N81">_xldudf_BOARDFLARE_FMATCH(D81,G81)</f>
        <v>#VALUE!</v>
      </c>
      <c r="O81" s="98" cm="1">
        <f t="array" ref="O81">_FV(N81,"Similarity",TRUE)</f>
        <v>0</v>
      </c>
      <c r="AF81" s="116" t="s">
        <v>105</v>
      </c>
      <c r="AG81" s="116"/>
    </row>
    <row r="82" spans="1:35" ht="15.75">
      <c r="A82" s="115" t="s">
        <v>245</v>
      </c>
      <c r="B82" s="116"/>
      <c r="C82" s="118" t="s">
        <v>87</v>
      </c>
      <c r="D82" s="117" t="s">
        <v>227</v>
      </c>
      <c r="E82" s="116" t="s">
        <v>16</v>
      </c>
      <c r="F82" s="115" t="s">
        <v>246</v>
      </c>
      <c r="G82" s="115"/>
      <c r="H82" s="116"/>
      <c r="I82" s="101" t="e" cm="1" vm="5">
        <f t="array" ref="I82">_xldudf_BOARDFLARE_FMATCH(G82,D82)</f>
        <v>#VALUE!</v>
      </c>
      <c r="J82" s="103">
        <f>IF(M82&gt;O82, M82,O82)</f>
        <v>0</v>
      </c>
      <c r="K82" s="102"/>
      <c r="L82" s="97" t="e" cm="1" vm="5">
        <f t="array" ref="L82">_xldudf_BOARDFLARE_FMATCH(G82,D82)</f>
        <v>#VALUE!</v>
      </c>
      <c r="M82" s="98" cm="1">
        <f t="array" ref="M82">_FV(L82,"Similarity",TRUE)</f>
        <v>0</v>
      </c>
      <c r="N82" s="97" t="e" cm="1" vm="66">
        <f t="array" ref="N82">_xldudf_BOARDFLARE_FMATCH(D82,G82)</f>
        <v>#VALUE!</v>
      </c>
      <c r="O82" s="98" cm="1">
        <f t="array" ref="O82">_FV(N82,"Similarity",TRUE)</f>
        <v>0</v>
      </c>
      <c r="AF82" s="116" t="s">
        <v>105</v>
      </c>
      <c r="AG82" s="116"/>
    </row>
    <row r="83" spans="1:35" ht="15.75">
      <c r="A83" s="115" t="s">
        <v>247</v>
      </c>
      <c r="B83" s="116"/>
      <c r="C83" s="118" t="s">
        <v>87</v>
      </c>
      <c r="D83" s="117" t="s">
        <v>227</v>
      </c>
      <c r="E83" s="116" t="s">
        <v>16</v>
      </c>
      <c r="F83" s="115"/>
      <c r="G83" s="115"/>
      <c r="H83" s="116"/>
      <c r="I83" s="101" t="e" cm="1" vm="5">
        <f t="array" ref="I83">_xldudf_BOARDFLARE_FMATCH(G83,D83)</f>
        <v>#VALUE!</v>
      </c>
      <c r="J83" s="103">
        <f>IF(M83&gt;O83, M83,O83)</f>
        <v>0</v>
      </c>
      <c r="K83" s="102"/>
      <c r="L83" s="97" t="e" cm="1" vm="5">
        <f t="array" ref="L83">_xldudf_BOARDFLARE_FMATCH(G83,D83)</f>
        <v>#VALUE!</v>
      </c>
      <c r="M83" s="98" cm="1">
        <f t="array" ref="M83">_FV(L83,"Similarity",TRUE)</f>
        <v>0</v>
      </c>
      <c r="N83" s="97" t="e" cm="1" vm="66">
        <f t="array" ref="N83">_xldudf_BOARDFLARE_FMATCH(D83,G83)</f>
        <v>#VALUE!</v>
      </c>
      <c r="O83" s="98" cm="1">
        <f t="array" ref="O83">_FV(N83,"Similarity",TRUE)</f>
        <v>0</v>
      </c>
      <c r="AF83" s="116" t="s">
        <v>105</v>
      </c>
      <c r="AG83" s="116"/>
    </row>
    <row r="84" spans="1:35" ht="15">
      <c r="A84" s="115" t="s">
        <v>248</v>
      </c>
      <c r="B84" s="116"/>
      <c r="C84" s="115" t="s">
        <v>196</v>
      </c>
      <c r="D84" s="116" t="s">
        <v>232</v>
      </c>
      <c r="E84" s="116" t="s">
        <v>16</v>
      </c>
      <c r="F84" s="115"/>
      <c r="G84" s="115"/>
      <c r="H84" s="116"/>
      <c r="I84" s="101" t="e" cm="1" vm="5">
        <f t="array" ref="I84">_xldudf_BOARDFLARE_FMATCH(G84,D84)</f>
        <v>#VALUE!</v>
      </c>
      <c r="J84" s="103">
        <f>IF(M84&gt;O84, M84,O84)</f>
        <v>0</v>
      </c>
      <c r="K84" s="102"/>
      <c r="L84" s="97" t="e" cm="1" vm="5">
        <f t="array" ref="L84">_xldudf_BOARDFLARE_FMATCH(G84,D84)</f>
        <v>#VALUE!</v>
      </c>
      <c r="M84" s="98" cm="1">
        <f t="array" ref="M84">_FV(L84,"Similarity",TRUE)</f>
        <v>0</v>
      </c>
      <c r="N84" s="97" t="e" cm="1" vm="69">
        <f t="array" ref="N84">_xldudf_BOARDFLARE_FMATCH(D84,G84)</f>
        <v>#VALUE!</v>
      </c>
      <c r="O84" s="98" cm="1">
        <f t="array" ref="O84">_FV(N84,"Similarity",TRUE)</f>
        <v>0</v>
      </c>
      <c r="AF84" s="116" t="s">
        <v>105</v>
      </c>
      <c r="AG84" s="116"/>
    </row>
    <row r="85" spans="1:35" ht="15">
      <c r="A85" s="115" t="s">
        <v>249</v>
      </c>
      <c r="B85" s="116"/>
      <c r="C85" s="115"/>
      <c r="D85" s="116"/>
      <c r="E85" s="116" t="s">
        <v>16</v>
      </c>
      <c r="F85" s="115"/>
      <c r="G85" s="115"/>
      <c r="H85" s="116"/>
      <c r="I85" s="101" t="e" cm="1" vm="5">
        <f t="array" ref="I85">_xldudf_BOARDFLARE_FMATCH(G85,D85)</f>
        <v>#VALUE!</v>
      </c>
      <c r="J85" s="103">
        <f>IF(M85&gt;O85, M85,O85)</f>
        <v>0</v>
      </c>
      <c r="K85" s="102"/>
      <c r="L85" s="97" t="e" cm="1" vm="5">
        <f t="array" ref="L85">_xldudf_BOARDFLARE_FMATCH(G85,D85)</f>
        <v>#VALUE!</v>
      </c>
      <c r="M85" s="98" cm="1">
        <f t="array" ref="M85">_FV(L85,"Similarity",TRUE)</f>
        <v>0</v>
      </c>
      <c r="N85" s="97" t="e" cm="1" vm="5">
        <f t="array" ref="N85">_xldudf_BOARDFLARE_FMATCH(D85,G85)</f>
        <v>#VALUE!</v>
      </c>
      <c r="O85" s="98" cm="1">
        <f t="array" ref="O85">_FV(N85,"Similarity",TRUE)</f>
        <v>0</v>
      </c>
      <c r="AF85" s="116" t="s">
        <v>105</v>
      </c>
      <c r="AG85" s="116"/>
    </row>
    <row r="86" spans="1:35" ht="15">
      <c r="A86" s="115" t="s">
        <v>250</v>
      </c>
      <c r="B86" s="116"/>
      <c r="C86" s="115" t="s">
        <v>59</v>
      </c>
      <c r="D86" s="116" t="s">
        <v>170</v>
      </c>
      <c r="E86" s="116" t="s">
        <v>16</v>
      </c>
      <c r="F86" s="115" t="s">
        <v>251</v>
      </c>
      <c r="G86" s="115" t="s">
        <v>252</v>
      </c>
      <c r="H86" s="116"/>
      <c r="I86" s="101" t="e" cm="1" vm="74">
        <f t="array" ref="I86">_xldudf_BOARDFLARE_FMATCH(G86,D86)</f>
        <v>#VALUE!</v>
      </c>
      <c r="J86" s="103">
        <f>IF(M86&gt;O86, M86,O86)</f>
        <v>0</v>
      </c>
      <c r="K86" s="102"/>
      <c r="L86" s="97" t="e" cm="1" vm="74">
        <f t="array" ref="L86">_xldudf_BOARDFLARE_FMATCH(G86,D86)</f>
        <v>#VALUE!</v>
      </c>
      <c r="M86" s="98" cm="1">
        <f t="array" ref="M86">_FV(L86,"Similarity",TRUE)</f>
        <v>0</v>
      </c>
      <c r="N86" s="97" t="e" cm="1" vm="40">
        <f t="array" ref="N86">_xldudf_BOARDFLARE_FMATCH(D86,G86)</f>
        <v>#VALUE!</v>
      </c>
      <c r="O86" s="98" cm="1">
        <f t="array" ref="O86">_FV(N86,"Similarity",TRUE)</f>
        <v>0</v>
      </c>
      <c r="AF86" s="116" t="s">
        <v>105</v>
      </c>
      <c r="AG86" s="116" t="s">
        <v>105</v>
      </c>
      <c r="AH86" s="116" t="b">
        <f t="shared" ref="AH86:AH88" si="16">AF86=AG86</f>
        <v>1</v>
      </c>
      <c r="AI86" s="116" t="b">
        <f>Table113[[#This Row],[Expected Value]]=Table113[[#This Row],[AI Replaced Text]]</f>
        <v>0</v>
      </c>
    </row>
    <row r="87" spans="1:35" ht="15">
      <c r="A87" s="115" t="s">
        <v>253</v>
      </c>
      <c r="B87" s="116"/>
      <c r="C87" s="115" t="s">
        <v>59</v>
      </c>
      <c r="D87" s="116" t="s">
        <v>170</v>
      </c>
      <c r="E87" s="116" t="s">
        <v>16</v>
      </c>
      <c r="F87" s="115" t="s">
        <v>254</v>
      </c>
      <c r="G87" s="115" t="s">
        <v>255</v>
      </c>
      <c r="H87" s="116"/>
      <c r="I87" s="101" t="e" cm="1" vm="75">
        <f t="array" ref="I87">_xldudf_BOARDFLARE_FMATCH(G87,D87)</f>
        <v>#VALUE!</v>
      </c>
      <c r="J87" s="103">
        <f>IF(M87&gt;O87, M87,O87)</f>
        <v>0</v>
      </c>
      <c r="K87" s="102"/>
      <c r="L87" s="97" t="e" cm="1" vm="75">
        <f t="array" ref="L87">_xldudf_BOARDFLARE_FMATCH(G87,D87)</f>
        <v>#VALUE!</v>
      </c>
      <c r="M87" s="98" cm="1">
        <f t="array" ref="M87">_FV(L87,"Similarity",TRUE)</f>
        <v>0</v>
      </c>
      <c r="N87" s="97" t="e" cm="1" vm="40">
        <f t="array" ref="N87">_xldudf_BOARDFLARE_FMATCH(D87,G87)</f>
        <v>#VALUE!</v>
      </c>
      <c r="O87" s="98" cm="1">
        <f t="array" ref="O87">_FV(N87,"Similarity",TRUE)</f>
        <v>0</v>
      </c>
      <c r="AF87" s="116" t="s">
        <v>105</v>
      </c>
      <c r="AG87" s="116" t="s">
        <v>105</v>
      </c>
      <c r="AH87" s="116" t="b">
        <f t="shared" si="16"/>
        <v>1</v>
      </c>
      <c r="AI87" s="116" t="b">
        <f>Table113[[#This Row],[Expected Value]]=Table113[[#This Row],[AI Replaced Text]]</f>
        <v>0</v>
      </c>
    </row>
    <row r="88" spans="1:35" ht="15">
      <c r="A88" s="115" t="s">
        <v>256</v>
      </c>
      <c r="B88" s="116"/>
      <c r="C88" s="115" t="s">
        <v>59</v>
      </c>
      <c r="D88" s="116" t="s">
        <v>257</v>
      </c>
      <c r="E88" s="116" t="s">
        <v>16</v>
      </c>
      <c r="F88" s="115" t="s">
        <v>258</v>
      </c>
      <c r="G88" s="115" t="s">
        <v>259</v>
      </c>
      <c r="H88" s="116"/>
      <c r="I88" s="101" t="e" cm="1" vm="76">
        <f t="array" ref="I88">_xldudf_BOARDFLARE_FMATCH(G88,D88)</f>
        <v>#VALUE!</v>
      </c>
      <c r="J88" s="103">
        <f>IF(M88&gt;O88, M88,O88)</f>
        <v>0</v>
      </c>
      <c r="K88" s="102"/>
      <c r="L88" s="97" t="e" cm="1" vm="76">
        <f t="array" ref="L88">_xldudf_BOARDFLARE_FMATCH(G88,D88)</f>
        <v>#VALUE!</v>
      </c>
      <c r="M88" s="98" cm="1">
        <f t="array" ref="M88">_FV(L88,"Similarity",TRUE)</f>
        <v>0</v>
      </c>
      <c r="N88" s="97" t="e" cm="1" vm="77">
        <f t="array" ref="N88">_xldudf_BOARDFLARE_FMATCH(D88,G88)</f>
        <v>#VALUE!</v>
      </c>
      <c r="O88" s="98" cm="1">
        <f t="array" ref="O88">_FV(N88,"Similarity",TRUE)</f>
        <v>0</v>
      </c>
      <c r="AF88" s="116" t="s">
        <v>105</v>
      </c>
      <c r="AG88" s="116" t="s">
        <v>105</v>
      </c>
      <c r="AH88" s="116" t="b">
        <f t="shared" si="16"/>
        <v>1</v>
      </c>
      <c r="AI88" s="116" t="b">
        <f>Table113[[#This Row],[Expected Value]]=Table113[[#This Row],[AI Replaced Text]]</f>
        <v>0</v>
      </c>
    </row>
    <row r="89" spans="1:35" ht="15">
      <c r="A89" s="115" t="s">
        <v>260</v>
      </c>
      <c r="B89" s="116"/>
      <c r="C89" s="115" t="s">
        <v>196</v>
      </c>
      <c r="D89" s="116" t="s">
        <v>197</v>
      </c>
      <c r="E89" s="116" t="s">
        <v>16</v>
      </c>
      <c r="F89" s="115" t="s">
        <v>261</v>
      </c>
      <c r="G89" s="115" t="s">
        <v>262</v>
      </c>
      <c r="H89" s="116"/>
      <c r="I89" s="101" t="e" cm="1" vm="78">
        <f t="array" ref="I89">_xldudf_BOARDFLARE_FMATCH(G89,D89)</f>
        <v>#VALUE!</v>
      </c>
      <c r="J89" s="103">
        <f>IF(M89&gt;O89, M89,O89)</f>
        <v>0</v>
      </c>
      <c r="K89" s="102"/>
      <c r="L89" s="97" t="e" cm="1" vm="78">
        <f t="array" ref="L89">_xldudf_BOARDFLARE_FMATCH(G89,D89)</f>
        <v>#VALUE!</v>
      </c>
      <c r="M89" s="98" cm="1">
        <f t="array" ref="M89">_FV(L89,"Similarity",TRUE)</f>
        <v>0</v>
      </c>
      <c r="N89" s="97" t="e" cm="1" vm="53">
        <f t="array" ref="N89">_xldudf_BOARDFLARE_FMATCH(D89,G89)</f>
        <v>#VALUE!</v>
      </c>
      <c r="O89" s="98" cm="1">
        <f t="array" ref="O89">_FV(N89,"Similarity",TRUE)</f>
        <v>0</v>
      </c>
      <c r="AF89" s="116" t="s">
        <v>105</v>
      </c>
      <c r="AG89" s="116"/>
    </row>
    <row r="90" spans="1:35" ht="15">
      <c r="A90" s="115" t="s">
        <v>263</v>
      </c>
      <c r="B90" s="116"/>
      <c r="C90" s="115" t="s">
        <v>59</v>
      </c>
      <c r="D90" s="116" t="s">
        <v>264</v>
      </c>
      <c r="E90" s="116" t="s">
        <v>16</v>
      </c>
      <c r="F90" s="115" t="s">
        <v>265</v>
      </c>
      <c r="G90" s="115"/>
      <c r="H90" s="116"/>
      <c r="I90" s="101" t="e" cm="1" vm="5">
        <f t="array" ref="I90">_xldudf_BOARDFLARE_FMATCH(G90,D90)</f>
        <v>#VALUE!</v>
      </c>
      <c r="J90" s="103">
        <f>IF(M90&gt;O90, M90,O90)</f>
        <v>0</v>
      </c>
      <c r="K90" s="102"/>
      <c r="L90" s="97" t="e" cm="1" vm="5">
        <f t="array" ref="L90">_xldudf_BOARDFLARE_FMATCH(G90,D90)</f>
        <v>#VALUE!</v>
      </c>
      <c r="M90" s="98" cm="1">
        <f t="array" ref="M90">_FV(L90,"Similarity",TRUE)</f>
        <v>0</v>
      </c>
      <c r="N90" s="97" t="e" cm="1" vm="79">
        <f t="array" ref="N90">_xldudf_BOARDFLARE_FMATCH(D90,G90)</f>
        <v>#VALUE!</v>
      </c>
      <c r="O90" s="98" cm="1">
        <f t="array" ref="O90">_FV(N90,"Similarity",TRUE)</f>
        <v>0</v>
      </c>
      <c r="AF90" s="116" t="s">
        <v>105</v>
      </c>
      <c r="AG90" s="116" t="s">
        <v>123</v>
      </c>
      <c r="AH90" s="116" t="b">
        <f t="shared" ref="AH90:AH91" si="17">AF90=AG90</f>
        <v>0</v>
      </c>
      <c r="AI90" s="116" t="b">
        <f>Table113[[#This Row],[Expected Value]]=Table113[[#This Row],[AI Replaced Text]]</f>
        <v>0</v>
      </c>
    </row>
    <row r="91" spans="1:35" ht="15">
      <c r="A91" s="115" t="s">
        <v>266</v>
      </c>
      <c r="B91" s="116"/>
      <c r="C91" s="115" t="s">
        <v>59</v>
      </c>
      <c r="D91" s="116" t="s">
        <v>264</v>
      </c>
      <c r="E91" s="116" t="s">
        <v>16</v>
      </c>
      <c r="F91" s="115" t="s">
        <v>267</v>
      </c>
      <c r="G91" s="115" t="s">
        <v>268</v>
      </c>
      <c r="H91" s="116"/>
      <c r="I91" s="101" t="e" cm="1" vm="80">
        <f t="array" ref="I91">_xldudf_BOARDFLARE_FMATCH(G91,D91)</f>
        <v>#VALUE!</v>
      </c>
      <c r="J91" s="103">
        <f>IF(M91&gt;O91, M91,O91)</f>
        <v>0</v>
      </c>
      <c r="K91" s="102"/>
      <c r="L91" s="97" t="e" cm="1" vm="80">
        <f t="array" ref="L91">_xldudf_BOARDFLARE_FMATCH(G91,D91)</f>
        <v>#VALUE!</v>
      </c>
      <c r="M91" s="98" cm="1">
        <f t="array" ref="M91">_FV(L91,"Similarity",TRUE)</f>
        <v>0</v>
      </c>
      <c r="N91" s="97" t="e" cm="1" vm="79">
        <f t="array" ref="N91">_xldudf_BOARDFLARE_FMATCH(D91,G91)</f>
        <v>#VALUE!</v>
      </c>
      <c r="O91" s="98" cm="1">
        <f t="array" ref="O91">_FV(N91,"Similarity",TRUE)</f>
        <v>0</v>
      </c>
      <c r="AF91" s="116" t="s">
        <v>105</v>
      </c>
      <c r="AG91" s="116" t="s">
        <v>123</v>
      </c>
      <c r="AH91" s="116" t="b">
        <f t="shared" si="17"/>
        <v>0</v>
      </c>
      <c r="AI91" s="116" t="b">
        <f>Table113[[#This Row],[Expected Value]]=Table113[[#This Row],[AI Replaced Text]]</f>
        <v>0</v>
      </c>
    </row>
    <row r="92" spans="1:35" ht="15">
      <c r="A92" s="115" t="s">
        <v>269</v>
      </c>
      <c r="B92" s="116"/>
      <c r="C92" s="126" t="s">
        <v>196</v>
      </c>
      <c r="D92" s="116" t="s">
        <v>270</v>
      </c>
      <c r="E92" s="116" t="s">
        <v>16</v>
      </c>
      <c r="F92" s="115" t="s">
        <v>271</v>
      </c>
      <c r="G92" s="115" t="s">
        <v>272</v>
      </c>
      <c r="H92" s="116"/>
      <c r="I92" s="101" t="e" cm="1" vm="81">
        <f t="array" ref="I92">_xldudf_BOARDFLARE_FMATCH(G92,D92)</f>
        <v>#VALUE!</v>
      </c>
      <c r="J92" s="103">
        <f>IF(M92&gt;O92, M92,O92)</f>
        <v>0</v>
      </c>
      <c r="K92" s="102"/>
      <c r="L92" s="97" t="e" cm="1" vm="81">
        <f t="array" ref="L92">_xldudf_BOARDFLARE_FMATCH(G92,D92)</f>
        <v>#VALUE!</v>
      </c>
      <c r="M92" s="98" cm="1">
        <f t="array" ref="M92">_FV(L92,"Similarity",TRUE)</f>
        <v>0</v>
      </c>
      <c r="N92" s="97" t="e" cm="1" vm="82">
        <f t="array" ref="N92">_xldudf_BOARDFLARE_FMATCH(D92,G92)</f>
        <v>#VALUE!</v>
      </c>
      <c r="O92" s="98" cm="1">
        <f t="array" ref="O92">_FV(N92,"Similarity",TRUE)</f>
        <v>0</v>
      </c>
      <c r="AF92" s="116" t="s">
        <v>105</v>
      </c>
      <c r="AG92" s="116"/>
    </row>
    <row r="93" spans="1:35" ht="15">
      <c r="A93" s="115" t="s">
        <v>235</v>
      </c>
      <c r="B93" s="116"/>
      <c r="C93" s="126" t="s">
        <v>196</v>
      </c>
      <c r="D93" s="116" t="s">
        <v>236</v>
      </c>
      <c r="E93" s="116" t="s">
        <v>16</v>
      </c>
      <c r="F93" s="115"/>
      <c r="G93" s="115"/>
      <c r="H93" s="116"/>
      <c r="I93" s="101" t="e" cm="1" vm="5">
        <f t="array" ref="I93">_xldudf_BOARDFLARE_FMATCH(G93,D93)</f>
        <v>#VALUE!</v>
      </c>
      <c r="J93" s="103">
        <f>IF(M93&gt;O93, M93,O93)</f>
        <v>0</v>
      </c>
      <c r="K93" s="102"/>
      <c r="L93" s="97" t="e" cm="1" vm="5">
        <f t="array" ref="L93">_xldudf_BOARDFLARE_FMATCH(G93,D93)</f>
        <v>#VALUE!</v>
      </c>
      <c r="M93" s="98" cm="1">
        <f t="array" ref="M93">_FV(L93,"Similarity",TRUE)</f>
        <v>0</v>
      </c>
      <c r="N93" s="97" t="e" cm="1" vm="70">
        <f t="array" ref="N93">_xldudf_BOARDFLARE_FMATCH(D93,G93)</f>
        <v>#VALUE!</v>
      </c>
      <c r="O93" s="98" cm="1">
        <f t="array" ref="O93">_FV(N93,"Similarity",TRUE)</f>
        <v>0</v>
      </c>
      <c r="AF93" s="116" t="s">
        <v>105</v>
      </c>
      <c r="AG93" s="116"/>
    </row>
    <row r="94" spans="1:35" ht="15">
      <c r="A94" s="115" t="s">
        <v>237</v>
      </c>
      <c r="B94" s="116"/>
      <c r="C94" s="115" t="s">
        <v>196</v>
      </c>
      <c r="D94" s="116"/>
      <c r="E94" s="116" t="s">
        <v>16</v>
      </c>
      <c r="F94" s="115" t="s">
        <v>238</v>
      </c>
      <c r="G94" s="115" t="s">
        <v>239</v>
      </c>
      <c r="H94" s="116"/>
      <c r="I94" s="101" t="e" cm="1" vm="71">
        <f t="array" ref="I94">_xldudf_BOARDFLARE_FMATCH(G94,D94)</f>
        <v>#VALUE!</v>
      </c>
      <c r="J94" s="103">
        <f>IF(M94&gt;O94, M94,O94)</f>
        <v>0</v>
      </c>
      <c r="K94" s="102"/>
      <c r="L94" s="97" t="e" cm="1" vm="71">
        <f t="array" ref="L94">_xldudf_BOARDFLARE_FMATCH(G94,D94)</f>
        <v>#VALUE!</v>
      </c>
      <c r="M94" s="98" cm="1">
        <f t="array" ref="M94">_FV(L94,"Similarity",TRUE)</f>
        <v>0</v>
      </c>
      <c r="N94" s="97" t="e" cm="1" vm="5">
        <f t="array" ref="N94">_xldudf_BOARDFLARE_FMATCH(D94,G94)</f>
        <v>#VALUE!</v>
      </c>
      <c r="O94" s="98" cm="1">
        <f t="array" ref="O94">_FV(N94,"Similarity",TRUE)</f>
        <v>0</v>
      </c>
      <c r="AF94" s="116" t="s">
        <v>105</v>
      </c>
      <c r="AG94" s="116"/>
    </row>
    <row r="95" spans="1:35" ht="15">
      <c r="A95" s="115" t="s">
        <v>273</v>
      </c>
      <c r="B95" s="116"/>
      <c r="C95" s="115" t="s">
        <v>59</v>
      </c>
      <c r="D95" s="116" t="s">
        <v>274</v>
      </c>
      <c r="E95" s="116" t="s">
        <v>16</v>
      </c>
      <c r="F95" s="115" t="s">
        <v>275</v>
      </c>
      <c r="G95" s="115" t="s">
        <v>276</v>
      </c>
      <c r="H95" s="116"/>
      <c r="I95" s="101" t="e" cm="1" vm="83">
        <f t="array" ref="I95">_xldudf_BOARDFLARE_FMATCH(G95,D95)</f>
        <v>#VALUE!</v>
      </c>
      <c r="J95" s="103">
        <f>IF(M95&gt;O95, M95,O95)</f>
        <v>0</v>
      </c>
      <c r="K95" s="102"/>
      <c r="L95" s="97" t="e" cm="1" vm="83">
        <f t="array" ref="L95">_xldudf_BOARDFLARE_FMATCH(G95,D95)</f>
        <v>#VALUE!</v>
      </c>
      <c r="M95" s="98" cm="1">
        <f t="array" ref="M95">_FV(L95,"Similarity",TRUE)</f>
        <v>0</v>
      </c>
      <c r="N95" s="97" t="e" cm="1" vm="84">
        <f t="array" ref="N95">_xldudf_BOARDFLARE_FMATCH(D95,G95)</f>
        <v>#VALUE!</v>
      </c>
      <c r="O95" s="98" cm="1">
        <f t="array" ref="O95">_FV(N95,"Similarity",TRUE)</f>
        <v>0</v>
      </c>
      <c r="AF95" s="116" t="s">
        <v>105</v>
      </c>
      <c r="AG95" s="116" t="s">
        <v>105</v>
      </c>
      <c r="AH95" s="116" t="b">
        <f t="shared" ref="AH95:AH99" si="18">AF95=AG95</f>
        <v>1</v>
      </c>
      <c r="AI95" s="116" t="b">
        <f>Table113[[#This Row],[Expected Value]]=Table113[[#This Row],[AI Replaced Text]]</f>
        <v>0</v>
      </c>
    </row>
    <row r="96" spans="1:35" ht="15">
      <c r="A96" s="115" t="s">
        <v>273</v>
      </c>
      <c r="B96" s="116"/>
      <c r="C96" s="115" t="s">
        <v>59</v>
      </c>
      <c r="D96" s="116" t="s">
        <v>274</v>
      </c>
      <c r="E96" s="116" t="s">
        <v>16</v>
      </c>
      <c r="F96" s="115" t="s">
        <v>275</v>
      </c>
      <c r="G96" s="115" t="s">
        <v>276</v>
      </c>
      <c r="H96" s="116"/>
      <c r="I96" s="101" t="e" cm="1" vm="83">
        <f t="array" ref="I96">_xldudf_BOARDFLARE_FMATCH(G96,D96)</f>
        <v>#VALUE!</v>
      </c>
      <c r="J96" s="103">
        <f>IF(M96&gt;O96, M96,O96)</f>
        <v>0</v>
      </c>
      <c r="K96" s="102"/>
      <c r="L96" s="97" t="e" cm="1" vm="83">
        <f t="array" ref="L96">_xldudf_BOARDFLARE_FMATCH(G96,D96)</f>
        <v>#VALUE!</v>
      </c>
      <c r="M96" s="98" cm="1">
        <f t="array" ref="M96">_FV(L96,"Similarity",TRUE)</f>
        <v>0</v>
      </c>
      <c r="N96" s="97" t="e" cm="1" vm="84">
        <f t="array" ref="N96">_xldudf_BOARDFLARE_FMATCH(D96,G96)</f>
        <v>#VALUE!</v>
      </c>
      <c r="O96" s="98" cm="1">
        <f t="array" ref="O96">_FV(N96,"Similarity",TRUE)</f>
        <v>0</v>
      </c>
      <c r="AF96" s="116" t="s">
        <v>105</v>
      </c>
      <c r="AG96" s="116" t="s">
        <v>105</v>
      </c>
      <c r="AH96" s="116" t="b">
        <f t="shared" si="18"/>
        <v>1</v>
      </c>
      <c r="AI96" s="116" t="b">
        <f>Table113[[#This Row],[Expected Value]]=Table113[[#This Row],[AI Replaced Text]]</f>
        <v>0</v>
      </c>
    </row>
    <row r="97" spans="1:35" ht="15.75">
      <c r="A97" s="115" t="s">
        <v>149</v>
      </c>
      <c r="B97" s="116"/>
      <c r="C97" s="115" t="s">
        <v>59</v>
      </c>
      <c r="D97" s="117" t="s">
        <v>150</v>
      </c>
      <c r="E97" s="116" t="s">
        <v>16</v>
      </c>
      <c r="F97" s="115"/>
      <c r="G97" s="115"/>
      <c r="H97" s="116"/>
      <c r="I97" s="101" t="e" cm="1" vm="5">
        <f t="array" ref="I97">_xldudf_BOARDFLARE_FMATCH(G97,D97)</f>
        <v>#VALUE!</v>
      </c>
      <c r="J97" s="103">
        <f>IF(M97&gt;O97, M97,O97)</f>
        <v>0</v>
      </c>
      <c r="K97" s="102"/>
      <c r="L97" s="97" t="e" cm="1" vm="5">
        <f t="array" ref="L97">_xldudf_BOARDFLARE_FMATCH(G97,D97)</f>
        <v>#VALUE!</v>
      </c>
      <c r="M97" s="98" cm="1">
        <f t="array" ref="M97">_FV(L97,"Similarity",TRUE)</f>
        <v>0</v>
      </c>
      <c r="N97" s="97" t="e" cm="1" vm="28">
        <f t="array" ref="N97">_xldudf_BOARDFLARE_FMATCH(D97,G97)</f>
        <v>#VALUE!</v>
      </c>
      <c r="O97" s="98" cm="1">
        <f t="array" ref="O97">_FV(N97,"Similarity",TRUE)</f>
        <v>0</v>
      </c>
      <c r="AF97" s="116" t="s">
        <v>105</v>
      </c>
      <c r="AG97" s="116" t="s">
        <v>123</v>
      </c>
      <c r="AH97" s="116" t="b">
        <f t="shared" si="18"/>
        <v>0</v>
      </c>
      <c r="AI97" s="116" t="b">
        <f>Table113[[#This Row],[Expected Value]]=Table113[[#This Row],[AI Replaced Text]]</f>
        <v>0</v>
      </c>
    </row>
    <row r="98" spans="1:35" ht="15">
      <c r="A98" s="115" t="s">
        <v>277</v>
      </c>
      <c r="B98" s="116"/>
      <c r="C98" s="115" t="s">
        <v>59</v>
      </c>
      <c r="D98" s="116" t="s">
        <v>278</v>
      </c>
      <c r="E98" s="116" t="s">
        <v>16</v>
      </c>
      <c r="F98" s="115" t="s">
        <v>279</v>
      </c>
      <c r="G98" s="115" t="s">
        <v>280</v>
      </c>
      <c r="H98" s="116"/>
      <c r="I98" s="101" t="e" cm="1" vm="85">
        <f t="array" ref="I98">_xldudf_BOARDFLARE_FMATCH(G98,D98)</f>
        <v>#VALUE!</v>
      </c>
      <c r="J98" s="103">
        <f>IF(M98&gt;O98, M98,O98)</f>
        <v>0.63</v>
      </c>
      <c r="K98" s="102"/>
      <c r="L98" s="97" t="e" cm="1" vm="85">
        <f t="array" ref="L98">_xldudf_BOARDFLARE_FMATCH(G98,D98)</f>
        <v>#VALUE!</v>
      </c>
      <c r="M98" s="98" cm="1">
        <f t="array" ref="M98">_FV(L98,"Similarity",TRUE)</f>
        <v>0.63</v>
      </c>
      <c r="N98" s="97" t="e" cm="1" vm="86">
        <f t="array" ref="N98">_xldudf_BOARDFLARE_FMATCH(D98,G98)</f>
        <v>#VALUE!</v>
      </c>
      <c r="O98" s="98" cm="1">
        <f t="array" ref="O98">_FV(N98,"Similarity",TRUE)</f>
        <v>0</v>
      </c>
      <c r="AF98" s="116" t="s">
        <v>105</v>
      </c>
      <c r="AG98" s="116" t="s">
        <v>123</v>
      </c>
      <c r="AH98" s="116" t="b">
        <f t="shared" si="18"/>
        <v>0</v>
      </c>
      <c r="AI98" s="116" t="b">
        <f>Table113[[#This Row],[Expected Value]]=Table113[[#This Row],[AI Replaced Text]]</f>
        <v>0</v>
      </c>
    </row>
    <row r="99" spans="1:35" ht="15.75">
      <c r="A99" s="115" t="s">
        <v>277</v>
      </c>
      <c r="B99" s="116"/>
      <c r="C99" s="115" t="s">
        <v>59</v>
      </c>
      <c r="D99" s="117" t="s">
        <v>281</v>
      </c>
      <c r="E99" s="116" t="s">
        <v>16</v>
      </c>
      <c r="F99" s="115" t="s">
        <v>279</v>
      </c>
      <c r="G99" s="115" t="s">
        <v>280</v>
      </c>
      <c r="H99" s="116"/>
      <c r="I99" s="101" t="e" cm="1" vm="87">
        <f t="array" ref="I99">_xldudf_BOARDFLARE_FMATCH(G99,D99)</f>
        <v>#VALUE!</v>
      </c>
      <c r="J99" s="103">
        <f>IF(M99&gt;O99, M99,O99)</f>
        <v>0</v>
      </c>
      <c r="K99" s="102"/>
      <c r="L99" s="97" t="e" cm="1" vm="87">
        <f t="array" ref="L99">_xldudf_BOARDFLARE_FMATCH(G99,D99)</f>
        <v>#VALUE!</v>
      </c>
      <c r="M99" s="98" cm="1">
        <f t="array" ref="M99">_FV(L99,"Similarity",TRUE)</f>
        <v>0</v>
      </c>
      <c r="N99" s="97" t="e" cm="1" vm="88">
        <f t="array" ref="N99">_xldudf_BOARDFLARE_FMATCH(D99,G99)</f>
        <v>#VALUE!</v>
      </c>
      <c r="O99" s="98" cm="1">
        <f t="array" ref="O99">_FV(N99,"Similarity",TRUE)</f>
        <v>0</v>
      </c>
      <c r="AF99" s="116" t="s">
        <v>105</v>
      </c>
      <c r="AG99" s="116" t="s">
        <v>123</v>
      </c>
      <c r="AH99" s="116" t="b">
        <f t="shared" si="18"/>
        <v>0</v>
      </c>
      <c r="AI99" s="116" t="b">
        <f>Table113[[#This Row],[Expected Value]]=Table113[[#This Row],[AI Replaced Text]]</f>
        <v>0</v>
      </c>
    </row>
    <row r="100" spans="1:35" ht="15.75">
      <c r="A100" s="115" t="s">
        <v>282</v>
      </c>
      <c r="B100" s="116"/>
      <c r="C100" s="115"/>
      <c r="D100" s="117"/>
      <c r="E100" s="116" t="s">
        <v>16</v>
      </c>
      <c r="F100" s="115"/>
      <c r="G100" s="115"/>
      <c r="H100" s="116"/>
      <c r="I100" s="101" t="e" cm="1" vm="5">
        <f t="array" ref="I100">_xldudf_BOARDFLARE_FMATCH(G100,D100)</f>
        <v>#VALUE!</v>
      </c>
      <c r="J100" s="103">
        <f>IF(M100&gt;O100, M100,O100)</f>
        <v>0</v>
      </c>
      <c r="K100" s="102"/>
      <c r="L100" s="97" t="e" cm="1" vm="5">
        <f t="array" ref="L100">_xldudf_BOARDFLARE_FMATCH(G100,D100)</f>
        <v>#VALUE!</v>
      </c>
      <c r="M100" s="98" cm="1">
        <f t="array" ref="M100">_FV(L100,"Similarity",TRUE)</f>
        <v>0</v>
      </c>
      <c r="N100" s="97" t="e" cm="1" vm="5">
        <f t="array" ref="N100">_xldudf_BOARDFLARE_FMATCH(D100,G100)</f>
        <v>#VALUE!</v>
      </c>
      <c r="O100" s="98" cm="1">
        <f t="array" ref="O100">_FV(N100,"Similarity",TRUE)</f>
        <v>0</v>
      </c>
      <c r="AF100" s="116" t="s">
        <v>105</v>
      </c>
      <c r="AG100" s="116"/>
    </row>
    <row r="101" spans="1:35" ht="15">
      <c r="A101" s="115" t="s">
        <v>155</v>
      </c>
      <c r="B101" s="116"/>
      <c r="C101" s="115"/>
      <c r="D101" s="116"/>
      <c r="E101" s="116" t="s">
        <v>16</v>
      </c>
      <c r="F101" s="115"/>
      <c r="G101" s="115"/>
      <c r="H101" s="116"/>
      <c r="I101" s="101" t="e" cm="1" vm="5">
        <f t="array" ref="I101">_xldudf_BOARDFLARE_FMATCH(G101,D101)</f>
        <v>#VALUE!</v>
      </c>
      <c r="J101" s="103">
        <f>IF(M101&gt;O101, M101,O101)</f>
        <v>0</v>
      </c>
      <c r="K101" s="102"/>
      <c r="L101" s="97" t="e" cm="1" vm="5">
        <f t="array" ref="L101">_xldudf_BOARDFLARE_FMATCH(G101,D101)</f>
        <v>#VALUE!</v>
      </c>
      <c r="M101" s="98" cm="1">
        <f t="array" ref="M101">_FV(L101,"Similarity",TRUE)</f>
        <v>0</v>
      </c>
      <c r="N101" s="97" t="e" cm="1" vm="5">
        <f t="array" ref="N101">_xldudf_BOARDFLARE_FMATCH(D101,G101)</f>
        <v>#VALUE!</v>
      </c>
      <c r="O101" s="98" cm="1">
        <f t="array" ref="O101">_FV(N101,"Similarity",TRUE)</f>
        <v>0</v>
      </c>
      <c r="AF101" s="116" t="s">
        <v>105</v>
      </c>
      <c r="AG101" s="116"/>
    </row>
    <row r="102" spans="1:35" ht="15.75">
      <c r="A102" s="115" t="s">
        <v>113</v>
      </c>
      <c r="B102" s="116"/>
      <c r="C102" s="118" t="s">
        <v>87</v>
      </c>
      <c r="D102" s="119" t="s">
        <v>114</v>
      </c>
      <c r="E102" s="116" t="s">
        <v>16</v>
      </c>
      <c r="F102" s="115" t="s">
        <v>283</v>
      </c>
      <c r="G102" s="115" t="s">
        <v>157</v>
      </c>
      <c r="H102" s="116"/>
      <c r="I102" s="101" t="e" cm="1" vm="31">
        <f t="array" ref="I102">_xldudf_BOARDFLARE_FMATCH(G102,D102)</f>
        <v>#VALUE!</v>
      </c>
      <c r="J102" s="103">
        <f>IF(M102&gt;O102, M102,O102)</f>
        <v>1</v>
      </c>
      <c r="K102" s="102"/>
      <c r="L102" s="97" t="e" cm="1" vm="31">
        <f t="array" ref="L102">_xldudf_BOARDFLARE_FMATCH(G102,D102)</f>
        <v>#VALUE!</v>
      </c>
      <c r="M102" s="98" cm="1">
        <f t="array" ref="M102">_FV(L102,"Similarity",TRUE)</f>
        <v>1</v>
      </c>
      <c r="N102" s="97" t="e" cm="1" vm="32">
        <f t="array" ref="N102">_xldudf_BOARDFLARE_FMATCH(D102,G102)</f>
        <v>#VALUE!</v>
      </c>
      <c r="O102" s="98" cm="1">
        <f t="array" ref="O102">_FV(N102,"Similarity",TRUE)</f>
        <v>1</v>
      </c>
      <c r="AF102" s="116" t="s">
        <v>105</v>
      </c>
      <c r="AG102" s="116"/>
    </row>
    <row r="103" spans="1:35" ht="15">
      <c r="A103" s="115" t="s">
        <v>284</v>
      </c>
      <c r="B103" s="116"/>
      <c r="C103" s="118" t="s">
        <v>87</v>
      </c>
      <c r="D103" s="116" t="s">
        <v>285</v>
      </c>
      <c r="E103" s="116" t="s">
        <v>16</v>
      </c>
      <c r="F103" s="115"/>
      <c r="G103" s="115"/>
      <c r="H103" s="116"/>
      <c r="I103" s="101" t="e" cm="1" vm="5">
        <f t="array" ref="I103">_xldudf_BOARDFLARE_FMATCH(G103,D103)</f>
        <v>#VALUE!</v>
      </c>
      <c r="J103" s="103">
        <f>IF(M103&gt;O103, M103,O103)</f>
        <v>0</v>
      </c>
      <c r="K103" s="102"/>
      <c r="L103" s="97" t="e" cm="1" vm="5">
        <f t="array" ref="L103">_xldudf_BOARDFLARE_FMATCH(G103,D103)</f>
        <v>#VALUE!</v>
      </c>
      <c r="M103" s="98" cm="1">
        <f t="array" ref="M103">_FV(L103,"Similarity",TRUE)</f>
        <v>0</v>
      </c>
      <c r="N103" s="97" t="e" cm="1" vm="89">
        <f t="array" ref="N103">_xldudf_BOARDFLARE_FMATCH(D103,G103)</f>
        <v>#VALUE!</v>
      </c>
      <c r="O103" s="98" cm="1">
        <f t="array" ref="O103">_FV(N103,"Similarity",TRUE)</f>
        <v>0</v>
      </c>
      <c r="AF103" s="116" t="s">
        <v>105</v>
      </c>
      <c r="AG103" s="116"/>
    </row>
    <row r="104" spans="1:35" ht="15">
      <c r="A104" s="115" t="s">
        <v>155</v>
      </c>
      <c r="B104" s="116"/>
      <c r="C104" s="115" t="s">
        <v>59</v>
      </c>
      <c r="D104" s="116"/>
      <c r="E104" s="116" t="s">
        <v>16</v>
      </c>
      <c r="F104" s="115" t="s">
        <v>286</v>
      </c>
      <c r="G104" s="115" t="s">
        <v>287</v>
      </c>
      <c r="H104" s="116"/>
      <c r="I104" s="101" t="e" cm="1" vm="90">
        <f t="array" ref="I104">_xldudf_BOARDFLARE_FMATCH(G104,D104)</f>
        <v>#VALUE!</v>
      </c>
      <c r="J104" s="103">
        <f>IF(M104&gt;O104, M104,O104)</f>
        <v>0</v>
      </c>
      <c r="K104" s="102"/>
      <c r="L104" s="97" t="e" cm="1" vm="90">
        <f t="array" ref="L104">_xldudf_BOARDFLARE_FMATCH(G104,D104)</f>
        <v>#VALUE!</v>
      </c>
      <c r="M104" s="98" cm="1">
        <f t="array" ref="M104">_FV(L104,"Similarity",TRUE)</f>
        <v>0</v>
      </c>
      <c r="N104" s="97" t="e" cm="1" vm="5">
        <f t="array" ref="N104">_xldudf_BOARDFLARE_FMATCH(D104,G104)</f>
        <v>#VALUE!</v>
      </c>
      <c r="O104" s="98" cm="1">
        <f t="array" ref="O104">_FV(N104,"Similarity",TRUE)</f>
        <v>0</v>
      </c>
      <c r="AF104" s="116" t="s">
        <v>105</v>
      </c>
      <c r="AG104" s="116" t="s">
        <v>105</v>
      </c>
      <c r="AH104" s="116" t="b">
        <f>AF104=AG104</f>
        <v>1</v>
      </c>
      <c r="AI104" s="116" t="b">
        <f>Table113[[#This Row],[Expected Value]]=Table113[[#This Row],[AI Replaced Text]]</f>
        <v>0</v>
      </c>
    </row>
    <row r="105" spans="1:35" ht="15">
      <c r="A105" s="115" t="s">
        <v>288</v>
      </c>
      <c r="B105" s="116"/>
      <c r="C105" s="115"/>
      <c r="D105" s="116"/>
      <c r="E105" s="116" t="s">
        <v>16</v>
      </c>
      <c r="F105" s="115"/>
      <c r="G105" s="115"/>
      <c r="H105" s="116"/>
      <c r="I105" s="101" t="e" cm="1" vm="5">
        <f t="array" ref="I105">_xldudf_BOARDFLARE_FMATCH(G105,D105)</f>
        <v>#VALUE!</v>
      </c>
      <c r="J105" s="103">
        <f>IF(M105&gt;O105, M105,O105)</f>
        <v>0</v>
      </c>
      <c r="K105" s="102"/>
      <c r="L105" s="97" t="e" cm="1" vm="5">
        <f t="array" ref="L105">_xldudf_BOARDFLARE_FMATCH(G105,D105)</f>
        <v>#VALUE!</v>
      </c>
      <c r="M105" s="98" cm="1">
        <f t="array" ref="M105">_FV(L105,"Similarity",TRUE)</f>
        <v>0</v>
      </c>
      <c r="N105" s="97" t="e" cm="1" vm="5">
        <f t="array" ref="N105">_xldudf_BOARDFLARE_FMATCH(D105,G105)</f>
        <v>#VALUE!</v>
      </c>
      <c r="O105" s="98" cm="1">
        <f t="array" ref="O105">_FV(N105,"Similarity",TRUE)</f>
        <v>0</v>
      </c>
      <c r="AF105" s="116" t="s">
        <v>105</v>
      </c>
      <c r="AG105" s="116"/>
    </row>
    <row r="106" spans="1:35" ht="15">
      <c r="A106" s="115" t="s">
        <v>147</v>
      </c>
      <c r="B106" s="116"/>
      <c r="C106" s="118" t="s">
        <v>87</v>
      </c>
      <c r="D106" s="116" t="s">
        <v>148</v>
      </c>
      <c r="E106" s="116" t="s">
        <v>16</v>
      </c>
      <c r="F106" s="115"/>
      <c r="G106" s="115"/>
      <c r="H106" s="116"/>
      <c r="I106" s="101" t="e" cm="1" vm="5">
        <f t="array" ref="I106">_xldudf_BOARDFLARE_FMATCH(G106,D106)</f>
        <v>#VALUE!</v>
      </c>
      <c r="J106" s="103">
        <f>IF(M106&gt;O106, M106,O106)</f>
        <v>0</v>
      </c>
      <c r="K106" s="102"/>
      <c r="L106" s="97" t="e" cm="1" vm="5">
        <f t="array" ref="L106">_xldudf_BOARDFLARE_FMATCH(G106,D106)</f>
        <v>#VALUE!</v>
      </c>
      <c r="M106" s="98" cm="1">
        <f t="array" ref="M106">_FV(L106,"Similarity",TRUE)</f>
        <v>0</v>
      </c>
      <c r="N106" s="97" t="e" cm="1" vm="27">
        <f t="array" ref="N106">_xldudf_BOARDFLARE_FMATCH(D106,G106)</f>
        <v>#VALUE!</v>
      </c>
      <c r="O106" s="98" cm="1">
        <f t="array" ref="O106">_FV(N106,"Similarity",TRUE)</f>
        <v>0</v>
      </c>
      <c r="AF106" s="116" t="s">
        <v>105</v>
      </c>
      <c r="AG106" s="116"/>
    </row>
    <row r="107" spans="1:35" ht="15">
      <c r="A107" s="115" t="s">
        <v>284</v>
      </c>
      <c r="B107" s="116"/>
      <c r="C107" s="118" t="s">
        <v>87</v>
      </c>
      <c r="D107" s="116" t="s">
        <v>285</v>
      </c>
      <c r="E107" s="116" t="s">
        <v>16</v>
      </c>
      <c r="F107" s="115"/>
      <c r="G107" s="115"/>
      <c r="H107" s="116"/>
      <c r="I107" s="101" t="e" cm="1" vm="5">
        <f t="array" ref="I107">_xldudf_BOARDFLARE_FMATCH(G107,D107)</f>
        <v>#VALUE!</v>
      </c>
      <c r="J107" s="103">
        <f>IF(M107&gt;O107, M107,O107)</f>
        <v>0</v>
      </c>
      <c r="K107" s="102"/>
      <c r="L107" s="97" t="e" cm="1" vm="5">
        <f t="array" ref="L107">_xldudf_BOARDFLARE_FMATCH(G107,D107)</f>
        <v>#VALUE!</v>
      </c>
      <c r="M107" s="98" cm="1">
        <f t="array" ref="M107">_FV(L107,"Similarity",TRUE)</f>
        <v>0</v>
      </c>
      <c r="N107" s="97" t="e" cm="1" vm="89">
        <f t="array" ref="N107">_xldudf_BOARDFLARE_FMATCH(D107,G107)</f>
        <v>#VALUE!</v>
      </c>
      <c r="O107" s="98" cm="1">
        <f t="array" ref="O107">_FV(N107,"Similarity",TRUE)</f>
        <v>0</v>
      </c>
      <c r="AF107" s="116" t="s">
        <v>105</v>
      </c>
      <c r="AG107" s="116"/>
    </row>
    <row r="108" spans="1:35" ht="15">
      <c r="A108" s="115" t="s">
        <v>155</v>
      </c>
      <c r="B108" s="116"/>
      <c r="C108" s="115" t="s">
        <v>59</v>
      </c>
      <c r="D108" s="116"/>
      <c r="E108" s="116" t="s">
        <v>16</v>
      </c>
      <c r="F108" s="115" t="s">
        <v>289</v>
      </c>
      <c r="G108" s="115" t="s">
        <v>290</v>
      </c>
      <c r="H108" s="116"/>
      <c r="I108" s="101" t="e" cm="1" vm="91">
        <f t="array" ref="I108">_xldudf_BOARDFLARE_FMATCH(G108,D108)</f>
        <v>#VALUE!</v>
      </c>
      <c r="J108" s="103">
        <f>IF(M108&gt;O108, M108,O108)</f>
        <v>0</v>
      </c>
      <c r="K108" s="102"/>
      <c r="L108" s="97" t="e" cm="1" vm="91">
        <f t="array" ref="L108">_xldudf_BOARDFLARE_FMATCH(G108,D108)</f>
        <v>#VALUE!</v>
      </c>
      <c r="M108" s="98" cm="1">
        <f t="array" ref="M108">_FV(L108,"Similarity",TRUE)</f>
        <v>0</v>
      </c>
      <c r="N108" s="97" t="e" cm="1" vm="5">
        <f t="array" ref="N108">_xldudf_BOARDFLARE_FMATCH(D108,G108)</f>
        <v>#VALUE!</v>
      </c>
      <c r="O108" s="98" cm="1">
        <f t="array" ref="O108">_FV(N108,"Similarity",TRUE)</f>
        <v>0</v>
      </c>
      <c r="AF108" s="116" t="s">
        <v>105</v>
      </c>
      <c r="AG108" s="116" t="s">
        <v>123</v>
      </c>
      <c r="AH108" s="116" t="b">
        <f>AF108=AG108</f>
        <v>0</v>
      </c>
      <c r="AI108" s="116" t="b">
        <f>Table113[[#This Row],[Expected Value]]=Table113[[#This Row],[AI Replaced Text]]</f>
        <v>0</v>
      </c>
    </row>
    <row r="109" spans="1:35" ht="15">
      <c r="A109" s="115" t="s">
        <v>288</v>
      </c>
      <c r="B109" s="116"/>
      <c r="C109" s="115"/>
      <c r="D109" s="116"/>
      <c r="E109" s="116" t="s">
        <v>16</v>
      </c>
      <c r="F109" s="115"/>
      <c r="G109" s="115"/>
      <c r="H109" s="116"/>
      <c r="I109" s="101" t="e" cm="1" vm="5">
        <f t="array" ref="I109">_xldudf_BOARDFLARE_FMATCH(G109,D109)</f>
        <v>#VALUE!</v>
      </c>
      <c r="J109" s="103">
        <f>IF(M109&gt;O109, M109,O109)</f>
        <v>0</v>
      </c>
      <c r="K109" s="102"/>
      <c r="L109" s="97" t="e" cm="1" vm="5">
        <f t="array" ref="L109">_xldudf_BOARDFLARE_FMATCH(G109,D109)</f>
        <v>#VALUE!</v>
      </c>
      <c r="M109" s="98" cm="1">
        <f t="array" ref="M109">_FV(L109,"Similarity",TRUE)</f>
        <v>0</v>
      </c>
      <c r="N109" s="97" t="e" cm="1" vm="5">
        <f t="array" ref="N109">_xldudf_BOARDFLARE_FMATCH(D109,G109)</f>
        <v>#VALUE!</v>
      </c>
      <c r="O109" s="98" cm="1">
        <f t="array" ref="O109">_FV(N109,"Similarity",TRUE)</f>
        <v>0</v>
      </c>
      <c r="AF109" s="116" t="s">
        <v>105</v>
      </c>
      <c r="AG109" s="116"/>
    </row>
    <row r="110" spans="1:35" ht="15">
      <c r="A110" s="115" t="s">
        <v>291</v>
      </c>
      <c r="B110" s="116"/>
      <c r="C110" s="118" t="s">
        <v>87</v>
      </c>
      <c r="D110" s="116" t="s">
        <v>148</v>
      </c>
      <c r="E110" s="116" t="s">
        <v>16</v>
      </c>
      <c r="F110" s="115"/>
      <c r="G110" s="115"/>
      <c r="H110" s="116"/>
      <c r="I110" s="101" t="e" cm="1" vm="5">
        <f t="array" ref="I110">_xldudf_BOARDFLARE_FMATCH(G110,D110)</f>
        <v>#VALUE!</v>
      </c>
      <c r="J110" s="103">
        <f>IF(M110&gt;O110, M110,O110)</f>
        <v>0</v>
      </c>
      <c r="K110" s="102"/>
      <c r="L110" s="97" t="e" cm="1" vm="5">
        <f t="array" ref="L110">_xldudf_BOARDFLARE_FMATCH(G110,D110)</f>
        <v>#VALUE!</v>
      </c>
      <c r="M110" s="98" cm="1">
        <f t="array" ref="M110">_FV(L110,"Similarity",TRUE)</f>
        <v>0</v>
      </c>
      <c r="N110" s="97" t="e" cm="1" vm="27">
        <f t="array" ref="N110">_xldudf_BOARDFLARE_FMATCH(D110,G110)</f>
        <v>#VALUE!</v>
      </c>
      <c r="O110" s="98" cm="1">
        <f t="array" ref="O110">_FV(N110,"Similarity",TRUE)</f>
        <v>0</v>
      </c>
      <c r="AF110" s="116" t="s">
        <v>105</v>
      </c>
      <c r="AG110" s="116"/>
    </row>
    <row r="111" spans="1:35" ht="15.75">
      <c r="A111" s="115" t="s">
        <v>292</v>
      </c>
      <c r="B111" s="116"/>
      <c r="C111" s="118" t="s">
        <v>87</v>
      </c>
      <c r="D111" s="117" t="s">
        <v>293</v>
      </c>
      <c r="E111" s="116" t="s">
        <v>16</v>
      </c>
      <c r="F111" s="115" t="s">
        <v>294</v>
      </c>
      <c r="G111" s="115" t="s">
        <v>293</v>
      </c>
      <c r="H111" s="116"/>
      <c r="AF111" s="116" t="s">
        <v>105</v>
      </c>
      <c r="AG111" s="116"/>
    </row>
    <row r="112" spans="1:35" ht="15">
      <c r="A112" s="115" t="s">
        <v>147</v>
      </c>
      <c r="B112" s="116"/>
      <c r="C112" s="118" t="s">
        <v>87</v>
      </c>
      <c r="D112" s="116" t="s">
        <v>148</v>
      </c>
      <c r="E112" s="116" t="s">
        <v>16</v>
      </c>
      <c r="F112" s="115"/>
      <c r="G112" s="115"/>
      <c r="H112" s="116"/>
      <c r="AF112" s="116" t="s">
        <v>105</v>
      </c>
      <c r="AG112" s="116"/>
    </row>
    <row r="113" spans="1:35" ht="15">
      <c r="A113" s="115" t="s">
        <v>295</v>
      </c>
      <c r="B113" s="116"/>
      <c r="C113" s="115" t="s">
        <v>59</v>
      </c>
      <c r="D113" s="116" t="s">
        <v>296</v>
      </c>
      <c r="E113" s="116" t="s">
        <v>16</v>
      </c>
      <c r="F113" s="115" t="s">
        <v>297</v>
      </c>
      <c r="G113" s="115" t="s">
        <v>298</v>
      </c>
      <c r="H113" s="116"/>
      <c r="AF113" s="116" t="s">
        <v>105</v>
      </c>
      <c r="AG113" s="116" t="s">
        <v>105</v>
      </c>
      <c r="AH113" s="116" t="b">
        <f t="shared" ref="AH113:AH116" si="19">AF113=AG113</f>
        <v>1</v>
      </c>
      <c r="AI113" s="116" t="b">
        <f>Table113[[#This Row],[Expected Value]]=Table113[[#This Row],[AI Replaced Text]]</f>
        <v>0</v>
      </c>
    </row>
    <row r="114" spans="1:35" ht="15.75">
      <c r="A114" s="115" t="s">
        <v>295</v>
      </c>
      <c r="B114" s="116"/>
      <c r="C114" s="115" t="s">
        <v>59</v>
      </c>
      <c r="D114" s="117" t="s">
        <v>299</v>
      </c>
      <c r="E114" s="116" t="s">
        <v>16</v>
      </c>
      <c r="F114" s="115" t="s">
        <v>300</v>
      </c>
      <c r="G114" s="115" t="s">
        <v>301</v>
      </c>
      <c r="H114" s="116"/>
      <c r="AF114" s="116" t="s">
        <v>105</v>
      </c>
      <c r="AG114" s="116" t="s">
        <v>105</v>
      </c>
      <c r="AH114" s="116" t="b">
        <f t="shared" si="19"/>
        <v>1</v>
      </c>
      <c r="AI114" s="116" t="b">
        <f>Table113[[#This Row],[Expected Value]]=Table113[[#This Row],[AI Replaced Text]]</f>
        <v>0</v>
      </c>
    </row>
    <row r="115" spans="1:35" ht="15.75">
      <c r="A115" s="115" t="s">
        <v>295</v>
      </c>
      <c r="B115" s="116"/>
      <c r="C115" s="115" t="s">
        <v>59</v>
      </c>
      <c r="D115" s="117" t="s">
        <v>299</v>
      </c>
      <c r="E115" s="116" t="s">
        <v>16</v>
      </c>
      <c r="F115" s="115" t="s">
        <v>302</v>
      </c>
      <c r="G115" s="115" t="s">
        <v>303</v>
      </c>
      <c r="H115" s="116"/>
      <c r="AF115" s="116" t="s">
        <v>105</v>
      </c>
      <c r="AG115" s="116" t="s">
        <v>105</v>
      </c>
      <c r="AH115" s="116" t="b">
        <f t="shared" si="19"/>
        <v>1</v>
      </c>
      <c r="AI115" s="116" t="b">
        <f>Table113[[#This Row],[Expected Value]]=Table113[[#This Row],[AI Replaced Text]]</f>
        <v>0</v>
      </c>
    </row>
    <row r="116" spans="1:35" ht="15.75">
      <c r="A116" s="115" t="s">
        <v>295</v>
      </c>
      <c r="B116" s="116"/>
      <c r="C116" s="115" t="s">
        <v>59</v>
      </c>
      <c r="D116" s="117" t="s">
        <v>304</v>
      </c>
      <c r="E116" s="116" t="s">
        <v>16</v>
      </c>
      <c r="F116" s="115" t="s">
        <v>305</v>
      </c>
      <c r="G116" s="115" t="s">
        <v>306</v>
      </c>
      <c r="H116" s="116"/>
      <c r="AF116" s="116" t="s">
        <v>105</v>
      </c>
      <c r="AG116" s="116" t="s">
        <v>105</v>
      </c>
      <c r="AH116" s="116" t="b">
        <f t="shared" si="19"/>
        <v>1</v>
      </c>
      <c r="AI116" s="116" t="b">
        <f>Table113[[#This Row],[Expected Value]]=Table113[[#This Row],[AI Replaced Text]]</f>
        <v>0</v>
      </c>
    </row>
    <row r="117" spans="1:35" ht="15">
      <c r="A117" s="115" t="s">
        <v>147</v>
      </c>
      <c r="B117" s="116"/>
      <c r="C117" s="118" t="s">
        <v>87</v>
      </c>
      <c r="D117" s="116" t="s">
        <v>148</v>
      </c>
      <c r="E117" s="116" t="s">
        <v>16</v>
      </c>
      <c r="F117" s="115"/>
      <c r="G117" s="115"/>
      <c r="H117" s="116"/>
      <c r="AF117" s="116" t="s">
        <v>105</v>
      </c>
      <c r="AG117" s="116"/>
    </row>
    <row r="118" spans="1:35" ht="15.75">
      <c r="A118" s="115" t="s">
        <v>295</v>
      </c>
      <c r="B118" s="116"/>
      <c r="C118" s="115" t="s">
        <v>59</v>
      </c>
      <c r="D118" s="117" t="s">
        <v>304</v>
      </c>
      <c r="E118" s="116" t="s">
        <v>16</v>
      </c>
      <c r="F118" s="115" t="s">
        <v>307</v>
      </c>
      <c r="G118" s="115" t="s">
        <v>308</v>
      </c>
      <c r="H118" s="116"/>
      <c r="AF118" s="116" t="s">
        <v>105</v>
      </c>
      <c r="AG118" s="116" t="s">
        <v>105</v>
      </c>
      <c r="AH118" s="116" t="b">
        <f t="shared" ref="AH118:AH121" si="20">AF118=AG118</f>
        <v>1</v>
      </c>
      <c r="AI118" s="116" t="b">
        <f>Table113[[#This Row],[Expected Value]]=Table113[[#This Row],[AI Replaced Text]]</f>
        <v>0</v>
      </c>
    </row>
    <row r="119" spans="1:35" ht="15.75">
      <c r="A119" s="115" t="s">
        <v>295</v>
      </c>
      <c r="B119" s="116"/>
      <c r="C119" s="115" t="s">
        <v>59</v>
      </c>
      <c r="D119" s="117" t="s">
        <v>299</v>
      </c>
      <c r="E119" s="116" t="s">
        <v>16</v>
      </c>
      <c r="F119" s="115" t="s">
        <v>309</v>
      </c>
      <c r="G119" s="115" t="s">
        <v>310</v>
      </c>
      <c r="H119" s="116"/>
      <c r="AF119" s="116" t="s">
        <v>105</v>
      </c>
      <c r="AG119" s="116" t="s">
        <v>105</v>
      </c>
      <c r="AH119" s="116" t="b">
        <f t="shared" si="20"/>
        <v>1</v>
      </c>
      <c r="AI119" s="116" t="b">
        <f>Table113[[#This Row],[Expected Value]]=Table113[[#This Row],[AI Replaced Text]]</f>
        <v>0</v>
      </c>
    </row>
    <row r="120" spans="1:35" ht="15">
      <c r="A120" s="115" t="s">
        <v>295</v>
      </c>
      <c r="B120" s="116"/>
      <c r="C120" s="115" t="s">
        <v>59</v>
      </c>
      <c r="D120" s="116" t="s">
        <v>296</v>
      </c>
      <c r="E120" s="116" t="s">
        <v>16</v>
      </c>
      <c r="F120" s="115" t="s">
        <v>311</v>
      </c>
      <c r="G120" s="115" t="s">
        <v>312</v>
      </c>
      <c r="H120" s="116"/>
      <c r="AF120" s="116" t="s">
        <v>105</v>
      </c>
      <c r="AG120" s="116" t="s">
        <v>105</v>
      </c>
      <c r="AH120" s="116" t="b">
        <f t="shared" si="20"/>
        <v>1</v>
      </c>
      <c r="AI120" s="116" t="b">
        <f>Table113[[#This Row],[Expected Value]]=Table113[[#This Row],[AI Replaced Text]]</f>
        <v>0</v>
      </c>
    </row>
    <row r="121" spans="1:35" ht="15.75">
      <c r="A121" s="115" t="s">
        <v>295</v>
      </c>
      <c r="B121" s="116"/>
      <c r="C121" s="115" t="s">
        <v>59</v>
      </c>
      <c r="D121" s="117" t="s">
        <v>299</v>
      </c>
      <c r="E121" s="116" t="s">
        <v>16</v>
      </c>
      <c r="F121" s="115" t="s">
        <v>313</v>
      </c>
      <c r="G121" s="115" t="s">
        <v>314</v>
      </c>
      <c r="H121" s="116"/>
      <c r="AF121" s="116" t="s">
        <v>105</v>
      </c>
      <c r="AG121" s="116" t="s">
        <v>105</v>
      </c>
      <c r="AH121" s="116" t="b">
        <f t="shared" si="20"/>
        <v>1</v>
      </c>
      <c r="AI121" s="116" t="b">
        <f>Table113[[#This Row],[Expected Value]]=Table113[[#This Row],[AI Replaced Text]]</f>
        <v>0</v>
      </c>
    </row>
    <row r="122" spans="1:35" ht="15">
      <c r="A122" s="115" t="s">
        <v>315</v>
      </c>
      <c r="B122" s="116"/>
      <c r="C122" s="115" t="s">
        <v>196</v>
      </c>
      <c r="D122" s="116" t="s">
        <v>316</v>
      </c>
      <c r="E122" s="116" t="s">
        <v>16</v>
      </c>
      <c r="F122" s="115" t="s">
        <v>317</v>
      </c>
      <c r="G122" s="115" t="s">
        <v>318</v>
      </c>
      <c r="H122" s="116"/>
      <c r="AF122" s="116" t="s">
        <v>105</v>
      </c>
      <c r="AG122" s="116"/>
    </row>
    <row r="123" spans="1:35" ht="15.75">
      <c r="A123" s="115" t="s">
        <v>319</v>
      </c>
      <c r="B123" s="116"/>
      <c r="C123" s="115" t="s">
        <v>59</v>
      </c>
      <c r="D123" s="117" t="s">
        <v>320</v>
      </c>
      <c r="E123" s="116" t="s">
        <v>16</v>
      </c>
      <c r="F123" s="115" t="s">
        <v>321</v>
      </c>
      <c r="G123" s="115" t="s">
        <v>322</v>
      </c>
      <c r="H123" s="116"/>
      <c r="AF123" s="116" t="s">
        <v>105</v>
      </c>
      <c r="AG123" s="116" t="s">
        <v>105</v>
      </c>
      <c r="AH123" s="116" t="b">
        <f>AF123=AG123</f>
        <v>1</v>
      </c>
      <c r="AI123" s="116" t="b">
        <f>Table113[[#This Row],[Expected Value]]=Table113[[#This Row],[AI Replaced Text]]</f>
        <v>0</v>
      </c>
    </row>
    <row r="124" spans="1:35" ht="15.75">
      <c r="A124" s="115" t="s">
        <v>323</v>
      </c>
      <c r="B124" s="116"/>
      <c r="C124" s="126" t="s">
        <v>196</v>
      </c>
      <c r="D124" s="117" t="s">
        <v>324</v>
      </c>
      <c r="E124" s="116" t="s">
        <v>16</v>
      </c>
      <c r="F124" s="115" t="s">
        <v>325</v>
      </c>
      <c r="G124" s="115" t="s">
        <v>326</v>
      </c>
      <c r="H124" s="116"/>
      <c r="AF124" s="116" t="s">
        <v>105</v>
      </c>
      <c r="AG124" s="116"/>
    </row>
    <row r="125" spans="1:35" ht="15">
      <c r="A125" s="115" t="s">
        <v>327</v>
      </c>
      <c r="B125" s="116"/>
      <c r="C125" s="115" t="s">
        <v>196</v>
      </c>
      <c r="D125" s="116" t="s">
        <v>197</v>
      </c>
      <c r="E125" s="116" t="s">
        <v>16</v>
      </c>
      <c r="F125" s="115" t="s">
        <v>328</v>
      </c>
      <c r="G125" s="115"/>
      <c r="H125" s="116"/>
      <c r="AF125" s="116" t="s">
        <v>105</v>
      </c>
      <c r="AG125" s="116"/>
    </row>
    <row r="126" spans="1:35" ht="15">
      <c r="A126" s="115" t="s">
        <v>329</v>
      </c>
      <c r="B126" s="116"/>
      <c r="C126" s="126" t="s">
        <v>196</v>
      </c>
      <c r="D126" s="116" t="s">
        <v>330</v>
      </c>
      <c r="E126" s="116" t="s">
        <v>16</v>
      </c>
      <c r="F126" s="115" t="s">
        <v>331</v>
      </c>
      <c r="G126" s="115" t="s">
        <v>332</v>
      </c>
      <c r="H126" s="116"/>
      <c r="AF126" s="116" t="s">
        <v>105</v>
      </c>
      <c r="AG126" s="116"/>
    </row>
    <row r="127" spans="1:35" ht="15">
      <c r="A127" s="115" t="s">
        <v>333</v>
      </c>
      <c r="B127" s="116"/>
      <c r="C127" s="126" t="s">
        <v>196</v>
      </c>
      <c r="D127" s="116" t="s">
        <v>334</v>
      </c>
      <c r="E127" s="116" t="s">
        <v>16</v>
      </c>
      <c r="F127" s="115" t="s">
        <v>335</v>
      </c>
      <c r="G127" s="115" t="s">
        <v>336</v>
      </c>
      <c r="H127" s="116"/>
      <c r="AF127" s="116" t="s">
        <v>105</v>
      </c>
      <c r="AG127" s="116"/>
    </row>
    <row r="128" spans="1:35" ht="15.75">
      <c r="A128" s="115" t="s">
        <v>337</v>
      </c>
      <c r="B128" s="116"/>
      <c r="C128" s="115" t="s">
        <v>59</v>
      </c>
      <c r="D128" s="117" t="s">
        <v>338</v>
      </c>
      <c r="E128" s="116" t="s">
        <v>16</v>
      </c>
      <c r="F128" s="115" t="s">
        <v>339</v>
      </c>
      <c r="G128" s="115" t="s">
        <v>199</v>
      </c>
      <c r="H128" s="116"/>
      <c r="AF128" s="116" t="s">
        <v>105</v>
      </c>
      <c r="AG128" s="116" t="s">
        <v>123</v>
      </c>
      <c r="AH128" s="116" t="b">
        <f>AF128=AG128</f>
        <v>0</v>
      </c>
      <c r="AI128" s="116" t="b">
        <f>Table113[[#This Row],[Expected Value]]=Table113[[#This Row],[AI Replaced Text]]</f>
        <v>0</v>
      </c>
    </row>
    <row r="129" spans="1:8" ht="15.75">
      <c r="A129" s="115" t="s">
        <v>340</v>
      </c>
      <c r="B129" s="116"/>
      <c r="C129" s="115" t="s">
        <v>87</v>
      </c>
      <c r="D129" s="117" t="s">
        <v>341</v>
      </c>
      <c r="E129" s="116" t="s">
        <v>16</v>
      </c>
      <c r="F129" s="115" t="s">
        <v>342</v>
      </c>
      <c r="G129" s="115" t="s">
        <v>343</v>
      </c>
      <c r="H129" s="116"/>
    </row>
    <row r="130" spans="1:8" ht="15">
      <c r="A130" s="115" t="s">
        <v>344</v>
      </c>
      <c r="B130" s="116"/>
      <c r="C130" s="115"/>
      <c r="D130" s="116"/>
      <c r="E130" s="116" t="s">
        <v>16</v>
      </c>
      <c r="F130" s="115" t="s">
        <v>345</v>
      </c>
      <c r="G130" s="115"/>
      <c r="H130" s="116"/>
    </row>
    <row r="131" spans="1:8" ht="14.25">
      <c r="A131" s="116"/>
      <c r="B131" s="116"/>
      <c r="C131" s="116"/>
      <c r="D131" s="116"/>
      <c r="E131" s="116"/>
      <c r="F131" s="116"/>
      <c r="G131" s="116"/>
      <c r="H131" s="116"/>
    </row>
  </sheetData>
  <mergeCells count="2">
    <mergeCell ref="R1:X1"/>
    <mergeCell ref="AF1:AI1"/>
  </mergeCells>
  <dataValidations count="1">
    <dataValidation type="list" allowBlank="1" showInputMessage="1" showErrorMessage="1" sqref="E3:E130" xr:uid="{684914E7-E909-4D34-8F6C-7DD6EFE33C24}">
      <formula1>"Protocol Example (28Sep2023) 1"</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29DC4F96-889B-44A9-A119-CF8245EFD8EB}">
          <x14:formula1>
            <xm:f>Summary!$D$12:$L$12</xm:f>
          </x14:formula1>
          <xm:sqref>E132:E1048576 E1:E2 H1:H2 H132:H1048576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49D00-E2A1-4C08-B86C-B008B1E241B8}">
  <dimension ref="A2:K27"/>
  <sheetViews>
    <sheetView topLeftCell="A52" workbookViewId="0">
      <selection activeCell="E4" sqref="E4"/>
    </sheetView>
  </sheetViews>
  <sheetFormatPr defaultRowHeight="14.25"/>
  <cols>
    <col min="1" max="1" width="51.625" style="74" bestFit="1" customWidth="1"/>
    <col min="2" max="3" width="9" style="74"/>
    <col min="4" max="4" width="20.375" style="74" customWidth="1"/>
    <col min="5" max="5" width="31.5" style="74" bestFit="1" customWidth="1"/>
    <col min="6" max="6" width="18.25" style="74" customWidth="1"/>
    <col min="7" max="7" width="20.875" style="74" customWidth="1"/>
    <col min="8" max="8" width="31.5" style="74" bestFit="1" customWidth="1"/>
    <col min="9" max="9" width="21.125" style="74" customWidth="1"/>
    <col min="10" max="10" width="9" style="74"/>
    <col min="11" max="11" width="14" style="74" bestFit="1" customWidth="1"/>
    <col min="12" max="16384" width="9" style="74"/>
  </cols>
  <sheetData>
    <row r="2" spans="1:11" ht="15">
      <c r="A2" s="99" t="s">
        <v>60</v>
      </c>
      <c r="B2" s="99"/>
      <c r="C2" s="99" t="s">
        <v>61</v>
      </c>
      <c r="D2" s="99" t="s">
        <v>62</v>
      </c>
      <c r="E2" s="100" t="s">
        <v>63</v>
      </c>
      <c r="F2" s="99" t="s">
        <v>64</v>
      </c>
      <c r="G2" s="99" t="s">
        <v>65</v>
      </c>
      <c r="H2" s="100" t="s">
        <v>66</v>
      </c>
      <c r="I2" s="100" t="s">
        <v>67</v>
      </c>
      <c r="J2" s="100" t="s">
        <v>68</v>
      </c>
      <c r="K2" s="100" t="s">
        <v>69</v>
      </c>
    </row>
    <row r="3" spans="1:11">
      <c r="A3" s="74" t="e" cm="1" vm="92">
        <f t="array" ref="A3">_xlfn._xlws.FILTER(QA!A3:K500, QA!C3:C500="Inline")</f>
        <v>#VALUE!</v>
      </c>
      <c r="J3" s="70"/>
    </row>
    <row r="4" spans="1:11">
      <c r="J4" s="70"/>
    </row>
    <row r="5" spans="1:11">
      <c r="J5" s="70"/>
    </row>
    <row r="6" spans="1:11">
      <c r="J6" s="70"/>
    </row>
    <row r="7" spans="1:11">
      <c r="J7" s="70"/>
    </row>
    <row r="8" spans="1:11">
      <c r="J8" s="70"/>
    </row>
    <row r="9" spans="1:11">
      <c r="J9" s="70"/>
    </row>
    <row r="10" spans="1:11">
      <c r="J10" s="70"/>
    </row>
    <row r="11" spans="1:11">
      <c r="J11" s="70"/>
    </row>
    <row r="12" spans="1:11">
      <c r="J12" s="70"/>
    </row>
    <row r="13" spans="1:11">
      <c r="J13" s="70"/>
    </row>
    <row r="14" spans="1:11">
      <c r="J14" s="70"/>
    </row>
    <row r="15" spans="1:11">
      <c r="J15" s="70"/>
    </row>
    <row r="16" spans="1:11">
      <c r="J16" s="70"/>
    </row>
    <row r="17" spans="10:10">
      <c r="J17" s="70"/>
    </row>
    <row r="18" spans="10:10">
      <c r="J18" s="70"/>
    </row>
    <row r="19" spans="10:10">
      <c r="J19" s="70"/>
    </row>
    <row r="20" spans="10:10">
      <c r="J20" s="70"/>
    </row>
    <row r="21" spans="10:10">
      <c r="J21" s="70"/>
    </row>
    <row r="22" spans="10:10">
      <c r="J22" s="70"/>
    </row>
    <row r="23" spans="10:10">
      <c r="J23" s="70"/>
    </row>
    <row r="24" spans="10:10">
      <c r="J24" s="70"/>
    </row>
    <row r="25" spans="10:10">
      <c r="J25" s="70"/>
    </row>
    <row r="26" spans="10:10">
      <c r="J26" s="70"/>
    </row>
    <row r="27" spans="10:10">
      <c r="J27" s="70"/>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A7B2B84-5330-476F-8ABD-008A7462446D}">
          <x14:formula1>
            <xm:f>Summary!$D$12:$L$12</xm:f>
          </x14:formula1>
          <xm:sqref>E2 H2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771F3-20B6-4F5A-B178-F8AA31FB508D}">
  <dimension ref="A2:K47"/>
  <sheetViews>
    <sheetView topLeftCell="A24" workbookViewId="0">
      <selection activeCell="A50" sqref="A50"/>
    </sheetView>
  </sheetViews>
  <sheetFormatPr defaultRowHeight="14.25"/>
  <cols>
    <col min="1" max="1" width="51.625" style="83" bestFit="1" customWidth="1"/>
    <col min="2" max="3" width="9" style="83"/>
    <col min="4" max="4" width="20.375" style="83" customWidth="1"/>
    <col min="5" max="5" width="31.5" style="83" bestFit="1" customWidth="1"/>
    <col min="6" max="6" width="18.25" style="83" customWidth="1"/>
    <col min="7" max="7" width="20.875" style="83" customWidth="1"/>
    <col min="8" max="8" width="31.5" style="83" bestFit="1" customWidth="1"/>
    <col min="9" max="9" width="21.125" style="83" customWidth="1"/>
    <col min="10" max="10" width="9" style="83"/>
    <col min="11" max="11" width="14" style="83" bestFit="1" customWidth="1"/>
    <col min="12" max="16384" width="9" style="83"/>
  </cols>
  <sheetData>
    <row r="2" spans="1:11" ht="15">
      <c r="A2" s="84" t="s">
        <v>60</v>
      </c>
      <c r="B2" s="84"/>
      <c r="C2" s="84" t="s">
        <v>61</v>
      </c>
      <c r="D2" s="84" t="s">
        <v>62</v>
      </c>
      <c r="E2" s="85" t="s">
        <v>63</v>
      </c>
      <c r="F2" s="84" t="s">
        <v>64</v>
      </c>
      <c r="G2" s="84" t="s">
        <v>65</v>
      </c>
      <c r="H2" s="85" t="s">
        <v>66</v>
      </c>
      <c r="I2" s="85" t="s">
        <v>67</v>
      </c>
      <c r="J2" s="85" t="s">
        <v>68</v>
      </c>
      <c r="K2" s="85" t="s">
        <v>69</v>
      </c>
    </row>
    <row r="3" spans="1:11">
      <c r="A3" s="83" t="str" cm="1">
        <f t="array" ref="A3:K47">_xlfn._xlws.FILTER(QA!A3:K500, QA!C3:C500="Paragraph")</f>
        <v>&lt;Full protocol title&gt;</v>
      </c>
      <c r="B3" s="83">
        <v>0</v>
      </c>
      <c r="C3" s="83" t="str">
        <v>Paragraph</v>
      </c>
      <c r="D3" s="83" t="str">
        <v>A First-In-Human, Phase 1, Randomized, Double-Blind, Placebo-Controlled Study to Evaluate the Safety, Tolerability, and Pharmacokinetics of ABC-123 as a Single Dose in Healthy Participants and as Multiple Doses in Participants with Grade 2 Boneitis</v>
      </c>
      <c r="E3" s="83" t="str">
        <v>Protocol Example (28Sep2023) 1</v>
      </c>
      <c r="F3" s="83" t="str">
        <v>Insert the full protocol title verbatim, maintaining inline continuity.</v>
      </c>
      <c r="G3" s="83" t="str">
        <v>A First-In-Human, Phase 1, Randomized, Double-Blind, Placebo-Controlled Study to Evaluate the Safety, Tolerability, and Pharmacokinetics of ABC-123 as a Single Dose in Healthy Participants and as Multiple Doses in Participants with Grade 2 Boneitis</v>
      </c>
      <c r="H3" s="83">
        <v>0</v>
      </c>
      <c r="I3" s="83" t="e" vm="7">
        <v>#VALUE!</v>
      </c>
      <c r="J3" s="83">
        <v>0.61</v>
      </c>
      <c r="K3" s="83">
        <v>0</v>
      </c>
    </row>
    <row r="4" spans="1:11">
      <c r="A4" s="83" t="str">
        <v>&lt;brief lay description of disease&gt;</v>
      </c>
      <c r="B4" s="83">
        <v>0</v>
      </c>
      <c r="C4" s="83" t="str">
        <v>Paragraph</v>
      </c>
      <c r="D4" s="83" t="str">
        <v>ABC-123 is intended for use in patients with boneitis, a disease that causes bones to change shape or disappear.</v>
      </c>
      <c r="E4" s="83" t="str">
        <v>Protocol Example (28Sep2023) 1</v>
      </c>
      <c r="F4" s="83" t="str">
        <v>Provide a brief, clear lay description of boneitis to fit seamlessly within the sentence.</v>
      </c>
      <c r="G4" s="83" t="str">
        <v>a disease that causes bones to change shape or disappear</v>
      </c>
      <c r="H4" s="83">
        <v>0</v>
      </c>
      <c r="I4" s="83" t="e" vm="13">
        <v>#VALUE!</v>
      </c>
      <c r="J4" s="83">
        <v>0.79</v>
      </c>
      <c r="K4" s="83">
        <v>0</v>
      </c>
    </row>
    <row r="5" spans="1:11">
      <c r="A5" s="83" t="str">
        <v>&lt;type of study (eg, first-in-human, Phase 1, Phase 2)&gt;</v>
      </c>
      <c r="B5" s="83">
        <v>0</v>
      </c>
      <c r="C5" s="83" t="str">
        <v>Paragraph</v>
      </c>
      <c r="D5"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5" s="83" t="str">
        <v>Protocol Example (28Sep2023) 1</v>
      </c>
      <c r="F5" s="83" t="str">
        <v>Provide the study type in concise, inline format (e.g., first-in-human, Phase 1) to maintain paragraph continuity.</v>
      </c>
      <c r="G5" s="83" t="str">
        <v>first-in-human, Phase 1</v>
      </c>
      <c r="H5" s="83">
        <v>0</v>
      </c>
      <c r="I5" s="83" t="e" vm="15">
        <v>#VALUE!</v>
      </c>
      <c r="J5" s="83">
        <v>0</v>
      </c>
      <c r="K5" s="83">
        <v>0</v>
      </c>
    </row>
    <row r="6" spans="1:11">
      <c r="A6" s="83" t="str">
        <v>&lt;lay terminology for SAD portion of study&gt;</v>
      </c>
      <c r="B6" s="83">
        <v>0</v>
      </c>
      <c r="C6" s="83" t="str">
        <v>Paragraph</v>
      </c>
      <c r="D6" s="83" t="str">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c>
      <c r="E6" s="83" t="str">
        <v>Protocol Example (28Sep2023) 1</v>
      </c>
      <c r="F6" s="83" t="str">
        <v>Provide a concise lay term for the SAD portion of the study, matching the flow for an inline reference.</v>
      </c>
      <c r="G6" s="83" t="str">
        <v>the single-dose part of the study</v>
      </c>
      <c r="H6" s="83">
        <v>0</v>
      </c>
      <c r="I6" s="83" t="e" vm="21">
        <v>#VALUE!</v>
      </c>
      <c r="J6" s="83">
        <v>0</v>
      </c>
      <c r="K6" s="83">
        <v>0</v>
      </c>
    </row>
    <row r="7" spans="1:11">
      <c r="A7" s="83" t="str">
        <v>&lt;lay terminology for repeat-dose portion of study&gt;</v>
      </c>
      <c r="B7" s="83">
        <v>0</v>
      </c>
      <c r="C7" s="83" t="str">
        <v>Paragraph</v>
      </c>
      <c r="D7"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7" s="83" t="str">
        <v>Protocol Example (28Sep2023) 1</v>
      </c>
      <c r="F7" s="83">
        <v>0</v>
      </c>
      <c r="G7" s="83">
        <v>0</v>
      </c>
      <c r="H7" s="83">
        <v>0</v>
      </c>
      <c r="I7" s="83" t="e" vm="5">
        <v>#VALUE!</v>
      </c>
      <c r="J7" s="83">
        <v>0</v>
      </c>
      <c r="K7" s="83">
        <v>0</v>
      </c>
    </row>
    <row r="8" spans="1:11">
      <c r="A8" s="83" t="str">
        <v>&lt;lay terminology for dosing regimen/duration&gt;</v>
      </c>
      <c r="B8" s="83">
        <v>0</v>
      </c>
      <c r="C8" s="83" t="str">
        <v>Paragraph</v>
      </c>
      <c r="D8" s="83" t="str">
        <v>Following Check-out from the CRU, all participants will return for Follow-up study visits up to 6 weeks post dosing in the first 3 cohorts and 10 weeks post dosing in the remaining cohorts as shown in the Schedule of Assessments</v>
      </c>
      <c r="E8" s="83" t="str">
        <v>Protocol Example (28Sep2023) 1</v>
      </c>
      <c r="F8" s="83" t="str">
        <v>Rewrite the dosing regimen and duration in clear lay terms suitable for an informed consent document.</v>
      </c>
      <c r="G8" s="83" t="str">
        <v>every other week for 3 doses over up to 6 weeks</v>
      </c>
      <c r="H8" s="83">
        <v>0</v>
      </c>
      <c r="I8" s="83" t="e" vm="29">
        <v>#VALUE!</v>
      </c>
      <c r="J8" s="83">
        <v>0</v>
      </c>
      <c r="K8" s="83">
        <v>0</v>
      </c>
    </row>
    <row r="9" spans="1:11">
      <c r="A9" s="83" t="str">
        <v>&lt;brief lay description of disease&gt;</v>
      </c>
      <c r="B9" s="83">
        <v>0</v>
      </c>
      <c r="C9" s="83" t="str">
        <v>Paragraph</v>
      </c>
      <c r="D9" s="83" t="str">
        <v>ABC-123 is intended for use in patients with boneitis, a disease that causes bones to change shape or disappear.</v>
      </c>
      <c r="E9" s="83" t="str">
        <v>Protocol Example (28Sep2023) 1</v>
      </c>
      <c r="F9" s="83" t="str">
        <v>Provide a brief, clear lay description of boneitis to fit seamlessly within the sentence.</v>
      </c>
      <c r="G9" s="83" t="str">
        <v>a disease that causes bones to change shape or disappear</v>
      </c>
      <c r="H9" s="83">
        <v>0</v>
      </c>
      <c r="I9" s="83" t="e" vm="13">
        <v>#VALUE!</v>
      </c>
      <c r="J9" s="83">
        <v>0.79</v>
      </c>
      <c r="K9" s="83">
        <v>0</v>
      </c>
    </row>
    <row r="10" spans="1:11">
      <c r="A10" s="83" t="str">
        <v>&lt;lay terminology for SAD portion of study&gt;</v>
      </c>
      <c r="B10" s="83">
        <v>0</v>
      </c>
      <c r="C10" s="83" t="str">
        <v>Paragraph</v>
      </c>
      <c r="D10" s="83" t="str">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c>
      <c r="E10" s="83" t="str">
        <v>Protocol Example (28Sep2023) 1</v>
      </c>
      <c r="F10" s="83" t="str">
        <v>Provide a concise lay term for the SAD portion of the study, matching the flow for an inline reference.</v>
      </c>
      <c r="G10" s="83" t="str">
        <v>the single-dose part of the study</v>
      </c>
      <c r="H10" s="83">
        <v>0</v>
      </c>
      <c r="I10" s="83" t="e" vm="21">
        <v>#VALUE!</v>
      </c>
      <c r="J10" s="83">
        <v>0</v>
      </c>
      <c r="K10" s="83">
        <v>0</v>
      </c>
    </row>
    <row r="11" spans="1:11">
      <c r="A11" s="83" t="str">
        <v>&lt;lay terminology summarizing design and enrollment plan for Cohort 1 with sentinel participants&gt;</v>
      </c>
      <c r="B11" s="83">
        <v>0</v>
      </c>
      <c r="C11" s="83" t="str">
        <v>Paragraph</v>
      </c>
      <c r="D11" s="83" t="str">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v>
      </c>
      <c r="E11" s="83" t="str">
        <v>Protocol Example (28Sep2023) 1</v>
      </c>
      <c r="F11" s="83" t="str">
        <v>Summarize the design and enrollment plan for Cohort 1, explaining sentinel dosing in lay language.</v>
      </c>
      <c r="G11" s="83" t="str">
        <v>The first group (Cohort 1) will include 8 participants, with 2 participants (called sentinels) receiving the study drug or placebo first to monitor safety. If no safety concerns are found after 48 hours, the remaining participants in the group will receive their doses.</v>
      </c>
      <c r="H11" s="83">
        <v>0</v>
      </c>
      <c r="I11" s="83" t="e" vm="39">
        <v>#VALUE!</v>
      </c>
      <c r="J11" s="83">
        <v>0</v>
      </c>
      <c r="K11" s="83">
        <v>0</v>
      </c>
    </row>
    <row r="12" spans="1:11">
      <c r="A12" s="83" t="str">
        <v>&lt;lay terminology for repeat-dose portion of study&gt;</v>
      </c>
      <c r="B12" s="83">
        <v>0</v>
      </c>
      <c r="C12" s="83" t="str">
        <v>Paragraph</v>
      </c>
      <c r="D12"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12" s="83" t="str">
        <v>Protocol Example (28Sep2023) 1</v>
      </c>
      <c r="F12" s="83">
        <v>0</v>
      </c>
      <c r="G12" s="83">
        <v>0</v>
      </c>
      <c r="H12" s="83">
        <v>0</v>
      </c>
      <c r="I12" s="83" t="e" vm="5">
        <v>#VALUE!</v>
      </c>
      <c r="J12" s="83">
        <v>0</v>
      </c>
      <c r="K12" s="83">
        <v>0</v>
      </c>
    </row>
    <row r="13" spans="1:11">
      <c r="A13" s="83" t="str">
        <v>&lt;lay terminology for dosing regimen/duration&gt;</v>
      </c>
      <c r="B13" s="83">
        <v>0</v>
      </c>
      <c r="C13" s="83" t="str">
        <v>Paragraph</v>
      </c>
      <c r="D13" s="83" t="str">
        <v>Following Check-out from the CRU, all participants will return for Follow-up study visits up to 6 weeks post dosing in the first 3 cohorts and 10 weeks post dosing in the remaining cohorts as shown in the Schedule of Assessments</v>
      </c>
      <c r="E13" s="83" t="str">
        <v>Protocol Example (28Sep2023) 1</v>
      </c>
      <c r="F13" s="83" t="str">
        <v>Rewrite the dosing regimen and duration in clear lay terms suitable for an informed consent document.</v>
      </c>
      <c r="G13" s="83" t="str">
        <v>every other week for 3 doses over up to 6 weeks</v>
      </c>
      <c r="H13" s="83">
        <v>0</v>
      </c>
      <c r="I13" s="83" t="e" vm="29">
        <v>#VALUE!</v>
      </c>
      <c r="J13" s="83">
        <v>0</v>
      </c>
      <c r="K13" s="83">
        <v>0</v>
      </c>
    </row>
    <row r="14" spans="1:11">
      <c r="A14" s="83" t="str">
        <v>&lt;lay terminology for choice of dose for repeat-dose portion of study based on data from SAD portion of study&gt;</v>
      </c>
      <c r="B14" s="83">
        <v>0</v>
      </c>
      <c r="C14" s="83" t="str">
        <v>Paragraph</v>
      </c>
      <c r="D14" s="83" t="str">
        <v xml:space="preserve">The repeat-dose portion of the study is a double-blind, randomized, placebo-controlled design in 1 cohort of participants with boneitis. 
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 </v>
      </c>
      <c r="E14" s="83" t="str">
        <v>Protocol Example (28Sep2023) 1</v>
      </c>
      <c r="F14" s="83" t="str">
        <v>Provide a lay summary explaining that the repeat-dose regimen is chosen based on safety, tolerability, and PK data from the SAD portion.</v>
      </c>
      <c r="G14" s="83" t="str">
        <v>was selected based on safety, tolerability, and PK data from the single ascending dose (SAD) portion of the study</v>
      </c>
      <c r="H14" s="83">
        <v>0</v>
      </c>
      <c r="I14" s="83" t="e" vm="45">
        <v>#VALUE!</v>
      </c>
      <c r="J14" s="83">
        <v>0</v>
      </c>
      <c r="K14" s="83">
        <v>0</v>
      </c>
    </row>
    <row r="15" spans="1:11">
      <c r="A15" s="83" t="str">
        <v>&lt;lay terminology for SAD portion of study&gt;</v>
      </c>
      <c r="B15" s="83">
        <v>0</v>
      </c>
      <c r="C15" s="83" t="str">
        <v>Paragraph</v>
      </c>
      <c r="D15" s="83" t="str">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c>
      <c r="E15" s="83" t="str">
        <v>Protocol Example (28Sep2023) 1</v>
      </c>
      <c r="F15" s="83" t="str">
        <v>Provide a concise lay term for the SAD portion of the study, matching the flow for an inline reference.</v>
      </c>
      <c r="G15" s="83" t="str">
        <v>the single-dose part of the study</v>
      </c>
      <c r="H15" s="83">
        <v>0</v>
      </c>
      <c r="I15" s="83" t="e" vm="21">
        <v>#VALUE!</v>
      </c>
      <c r="J15" s="83">
        <v>0</v>
      </c>
      <c r="K15" s="83">
        <v>0</v>
      </c>
    </row>
    <row r="16" spans="1:11">
      <c r="A16" s="83" t="str">
        <v>&lt;lay terminology for SAD portion of study&gt;</v>
      </c>
      <c r="B16" s="83">
        <v>0</v>
      </c>
      <c r="C16" s="83" t="str">
        <v>Paragraph</v>
      </c>
      <c r="D16" s="83" t="str">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c>
      <c r="E16" s="83" t="str">
        <v>Protocol Example (28Sep2023) 1</v>
      </c>
      <c r="F16" s="83" t="str">
        <v>Provide a concise lay term for the SAD portion of the study, matching the flow for an inline reference.</v>
      </c>
      <c r="G16" s="83" t="str">
        <v>the single-dose part of the study</v>
      </c>
      <c r="H16" s="83">
        <v>0</v>
      </c>
      <c r="I16" s="83" t="e" vm="21">
        <v>#VALUE!</v>
      </c>
      <c r="J16" s="83">
        <v>0</v>
      </c>
      <c r="K16" s="83">
        <v>0</v>
      </c>
    </row>
    <row r="17" spans="1:11">
      <c r="A17" s="83" t="str">
        <v>&lt;lay summary of duration on study including details/time for screening, screeningthe clinic, follow-up periods&gt;</v>
      </c>
      <c r="B17" s="83">
        <v>0</v>
      </c>
      <c r="C17" s="83" t="str">
        <v>Paragraph</v>
      </c>
      <c r="D17" s="83" t="str">
        <v xml:space="preserve">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 </v>
      </c>
      <c r="E17" s="83" t="str">
        <v>Protocol Example (28Sep2023) 1</v>
      </c>
      <c r="F17" s="83" t="str">
        <v>Write a lay summary of the study schedule for these cohorts, including screening period, dosing regimen, and total study duration.</v>
      </c>
      <c r="G17" s="83" t="str">
        <v>up to 5 weeks for screening, followed by repeat dosing every other week for 3 doses, and up to 15 weeks total from Screening to Follow-up</v>
      </c>
      <c r="H17" s="83">
        <v>0</v>
      </c>
      <c r="I17" s="83" t="e" vm="50">
        <v>#VALUE!</v>
      </c>
      <c r="J17" s="83">
        <v>0</v>
      </c>
      <c r="K17" s="83">
        <v>0</v>
      </c>
    </row>
    <row r="18" spans="1:11">
      <c r="A18" s="83" t="str">
        <v>&lt;lay summary of duration on study including details/time for screening, time in the clinic, follow-up periods&gt;</v>
      </c>
      <c r="B18" s="83">
        <v>0</v>
      </c>
      <c r="C18" s="83" t="str">
        <v>Paragraph</v>
      </c>
      <c r="D18" s="83" t="str">
        <v xml:space="preserve">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 </v>
      </c>
      <c r="E18" s="83" t="str">
        <v>Protocol Example (28Sep2023) 1</v>
      </c>
      <c r="F18" s="83" t="str">
        <v>Write a lay summary of the study schedule for these cohorts, including screening period, dosing regimen, and total study duration.</v>
      </c>
      <c r="G18" s="83" t="str">
        <v>up to 5 weeks for screening, followed by repeat dosing every other week for 3 doses, and up to 15 weeks total from Screening to Follow-up</v>
      </c>
      <c r="H18" s="83">
        <v>0</v>
      </c>
      <c r="I18" s="83" t="e" vm="50">
        <v>#VALUE!</v>
      </c>
      <c r="J18" s="83">
        <v>0</v>
      </c>
      <c r="K18" s="83">
        <v>0</v>
      </c>
    </row>
    <row r="19" spans="1:11">
      <c r="A19" s="83" t="str">
        <v>&lt;lay terminology for repeat-dose portion of study&gt;</v>
      </c>
      <c r="B19" s="83">
        <v>0</v>
      </c>
      <c r="C19" s="83" t="str">
        <v>Paragraph</v>
      </c>
      <c r="D19"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19" s="83" t="str">
        <v>Protocol Example (28Sep2023) 1</v>
      </c>
      <c r="F19" s="83">
        <v>0</v>
      </c>
      <c r="G19" s="83">
        <v>0</v>
      </c>
      <c r="H19" s="83">
        <v>0</v>
      </c>
      <c r="I19" s="83" t="e" vm="5">
        <v>#VALUE!</v>
      </c>
      <c r="J19" s="83">
        <v>0</v>
      </c>
      <c r="K19" s="83">
        <v>0</v>
      </c>
    </row>
    <row r="20" spans="1:11">
      <c r="A20" s="83" t="str">
        <v>&lt;lay terminology for repeat-dose portion of study&gt;</v>
      </c>
      <c r="B20" s="83">
        <v>0</v>
      </c>
      <c r="C20" s="83" t="str">
        <v>Paragraph</v>
      </c>
      <c r="D20"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20" s="83" t="str">
        <v>Protocol Example (28Sep2023) 1</v>
      </c>
      <c r="F20" s="83">
        <v>0</v>
      </c>
      <c r="G20" s="83">
        <v>0</v>
      </c>
      <c r="H20" s="83">
        <v>0</v>
      </c>
      <c r="I20" s="83" t="e" vm="5">
        <v>#VALUE!</v>
      </c>
      <c r="J20" s="83">
        <v>0</v>
      </c>
      <c r="K20" s="83">
        <v>0</v>
      </c>
    </row>
    <row r="21" spans="1:11">
      <c r="A21" s="83" t="str">
        <v>&lt;lay summary of duration on study including details/ time for screening, time in the clinic, follow-up periods&gt;</v>
      </c>
      <c r="B21" s="83">
        <v>0</v>
      </c>
      <c r="C21" s="83" t="str">
        <v>Paragraph</v>
      </c>
      <c r="D21" s="83" t="str">
        <v xml:space="preserve">The SAD portion of the study is double-blind, randomized, placebo-controlled, single ascending dose design in up to 6 cohorts of healthy participants. 
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Blood samples for PK and blood and urine samples for biomarkers are planned to be collected prior to dosing and at specific post-dose time points per the SoA. Timing of the blood sample collection for PK may change based on availability of new data from completed study cohorts. 
Safety measurements, including 12-lead ECG; vital sign monitoring including blood pressure, pulse rate, respiratory rate, and body temperature; clinical laboratory tests (chemistry, hematology, lipid profile, cytokine assessments); physical examinations; mental health assessment; and other metrics, will be obtained at specific time points per the SoA. Adverse events and concomitant medication use will be monitored throughout the study. 
The study Investigator and Medical Monitor will monitor the safety of participants in a blinded fashion throughout the study on an ongoing basis to determine whether to continue dosing, whether to escalate dose, and whether to initiate dosing in various cohorts. The allocation of participants to various cohorts may be adjusted based on the ongoing data review. 
Dose escalation to the next cohort (ie, dose level) will not take place until the Sponsor, in conjunction with the Principal Investigator, has determined that adequate safety, tolerability, and PK (if available) from the previous cohort have been demonstrated to permit proceeding to the next cohort. </v>
      </c>
      <c r="E21" s="83" t="str">
        <v>Protocol Example (28Sep2023) 1</v>
      </c>
      <c r="F21" s="83" t="str">
        <v>Summarize the total study duration, specifying the time for screening, dosing, and follow-up in a concise lay format.</v>
      </c>
      <c r="G21" s="83" t="str">
        <v>up to 15 weeks, including up to 5 weeks for Screening, dosing every other week for 3 doses, and a Follow-up period</v>
      </c>
      <c r="H21" s="83">
        <v>0</v>
      </c>
      <c r="I21" s="83" t="e" vm="54">
        <v>#VALUE!</v>
      </c>
      <c r="J21" s="83">
        <v>0</v>
      </c>
      <c r="K21" s="83">
        <v>0</v>
      </c>
    </row>
    <row r="22" spans="1:11">
      <c r="A22" s="83" t="str">
        <v>&lt;lay terminology for SAD portion of study&gt;</v>
      </c>
      <c r="B22" s="83">
        <v>0</v>
      </c>
      <c r="C22" s="83" t="str">
        <v>Paragraph</v>
      </c>
      <c r="D22" s="83" t="str">
        <v>All screening tests establishing eligibility will be performed following informed consent and within 35 days prior to study intervention administration. Participants will reside at the CRU from Day 2 to Day 5 and Day 28 to Day 33 and will receive SC 150 mg ABC-123 (6 participants) or placebo (2 participants) every other week for 3 doses. The actual dose and regimen selected for this part of the study will be based on the safety, tolerability, and PK of ABC-123 as determined during the ongoing SAD component of the study. To account for anticipated accumulation, the dose selected for the repeat-dose cohort will not exceed 50% of a dose that has previously been shown to be safe and well tolerated in the single-dose cohort. Sentinel dosing is not required during this part of the study. Participants must not have been enrolled in the SAD component.</v>
      </c>
      <c r="E22" s="83" t="str">
        <v>Protocol Example (28Sep2023) 1</v>
      </c>
      <c r="F22" s="83" t="str">
        <v>Provide a concise lay term for the SAD portion of the study, matching the flow for an inline reference.</v>
      </c>
      <c r="G22" s="83" t="str">
        <v>the single-dose part of the study</v>
      </c>
      <c r="H22" s="83">
        <v>0</v>
      </c>
      <c r="I22" s="83" t="e" vm="21">
        <v>#VALUE!</v>
      </c>
      <c r="J22" s="83">
        <v>0</v>
      </c>
      <c r="K22" s="83">
        <v>0</v>
      </c>
    </row>
    <row r="23" spans="1:11">
      <c r="A23" s="83" t="str">
        <v>&lt;Bullet list of lay terminology of all assessments required during Check-in/Day1&gt;</v>
      </c>
      <c r="B23" s="83">
        <v>0</v>
      </c>
      <c r="C23" s="83" t="str">
        <v>Paragraph</v>
      </c>
      <c r="D23" s="83" t="str">
        <v>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 </v>
      </c>
      <c r="E23" s="83" t="str">
        <v>Protocol Example (28Sep2023) 1</v>
      </c>
      <c r="F23" s="83" t="str">
        <v>List all assessments required during Check-in/Day 1 using lay terminology as a concise bullet or inline list.</v>
      </c>
      <c r="G23" s="83" t="str">
        <v>Blood pressure, pulse rate, respiratory rate, body temperature, blood tests, heart monitoring (ECG), physical examination, and mental health assessment.</v>
      </c>
      <c r="H23" s="83">
        <v>0</v>
      </c>
      <c r="I23" s="83" t="e" vm="62">
        <v>#VALUE!</v>
      </c>
      <c r="J23" s="83">
        <v>0</v>
      </c>
      <c r="K23" s="83">
        <v>0</v>
      </c>
    </row>
    <row r="24" spans="1:11">
      <c r="A24" s="83" t="str">
        <v>&lt;lay terminology for repeat-dose portion of study&gt;</v>
      </c>
      <c r="B24" s="83">
        <v>0</v>
      </c>
      <c r="C24" s="83" t="str">
        <v>Paragraph</v>
      </c>
      <c r="D24"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24" s="83" t="str">
        <v>Protocol Example (28Sep2023) 1</v>
      </c>
      <c r="F24" s="83">
        <v>0</v>
      </c>
      <c r="G24" s="83">
        <v>0</v>
      </c>
      <c r="H24" s="83">
        <v>0</v>
      </c>
      <c r="I24" s="83" t="e" vm="5">
        <v>#VALUE!</v>
      </c>
      <c r="J24" s="83">
        <v>0</v>
      </c>
      <c r="K24" s="83">
        <v>0</v>
      </c>
    </row>
    <row r="25" spans="1:11">
      <c r="A25" s="83" t="str">
        <v>&lt;Bullet list of lay terminology of all assessments required during first Check-in/Day1&gt;</v>
      </c>
      <c r="B25" s="83">
        <v>0</v>
      </c>
      <c r="C25" s="83" t="str">
        <v>Paragraph</v>
      </c>
      <c r="D25" s="83" t="str">
        <v>Participants should avoid strenuous activity within 24 hours prior to Check-in and subsequent return visits. Participants may engage in light recreational activities during the study (eg, watching television, reading). Study participants in the repeat-dose cohort may continue their usual exercise/activity regimen but should not increase intensity during the study. </v>
      </c>
      <c r="E25" s="83" t="str">
        <v>Protocol Example (28Sep2023) 1</v>
      </c>
      <c r="F25" s="83" t="str">
        <v>List all assessments required during the first Check-in/Day 1 in simple, lay language as a concise inline bullet list.</v>
      </c>
      <c r="G25" s="83" t="str">
        <v>Blood pressure, pulse rate, respiratory rate, body temperature, ECG (heart tracing), blood tests, physical examination, mental health assessment.</v>
      </c>
      <c r="H25" s="83">
        <v>0</v>
      </c>
      <c r="I25" s="83" t="e" vm="72">
        <v>#VALUE!</v>
      </c>
      <c r="J25" s="83">
        <v>0</v>
      </c>
      <c r="K25" s="83">
        <v>0</v>
      </c>
    </row>
    <row r="26" spans="1:11">
      <c r="A26" s="83" t="str">
        <v>&lt;Second Check-in/Day X&gt;</v>
      </c>
      <c r="B26" s="83">
        <v>0</v>
      </c>
      <c r="C26" s="83" t="str">
        <v>Paragraph</v>
      </c>
      <c r="D26" s="83" t="str">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v>
      </c>
      <c r="E26" s="83" t="str">
        <v>Protocol Example (28Sep2023) 1</v>
      </c>
      <c r="F26" s="83" t="str">
        <v>Summarize the activities and timing for the second Check-in/Day X, focusing on follow-up visit requirements and monitoring procedures.</v>
      </c>
      <c r="G26" s="83" t="str">
        <v>At the second Check-in/Day X, participants will return to the Clinical Research Unit (CRU) for follow-up study visits as outlined in the Schedule of Assessments. These visits will occur up to 6 weeks post dosing for the initial cohorts and up to 10 weeks post dosing for subsequent cohorts, ensuring ongoing monitoring of safety, tolerability, and relevant study parameters.</v>
      </c>
      <c r="H26" s="83">
        <v>0</v>
      </c>
      <c r="I26" s="83" t="e" vm="74">
        <v>#VALUE!</v>
      </c>
      <c r="J26" s="83">
        <v>0</v>
      </c>
      <c r="K26" s="83">
        <v>0</v>
      </c>
    </row>
    <row r="27" spans="1:11">
      <c r="A27" s="83" t="str">
        <v>&lt;second Check-in/Day X&gt;</v>
      </c>
      <c r="B27" s="83">
        <v>0</v>
      </c>
      <c r="C27" s="83" t="str">
        <v>Paragraph</v>
      </c>
      <c r="D27" s="83" t="str">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v>
      </c>
      <c r="E27" s="83" t="str">
        <v>Protocol Example (28Sep2023) 1</v>
      </c>
      <c r="F27" s="83" t="str">
        <v>Replace with the specific days corresponding to the second check-in as described in the study schedule.</v>
      </c>
      <c r="G27" s="83" t="str">
        <v>Second Check-in/Day 2 to Day 8</v>
      </c>
      <c r="H27" s="83">
        <v>0</v>
      </c>
      <c r="I27" s="83" t="e" vm="75">
        <v>#VALUE!</v>
      </c>
      <c r="J27" s="83">
        <v>0</v>
      </c>
      <c r="K27" s="83">
        <v>0</v>
      </c>
    </row>
    <row r="28" spans="1:11">
      <c r="A28" s="83" t="str">
        <v>&lt;Bullet list of lay terminology of all assessments required during second Check-in&gt;</v>
      </c>
      <c r="B28" s="83">
        <v>0</v>
      </c>
      <c r="C28" s="83" t="str">
        <v>Paragraph</v>
      </c>
      <c r="D28" s="83" t="str">
        <v>Safety measurements, including 12-lead ECG; vital sign monitoring including blood pressure, pulse rate, respiratory rate, and body temperature; clinical laboratory tests (chemistry, hematology, lipid profile); physical examinations; mental health assessment; and other metrics, will be obtained at specific time points per the SoA. Adverse events and concomitant medication use will be monitored throughout the study. Refer to Section 6.6 for further details on dose modifications</v>
      </c>
      <c r="E28" s="83" t="str">
        <v>Protocol Example (28Sep2023) 1</v>
      </c>
      <c r="F28" s="83" t="str">
        <v>List in lay terminology all assessments required during the second Check-in period, formatted as a concise inline list.</v>
      </c>
      <c r="G28" s="83" t="str">
        <v>blood tests, heart monitoring (ECG), checking vital signs (blood pressure, pulse, breathing rate, body temperature), physical exams, and mental health checks</v>
      </c>
      <c r="H28" s="83">
        <v>0</v>
      </c>
      <c r="I28" s="83" t="e" vm="76">
        <v>#VALUE!</v>
      </c>
      <c r="J28" s="83">
        <v>0</v>
      </c>
      <c r="K28" s="83">
        <v>0</v>
      </c>
    </row>
    <row r="29" spans="1:11">
      <c r="A29" s="83" t="str">
        <v>&lt;Final Check-out/Day X&gt;</v>
      </c>
      <c r="B29" s="83">
        <v>0</v>
      </c>
      <c r="C29" s="83" t="str">
        <v>Paragraph</v>
      </c>
      <c r="D29" s="83" t="str">
        <v xml:space="preserve">Donation of blood is not permitted from 8 weeks (16 weeks for double red cell donation) prior to Screening until 90 days after the final Follow-up visit. </v>
      </c>
      <c r="E29" s="83" t="str">
        <v>Protocol Example (28Sep2023) 1</v>
      </c>
      <c r="F29" s="83" t="str">
        <v>Describe the activities or assessments to be performed at the final Check-out or Day X at the end of the in-residence period.</v>
      </c>
      <c r="G29" s="83">
        <v>0</v>
      </c>
      <c r="H29" s="83">
        <v>0</v>
      </c>
      <c r="I29" s="83" t="e" vm="5">
        <v>#VALUE!</v>
      </c>
      <c r="J29" s="83">
        <v>0</v>
      </c>
      <c r="K29" s="83">
        <v>0</v>
      </c>
    </row>
    <row r="30" spans="1:11">
      <c r="A30" s="83" t="str">
        <v>&lt;final Check-out/Day X&gt;</v>
      </c>
      <c r="B30" s="83">
        <v>0</v>
      </c>
      <c r="C30" s="83" t="str">
        <v>Paragraph</v>
      </c>
      <c r="D30" s="83" t="str">
        <v xml:space="preserve">Donation of blood is not permitted from 8 weeks (16 weeks for double red cell donation) prior to Screening until 90 days after the final Follow-up visit. </v>
      </c>
      <c r="E30" s="83" t="str">
        <v>Protocol Example (28Sep2023) 1</v>
      </c>
      <c r="F30" s="83" t="str">
        <v>Insert the correct day for final Check-out as referenced in the study schedule.</v>
      </c>
      <c r="G30" s="83" t="str">
        <v>final Check-out/Day 8</v>
      </c>
      <c r="H30" s="83">
        <v>0</v>
      </c>
      <c r="I30" s="83" t="e" vm="80">
        <v>#VALUE!</v>
      </c>
      <c r="J30" s="83">
        <v>0</v>
      </c>
      <c r="K30" s="83">
        <v>0</v>
      </c>
    </row>
    <row r="31" spans="1:11">
      <c r="A31" s="83" t="str">
        <v>&lt;lay terminology for SAD portion of study, Cohorts X-X&gt;</v>
      </c>
      <c r="B31" s="83">
        <v>0</v>
      </c>
      <c r="C31" s="83" t="str">
        <v>Paragraph</v>
      </c>
      <c r="D31" s="83" t="str">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v>
      </c>
      <c r="E31" s="83" t="str">
        <v>Protocol Example (28Sep2023) 1</v>
      </c>
      <c r="F31" s="83" t="str">
        <v>Provide a layperson description of the SAD portion of the study and how cohorts are used.</v>
      </c>
      <c r="G31" s="83" t="str">
        <v>the part of the study where small groups of healthy volunteers (cohorts) receive single increasing doses of the study drug to see how safe it is</v>
      </c>
      <c r="H31" s="83">
        <v>0</v>
      </c>
      <c r="I31" s="83" t="e" vm="83">
        <v>#VALUE!</v>
      </c>
      <c r="J31" s="83">
        <v>0</v>
      </c>
      <c r="K31" s="83">
        <v>0</v>
      </c>
    </row>
    <row r="32" spans="1:11">
      <c r="A32" s="83" t="str">
        <v>&lt;lay terminology for SAD portion of study, Cohorts X-X&gt;</v>
      </c>
      <c r="B32" s="83">
        <v>0</v>
      </c>
      <c r="C32" s="83" t="str">
        <v>Paragraph</v>
      </c>
      <c r="D32" s="83" t="str">
        <v xml:space="preserve">All screening tests establishing eligibility will be performed following informed consent and within 35 days prior to study intervention administration. Each participant will be enrolled in 
1 dose cohort only; participants will reside at the Clinical Research Unit (CRU) from Day 2 to Day 8. In each cohort, participants will receive a subcutaneous (SC) dose of ABC-123 
(6 participants) or placebo (2 participants) on Day 1. To assure safety and tolerability of the starting dose, 2 sentinel participants will be dosed first in Cohort 1 (1 active drug and 1 placebo to maintain study blinding); the remaining Cohort 1 participants may be dosed at least 48 hours later, after initial safety of the sentinel participants is confirmed by the Phase 1 Unit Principal Investigator in consultation with the Sponsor. 
Following Check-out from the CRU, all participants will return for Follow-up study visits up to 6 weeks post dosing in the first 3 cohorts and 10 weeks post dosing in the remaining cohorts as shown in the Schedule of Assessments (SoA; Section 1.3). </v>
      </c>
      <c r="E32" s="83" t="str">
        <v>Protocol Example (28Sep2023) 1</v>
      </c>
      <c r="F32" s="83" t="str">
        <v>Provide a layperson description of the SAD portion of the study and how cohorts are used.</v>
      </c>
      <c r="G32" s="83" t="str">
        <v>the part of the study where small groups of healthy volunteers (cohorts) receive single increasing doses of the study drug to see how safe it is</v>
      </c>
      <c r="H32" s="83">
        <v>0</v>
      </c>
      <c r="I32" s="83" t="e" vm="83">
        <v>#VALUE!</v>
      </c>
      <c r="J32" s="83">
        <v>0</v>
      </c>
      <c r="K32" s="83">
        <v>0</v>
      </c>
    </row>
    <row r="33" spans="1:11">
      <c r="A33" s="83" t="str">
        <v>&lt;lay terminology for repeat-dose portion of study&gt;</v>
      </c>
      <c r="B33" s="83">
        <v>0</v>
      </c>
      <c r="C33" s="83" t="str">
        <v>Paragraph</v>
      </c>
      <c r="D33" s="83" t="str">
        <v>The SAD portion of this study is a standard design for first-in-human testing with a monoclonal antibody. In addition, a 4-week repeated dose cohort will allow confirmation of the safety, tolerability, and repeat-dose PK and immunogenicity in the target population prior to proceeding to subsequent repeat-dose studies in a patient population. </v>
      </c>
      <c r="E33" s="83" t="str">
        <v>Protocol Example (28Sep2023) 1</v>
      </c>
      <c r="F33" s="83">
        <v>0</v>
      </c>
      <c r="G33" s="83">
        <v>0</v>
      </c>
      <c r="H33" s="83">
        <v>0</v>
      </c>
      <c r="I33" s="83" t="e" vm="5">
        <v>#VALUE!</v>
      </c>
      <c r="J33" s="83">
        <v>0</v>
      </c>
      <c r="K33" s="83">
        <v>0</v>
      </c>
    </row>
    <row r="34" spans="1:11">
      <c r="A34" s="83" t="str">
        <v>&lt;local health authority&gt;</v>
      </c>
      <c r="B34" s="83">
        <v>0</v>
      </c>
      <c r="C34" s="83" t="str">
        <v>Paragraph</v>
      </c>
      <c r="D34" s="83" t="str">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c>
      <c r="E34" s="83" t="str">
        <v>Protocol Example (28Sep2023) 1</v>
      </c>
      <c r="F34" s="83" t="str">
        <v>Provide the official term for the authority to which positive HIV test results must be reported, maintaining inline continuity.</v>
      </c>
      <c r="G34" s="83" t="str">
        <v>local regulatory authority</v>
      </c>
      <c r="H34" s="83">
        <v>0</v>
      </c>
      <c r="I34" s="83" t="e" vm="85">
        <v>#VALUE!</v>
      </c>
      <c r="J34" s="83">
        <v>0.63</v>
      </c>
      <c r="K34" s="83">
        <v>0</v>
      </c>
    </row>
    <row r="35" spans="1:11">
      <c r="A35" s="83" t="str">
        <v>&lt;local health authority&gt;</v>
      </c>
      <c r="B35" s="83">
        <v>0</v>
      </c>
      <c r="C35" s="83" t="str">
        <v>Paragraph</v>
      </c>
      <c r="D35" s="83" t="str">
        <v>The Sponsor has a legal responsibility to notify both the local regulatory authority and other regulatory agencies about the safety of a study intervention under clinical investigation. The Sponsor will comply with country-specific regulatory requirements relating to safety reporting to the regulatory authority, IRBs/Independent Ethics Committees (IECs), and Investigators</v>
      </c>
      <c r="E35" s="83" t="str">
        <v>Protocol Example (28Sep2023) 1</v>
      </c>
      <c r="F35" s="83" t="str">
        <v>Provide the official term for the authority to which positive HIV test results must be reported, maintaining inline continuity.</v>
      </c>
      <c r="G35" s="83" t="str">
        <v>local regulatory authority</v>
      </c>
      <c r="H35" s="83">
        <v>0</v>
      </c>
      <c r="I35" s="83" t="e" vm="87">
        <v>#VALUE!</v>
      </c>
      <c r="J35" s="83">
        <v>0</v>
      </c>
      <c r="K35" s="83">
        <v>0</v>
      </c>
    </row>
    <row r="36" spans="1:11">
      <c r="A36" s="83" t="str">
        <v>&lt;CRO Name&gt;</v>
      </c>
      <c r="B36" s="83">
        <v>0</v>
      </c>
      <c r="C36" s="83" t="str">
        <v>Paragraph</v>
      </c>
      <c r="D36" s="83">
        <v>0</v>
      </c>
      <c r="E36" s="83" t="str">
        <v>Protocol Example (28Sep2023) 1</v>
      </c>
      <c r="F36" s="83" t="str">
        <v>Summarize the CRO's role and oversight by the Sponsor as described in the context.</v>
      </c>
      <c r="G36" s="83" t="str">
        <v>&lt;p&gt;The Contract Research Organization (CRO) involved in this study will work under the oversight of the Sponsor, with certain actions delegated to them as appropriate.&lt;/p&gt;</v>
      </c>
      <c r="H36" s="83">
        <v>0</v>
      </c>
      <c r="I36" s="83" t="e" vm="90">
        <v>#VALUE!</v>
      </c>
      <c r="J36" s="83">
        <v>0</v>
      </c>
      <c r="K36" s="83">
        <v>0</v>
      </c>
    </row>
    <row r="37" spans="1:11">
      <c r="A37" s="83" t="str">
        <v>&lt;CRO Name&gt;</v>
      </c>
      <c r="B37" s="83">
        <v>0</v>
      </c>
      <c r="C37" s="83" t="str">
        <v>Paragraph</v>
      </c>
      <c r="D37" s="83">
        <v>0</v>
      </c>
      <c r="E37" s="83" t="str">
        <v>Protocol Example (28Sep2023) 1</v>
      </c>
      <c r="F37" s="83" t="str">
        <v>Replace &lt;CRO Name&gt; with the formal term for the contract research organization as referenced in the protocol.</v>
      </c>
      <c r="G37" s="83" t="str">
        <v>Contract Research Organization (CRO)</v>
      </c>
      <c r="H37" s="83">
        <v>0</v>
      </c>
      <c r="I37" s="83" t="e" vm="91">
        <v>#VALUE!</v>
      </c>
      <c r="J37" s="83">
        <v>0</v>
      </c>
      <c r="K37" s="83">
        <v>0</v>
      </c>
    </row>
    <row r="38" spans="1:11">
      <c r="A38" s="83" t="str">
        <v>&lt;side effect&gt;</v>
      </c>
      <c r="B38" s="83">
        <v>0</v>
      </c>
      <c r="C38" s="83" t="str">
        <v>Paragraph</v>
      </c>
      <c r="D38" s="83" t="str">
        <v xml:space="preserve">Additional risks observed in clinical studies with blorp inductors include gastrointestinal adverse events (primarily nausea, diarrhea, and vomiting), asthenia/fatigue, hot flushes, and dizziness. </v>
      </c>
      <c r="E38" s="83" t="str">
        <v>Protocol Example (28Sep2023) 1</v>
      </c>
      <c r="F38" s="83" t="str">
        <v>List the most common side effects seen in people given drugs similar to the study drug, as described in the context.</v>
      </c>
      <c r="G38" s="83" t="str">
        <v>&lt;li&gt;Gastrointestinal adverse effects&lt;/li&gt;&lt;li&gt;Psychiatric effects (eg, amphibious jocularity, levitation, the crunge)&lt;/li&gt;&lt;li&gt;Neurological effects&lt;/li&gt;</v>
      </c>
      <c r="H38" s="83">
        <v>0</v>
      </c>
      <c r="I38" s="83">
        <v>0</v>
      </c>
      <c r="J38" s="83">
        <v>0</v>
      </c>
      <c r="K38" s="83">
        <v>0</v>
      </c>
    </row>
    <row r="39" spans="1:11">
      <c r="A39" s="83" t="str">
        <v>&lt;side effect&gt;</v>
      </c>
      <c r="B39" s="83">
        <v>0</v>
      </c>
      <c r="C39" s="83" t="str">
        <v>Paragraph</v>
      </c>
      <c r="D39" s="83" t="str">
        <v>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v>
      </c>
      <c r="E39" s="83" t="str">
        <v>Protocol Example (28Sep2023) 1</v>
      </c>
      <c r="F39" s="83" t="str">
        <v>List the main side effects and adverse effects associated with blorp inductors and/or ABC-123.</v>
      </c>
      <c r="G39" s="83" t="str">
        <v>&lt;li&gt;Adverse psychiatric and neurological effects (eg, amphibious jocularity, levitation, and the crunge)&lt;/li&gt;&lt;li&gt;Gastrointestinal adverse effects&lt;/li&gt;</v>
      </c>
      <c r="H39" s="83">
        <v>0</v>
      </c>
      <c r="I39" s="83">
        <v>0</v>
      </c>
      <c r="J39" s="83">
        <v>0</v>
      </c>
      <c r="K39" s="83">
        <v>0</v>
      </c>
    </row>
    <row r="40" spans="1:11">
      <c r="A40" s="83" t="str">
        <v>&lt;side effect&gt;</v>
      </c>
      <c r="B40" s="83">
        <v>0</v>
      </c>
      <c r="C40" s="83" t="str">
        <v>Paragraph</v>
      </c>
      <c r="D40" s="83" t="str">
        <v>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v>
      </c>
      <c r="E40" s="83" t="str">
        <v>Protocol Example (28Sep2023) 1</v>
      </c>
      <c r="F40" s="83" t="str">
        <v>List the main side effects observed or anticipated for blorp inductors and ABC-123.</v>
      </c>
      <c r="G40" s="83" t="str">
        <v>&lt;li&gt;Adverse psychiatric and neurological effects (eg, amphibious jocularity, levitation, and the crunge)&lt;/li&gt;&lt;li&gt;Gastrointestinal adverse effects&lt;/li&gt;&lt;li&gt;Potential for CNS-associated adverse effects&lt;/li&gt;</v>
      </c>
      <c r="H40" s="83">
        <v>0</v>
      </c>
      <c r="I40" s="83">
        <v>0</v>
      </c>
      <c r="J40" s="83">
        <v>0</v>
      </c>
      <c r="K40" s="83">
        <v>0</v>
      </c>
    </row>
    <row r="41" spans="1:11">
      <c r="A41" s="83" t="str">
        <v>&lt;side effect&gt;</v>
      </c>
      <c r="B41" s="83">
        <v>0</v>
      </c>
      <c r="C41" s="83" t="str">
        <v>Paragraph</v>
      </c>
      <c r="D41" s="83" t="str">
        <v>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 </v>
      </c>
      <c r="E41" s="83" t="str">
        <v>Protocol Example (28Sep2023) 1</v>
      </c>
      <c r="F41" s="83" t="str">
        <v>List the CNS-associated side effects observed with similar drugs (blorp inductors) that participants will be monitored for.</v>
      </c>
      <c r="G41" s="83" t="str">
        <v>&lt;li&gt;Amphibious jocularity&lt;/li&gt;&lt;li&gt;Levitation&lt;/li&gt;&lt;li&gt;The crunge&lt;/li&gt;</v>
      </c>
      <c r="H41" s="83">
        <v>0</v>
      </c>
      <c r="I41" s="83">
        <v>0</v>
      </c>
      <c r="J41" s="83">
        <v>0</v>
      </c>
      <c r="K41" s="83">
        <v>0</v>
      </c>
    </row>
    <row r="42" spans="1:11">
      <c r="A42" s="83" t="str">
        <v>&lt;side effect&gt;</v>
      </c>
      <c r="B42" s="83">
        <v>0</v>
      </c>
      <c r="C42" s="83" t="str">
        <v>Paragraph</v>
      </c>
      <c r="D42" s="83" t="str">
        <v>ABC-123 targets peripheral receptors, potentially reducing the risk for the CNS-associated adverse effects observed in blorp inductors (ie, amphibious jocularity, levitation, and the crunge). Participants in the ABC-123 clinical program will be closely monitored for these CNS-associated risks until sufficient data in the ABC-123 clinical program are available to discharge these risks. </v>
      </c>
      <c r="E42" s="83" t="str">
        <v>Protocol Example (28Sep2023) 1</v>
      </c>
      <c r="F42" s="83" t="str">
        <v>List the CNS-associated side effects seen with similar drugs that cross into the brain.</v>
      </c>
      <c r="G42" s="83" t="str">
        <v>&lt;li&gt;amphibious jocularity&lt;/li&gt;&lt;li&gt;levitation&lt;/li&gt;&lt;li&gt;the crunge&lt;/li&gt;</v>
      </c>
      <c r="H42" s="83">
        <v>0</v>
      </c>
      <c r="I42" s="83">
        <v>0</v>
      </c>
      <c r="J42" s="83">
        <v>0</v>
      </c>
      <c r="K42" s="83">
        <v>0</v>
      </c>
    </row>
    <row r="43" spans="1:11">
      <c r="A43" s="83" t="str">
        <v>&lt;side effect&gt;</v>
      </c>
      <c r="B43" s="83">
        <v>0</v>
      </c>
      <c r="C43" s="83" t="str">
        <v>Paragraph</v>
      </c>
      <c r="D43" s="83" t="str">
        <v>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v>
      </c>
      <c r="E43" s="83" t="str">
        <v>Protocol Example (28Sep2023) 1</v>
      </c>
      <c r="F43" s="83" t="str">
        <v>List the adverse effects and monitoring considerations mentioned for blorp inductors and ABC-123.</v>
      </c>
      <c r="G43" s="83" t="str">
        <v>&lt;li&gt;Adverse psychiatric and neurological effects (including amphibious jocularity, levitation, and the crunge) observed with blorp inductors&lt;/li&gt;&lt;li&gt;Gastrointestinal adverse effects reported as the primary non-CNS side effects of blorp inductors&lt;/li&gt;&lt;li&gt;No serious adverse effects observed in blorp knockout mice&lt;/li&gt;&lt;li&gt;Participants in the ABC-123 clinical program will be monitored for CNS-associated risks&lt;/li&gt;&lt;li&gt;Participants will be monitored closely for adverse effects resulting from study drug administration&lt;/li&gt;</v>
      </c>
      <c r="H43" s="83">
        <v>0</v>
      </c>
      <c r="I43" s="83">
        <v>0</v>
      </c>
      <c r="J43" s="83">
        <v>0</v>
      </c>
      <c r="K43" s="83">
        <v>0</v>
      </c>
    </row>
    <row r="44" spans="1:11">
      <c r="A44" s="83" t="str">
        <v>&lt;side effect&gt;</v>
      </c>
      <c r="B44" s="83">
        <v>0</v>
      </c>
      <c r="C44" s="83" t="str">
        <v>Paragraph</v>
      </c>
      <c r="D44" s="83" t="str">
        <v xml:space="preserve">Additional risks observed in clinical studies with blorp inductors include gastrointestinal adverse events (primarily nausea, diarrhea, and vomiting), asthenia/fatigue, hot flushes, and dizziness. </v>
      </c>
      <c r="E44" s="83" t="str">
        <v>Protocol Example (28Sep2023) 1</v>
      </c>
      <c r="F44" s="83" t="str">
        <v>List the main adverse effects and side effects associated with blorp inductors and ABC-123, specifying both CNS and non-CNS events.</v>
      </c>
      <c r="G44" s="83" t="str">
        <v>&lt;li&gt;Gastrointestinal adverse effects (primary non-CNS)&lt;/li&gt;&lt;li&gt;Adverse psychiatric effects (e.g., amphibious jocularity)&lt;/li&gt;&lt;li&gt;Neurological adverse effects (e.g., levitation, the crunge)&lt;/li&gt;</v>
      </c>
      <c r="H44" s="83">
        <v>0</v>
      </c>
      <c r="I44" s="83">
        <v>0</v>
      </c>
      <c r="J44" s="83">
        <v>0</v>
      </c>
      <c r="K44" s="83">
        <v>0</v>
      </c>
    </row>
    <row r="45" spans="1:11">
      <c r="A45" s="83" t="str">
        <v>&lt;side effect&gt;</v>
      </c>
      <c r="B45" s="83">
        <v>0</v>
      </c>
      <c r="C45" s="83" t="str">
        <v>Paragraph</v>
      </c>
      <c r="D45" s="83" t="str">
        <v>The safety profile of blorp inductors has been extensively studied with 3 different framptoheebic agglomerators in completed Phase 3 clinical studies (milflexilor, vermithrax, and narbixil). Adverse psychiatric and neurological effects ultimately led to the termination of the development programs. However, outside of the CNS adverse effects, blorp inductors were otherwise reported to be generally safe and well tolerated, with primary adverse effects being gastrointestinal in nature. Furthermore, blorp knockout mice exhibited no serious adverse effects, supporting the general safety of blorb inductors. </v>
      </c>
      <c r="E45" s="83" t="str">
        <v>Protocol Example (28Sep2023) 1</v>
      </c>
      <c r="F45" s="83" t="str">
        <v>List the main side effects associated with the study drug, focusing on CNS and gastrointestinal effects.</v>
      </c>
      <c r="G45" s="83" t="str">
        <v>&lt;li&gt;Adverse psychiatric and neurological effects, including amphibious jocularity, levitation, and the crunge&lt;/li&gt;&lt;li&gt;Gastrointestinal adverse effects&lt;/li&gt;</v>
      </c>
      <c r="H45" s="83">
        <v>0</v>
      </c>
      <c r="I45" s="83">
        <v>0</v>
      </c>
      <c r="J45" s="83">
        <v>0</v>
      </c>
      <c r="K45" s="83">
        <v>0</v>
      </c>
    </row>
    <row r="46" spans="1:11">
      <c r="A46" s="83" t="str">
        <v>&lt;Lay terminology summarizing protocol requirement for females receiving HRT and whose menopausual status is in doubt.&gt;</v>
      </c>
      <c r="B46" s="83">
        <v>0</v>
      </c>
      <c r="C46" s="83" t="str">
        <v>Paragraph</v>
      </c>
      <c r="D46" s="83" t="str">
        <v>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 </v>
      </c>
      <c r="E46" s="83" t="str">
        <v>Protocol Example (28Sep2023) 1</v>
      </c>
      <c r="F46" s="83" t="str">
        <v>Summarize in lay terms the protocol rule for women on HRT with uncertain menopause status.</v>
      </c>
      <c r="G46" s="83" t="str">
        <v>Women who are taking hormone replacement therapy (HRT) and whose menopausal status is uncertain must either stop HRT to confirm menopause before joining the study or, if they wish to continue HRT, use a highly effective non-estrogen hormonal birth control method during the study.</v>
      </c>
      <c r="H46" s="83">
        <v>0</v>
      </c>
      <c r="I46" s="83">
        <v>0</v>
      </c>
      <c r="J46" s="83">
        <v>0</v>
      </c>
      <c r="K46" s="83">
        <v>0</v>
      </c>
    </row>
    <row r="47" spans="1:11">
      <c r="A47" s="83" t="str">
        <v>&lt;study disease&gt;</v>
      </c>
      <c r="B47" s="83">
        <v>0</v>
      </c>
      <c r="C47" s="83" t="str">
        <v>Paragraph</v>
      </c>
      <c r="D47" s="83" t="str">
        <v>Lurgi is the leading cause of boneitis, eventually leading to the need for surgical intervention in the form of either a partial or complete brainectomy (Biagini et al. 2008). Zammoxin has been the standard of care for many years, and myrnestristoate has recently been approved in the European Union and United States (US) as an additional treatment. Even with treatment, patients with lurgi continue to be at risk for the morbidity, mortality, and impaired quality of life associated with boneitis. Thus, a high unmet medical need remains. </v>
      </c>
      <c r="E47" s="83" t="str">
        <v>Protocol Example (28Sep2023) 1</v>
      </c>
      <c r="F47" s="83" t="str">
        <v>Insert the name of the disease being studied for which participants may benefit from ABC-123.</v>
      </c>
      <c r="G47" s="83" t="str">
        <v>boneitis due to lurgi</v>
      </c>
      <c r="H47" s="83">
        <v>0</v>
      </c>
      <c r="I47" s="83">
        <v>0</v>
      </c>
      <c r="J47" s="83">
        <v>0</v>
      </c>
      <c r="K47" s="83">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BC06B02-ADF2-4386-89E5-E67F430055F9}">
          <x14:formula1>
            <xm:f>Summary!$D$12:$L$12</xm:f>
          </x14:formula1>
          <xm:sqref>E2 H2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58F0C-EED9-4AA6-BB6B-0FFB5F6FB7C4}">
  <dimension ref="A2:K52"/>
  <sheetViews>
    <sheetView workbookViewId="0">
      <selection activeCell="G10" sqref="G10"/>
    </sheetView>
  </sheetViews>
  <sheetFormatPr defaultRowHeight="14.25"/>
  <cols>
    <col min="1" max="1" width="51.625" style="83" bestFit="1" customWidth="1"/>
    <col min="2" max="3" width="9" style="83"/>
    <col min="4" max="4" width="20.375" style="83" customWidth="1"/>
    <col min="5" max="5" width="31.5" style="83" bestFit="1" customWidth="1"/>
    <col min="6" max="6" width="18.25" style="83" customWidth="1"/>
    <col min="7" max="7" width="20.875" style="83" customWidth="1"/>
    <col min="8" max="8" width="31.5" style="83" bestFit="1" customWidth="1"/>
    <col min="9" max="9" width="21.125" style="83" customWidth="1"/>
    <col min="10" max="10" width="9" style="83"/>
    <col min="11" max="11" width="14" style="83" bestFit="1" customWidth="1"/>
    <col min="12" max="16384" width="9" style="83"/>
  </cols>
  <sheetData>
    <row r="2" spans="1:11" ht="15">
      <c r="A2" s="84" t="s">
        <v>60</v>
      </c>
      <c r="B2" s="84"/>
      <c r="C2" s="84" t="s">
        <v>61</v>
      </c>
      <c r="D2" s="84" t="s">
        <v>62</v>
      </c>
      <c r="E2" s="85" t="s">
        <v>63</v>
      </c>
      <c r="F2" s="84" t="s">
        <v>64</v>
      </c>
      <c r="G2" s="84" t="s">
        <v>65</v>
      </c>
      <c r="H2" s="85" t="s">
        <v>66</v>
      </c>
      <c r="I2" s="85" t="s">
        <v>67</v>
      </c>
      <c r="J2" s="85" t="s">
        <v>68</v>
      </c>
      <c r="K2" s="85" t="s">
        <v>69</v>
      </c>
    </row>
    <row r="3" spans="1:11">
      <c r="A3" s="83" t="str" cm="1">
        <f t="array" ref="A3:K52">_xlfn._xlws.FILTER(QA!A3:K500, QA!C3:C500="KeyValue")</f>
        <v>&lt;Sponsor Name&gt;</v>
      </c>
      <c r="B3" s="83">
        <v>0</v>
      </c>
      <c r="C3" s="83" t="str">
        <v>KeyValue</v>
      </c>
      <c r="D3" s="83" t="str">
        <v>Stendarr, Inc. </v>
      </c>
      <c r="E3" s="83" t="str">
        <v>Protocol Example (28Sep2023) 1</v>
      </c>
      <c r="F3" s="83" t="str">
        <v>Insert the official sponsor name in line with protocol header formatting.</v>
      </c>
      <c r="G3" s="83" t="str">
        <v>Stendarr, Inc.</v>
      </c>
      <c r="H3" s="83">
        <v>0</v>
      </c>
      <c r="I3" s="83" t="e" vm="1">
        <v>#VALUE!</v>
      </c>
      <c r="J3" s="83">
        <v>0.99</v>
      </c>
      <c r="K3" s="83">
        <v>0</v>
      </c>
    </row>
    <row r="4" spans="1:11">
      <c r="A4" s="83" t="str">
        <v>&lt;Protocol Number&gt;</v>
      </c>
      <c r="B4" s="83">
        <v>0</v>
      </c>
      <c r="C4" s="83" t="str">
        <v>KeyValue</v>
      </c>
      <c r="D4" s="83" t="str">
        <v>SKY-2000-101 </v>
      </c>
      <c r="E4" s="83" t="str">
        <v>Protocol Example (28Sep2023) 1</v>
      </c>
      <c r="F4" s="83" t="str">
        <v>Insert the official protocol number in the format used in the source document.</v>
      </c>
      <c r="G4" s="83" t="str">
        <v>SKY-2000-101</v>
      </c>
      <c r="H4" s="83">
        <v>0</v>
      </c>
      <c r="I4" s="83" t="e" vm="3">
        <v>#VALUE!</v>
      </c>
      <c r="J4" s="83">
        <v>1</v>
      </c>
      <c r="K4" s="83">
        <v>0</v>
      </c>
    </row>
    <row r="5" spans="1:11">
      <c r="A5" s="83" t="str">
        <v>&lt;Principal Investigator Name&gt;</v>
      </c>
      <c r="B5" s="83">
        <v>0</v>
      </c>
      <c r="C5" s="83" t="str">
        <v>KeyValue</v>
      </c>
      <c r="D5" s="83" t="str">
        <v>Karliah N. Gale, MD​profe​ </v>
      </c>
      <c r="E5" s="83" t="str">
        <v>Protocol Example (28Sep2023) 1</v>
      </c>
      <c r="F5" s="83">
        <v>0</v>
      </c>
      <c r="G5" s="83">
        <v>0</v>
      </c>
      <c r="H5" s="83">
        <v>0</v>
      </c>
      <c r="I5" s="83" t="e" vm="5">
        <v>#VALUE!</v>
      </c>
      <c r="J5" s="83">
        <v>0</v>
      </c>
      <c r="K5" s="83">
        <v>0</v>
      </c>
    </row>
    <row r="6" spans="1:11">
      <c r="A6" s="83" t="str">
        <v>&lt;IRB Company Name&gt;</v>
      </c>
      <c r="B6" s="83">
        <v>0</v>
      </c>
      <c r="C6" s="83" t="str">
        <v>KeyValue</v>
      </c>
      <c r="D6" s="83" t="str">
        <v>Stendarr, Inc. </v>
      </c>
      <c r="E6" s="83" t="str">
        <v>Protocol Example (28Sep2023) 1</v>
      </c>
      <c r="F6" s="83" t="str">
        <v>Insert the IRB company name in a concise, inline format.</v>
      </c>
      <c r="G6" s="83" t="str">
        <v>Stendarr, Inc.</v>
      </c>
      <c r="H6" s="83">
        <v>0</v>
      </c>
      <c r="I6" s="83" t="e" vm="1">
        <v>#VALUE!</v>
      </c>
      <c r="J6" s="83">
        <v>0.99</v>
      </c>
      <c r="K6" s="83">
        <v>0</v>
      </c>
    </row>
    <row r="7" spans="1:11">
      <c r="A7" s="83" t="str">
        <v>&lt;Sponsor&gt;</v>
      </c>
      <c r="B7" s="83">
        <v>0</v>
      </c>
      <c r="C7" s="83" t="str">
        <v>KeyValue</v>
      </c>
      <c r="D7" s="83" t="str">
        <v>Stendarr, Inc. </v>
      </c>
      <c r="E7" s="83" t="str">
        <v>Protocol Example (28Sep2023) 1</v>
      </c>
      <c r="F7" s="83" t="str">
        <v>Insert the sponsor's name in line with the protocol header formatting.</v>
      </c>
      <c r="G7" s="83" t="str">
        <v>Stendarr, Inc.</v>
      </c>
      <c r="H7" s="83">
        <v>0</v>
      </c>
      <c r="I7" s="83" t="e" vm="1">
        <v>#VALUE!</v>
      </c>
      <c r="J7" s="83">
        <v>0.99</v>
      </c>
      <c r="K7" s="83">
        <v>0</v>
      </c>
    </row>
    <row r="8" spans="1:11">
      <c r="A8" s="83" t="str">
        <v>&lt;Protocol Number&gt;</v>
      </c>
      <c r="B8" s="83">
        <v>0</v>
      </c>
      <c r="C8" s="83" t="str">
        <v>KeyValue</v>
      </c>
      <c r="D8" s="83" t="str">
        <v>SKY-2000-101 </v>
      </c>
      <c r="E8" s="83" t="str">
        <v>Protocol Example (28Sep2023) 1</v>
      </c>
      <c r="F8" s="83" t="str">
        <v>Insert the official protocol number in the format used in the source document.</v>
      </c>
      <c r="G8" s="83" t="str">
        <v>SKY-2000-101</v>
      </c>
      <c r="H8" s="83">
        <v>0</v>
      </c>
      <c r="I8" s="83" t="e" vm="3">
        <v>#VALUE!</v>
      </c>
      <c r="J8" s="83">
        <v>1</v>
      </c>
      <c r="K8" s="83">
        <v>0</v>
      </c>
    </row>
    <row r="9" spans="1:11">
      <c r="A9" s="83" t="str">
        <v>&lt;Principal Investigator Name&gt;</v>
      </c>
      <c r="B9" s="83">
        <v>0</v>
      </c>
      <c r="C9" s="83" t="str">
        <v>KeyValue</v>
      </c>
      <c r="D9" s="83" t="str">
        <v>Karliah N. Gale, MD​profe​ </v>
      </c>
      <c r="E9" s="83" t="str">
        <v>Protocol Example (28Sep2023) 1</v>
      </c>
      <c r="F9" s="83">
        <v>0</v>
      </c>
      <c r="G9" s="83">
        <v>0</v>
      </c>
      <c r="H9" s="83">
        <v>0</v>
      </c>
      <c r="I9" s="83" t="e" vm="5">
        <v>#VALUE!</v>
      </c>
      <c r="J9" s="83">
        <v>0</v>
      </c>
      <c r="K9" s="83">
        <v>0</v>
      </c>
    </row>
    <row r="10" spans="1:11">
      <c r="A10" s="83" t="str">
        <v>&lt;Telephone&gt;</v>
      </c>
      <c r="B10" s="83">
        <v>0</v>
      </c>
      <c r="C10" s="83" t="str">
        <v>KeyValue</v>
      </c>
      <c r="D10" s="83" t="str">
        <v>555-999-1111 </v>
      </c>
      <c r="E10" s="83" t="str">
        <v>Protocol Example (28Sep2023) 1</v>
      </c>
      <c r="F10" s="83" t="str">
        <v>Insert the Principal Investigator's telephone number in standard format after 'Telephone:'.</v>
      </c>
      <c r="G10" s="83">
        <v>0</v>
      </c>
      <c r="H10" s="83">
        <v>0</v>
      </c>
      <c r="I10" s="83" t="e" vm="5">
        <v>#VALUE!</v>
      </c>
      <c r="J10" s="83">
        <v>0</v>
      </c>
      <c r="K10" s="83">
        <v>0</v>
      </c>
    </row>
    <row r="11" spans="1:11">
      <c r="A11" s="83" t="str">
        <v>&lt;Address&gt;</v>
      </c>
      <c r="B11" s="83">
        <v>0</v>
      </c>
      <c r="C11" s="83" t="str">
        <v>KeyValue</v>
      </c>
      <c r="D11" s="83" t="str">
        <v> 123 Fake Street, Anytown, CO, USA 80002</v>
      </c>
      <c r="E11" s="83" t="str">
        <v>Protocol Example (28Sep2023) 1</v>
      </c>
      <c r="F11" s="83" t="str">
        <v>Insert the registered address in standard mailing format, maintaining inline continuity.</v>
      </c>
      <c r="G11" s="83" t="str">
        <v>123 Fake Street, Anytown, CO, USA 80002</v>
      </c>
      <c r="H11" s="83">
        <v>0</v>
      </c>
      <c r="I11" s="83" t="e" vm="10">
        <v>#VALUE!</v>
      </c>
      <c r="J11" s="83">
        <v>0.93</v>
      </c>
      <c r="K11" s="83">
        <v>0</v>
      </c>
    </row>
    <row r="12" spans="1:11">
      <c r="A12" s="83" t="str">
        <v>&lt;Sponsor Name&gt;</v>
      </c>
      <c r="B12" s="83">
        <v>0</v>
      </c>
      <c r="C12" s="83" t="str">
        <v>KeyValue</v>
      </c>
      <c r="D12" s="83" t="str">
        <v>Stendarr, Inc. </v>
      </c>
      <c r="E12" s="83" t="str">
        <v>Protocol Example (28Sep2023) 1</v>
      </c>
      <c r="F12" s="83" t="str">
        <v>Insert the official sponsor name in line with protocol header formatting.</v>
      </c>
      <c r="G12" s="83" t="str">
        <v>Stendarr, Inc.</v>
      </c>
      <c r="H12" s="83">
        <v>0</v>
      </c>
      <c r="I12" s="83" t="e" vm="1">
        <v>#VALUE!</v>
      </c>
      <c r="J12" s="83">
        <v>0.99</v>
      </c>
      <c r="K12" s="83">
        <v>0</v>
      </c>
    </row>
    <row r="13" spans="1:11">
      <c r="A13" s="83" t="str">
        <v>&lt;Protocol Number&gt;</v>
      </c>
      <c r="B13" s="83">
        <v>0</v>
      </c>
      <c r="C13" s="83" t="str">
        <v>KeyValue</v>
      </c>
      <c r="D13" s="83" t="str">
        <v>SKY-2000-101 </v>
      </c>
      <c r="E13" s="83" t="str">
        <v>Protocol Example (28Sep2023) 1</v>
      </c>
      <c r="F13" s="83" t="str">
        <v>Insert the official protocol number in the format used in the source document.</v>
      </c>
      <c r="G13" s="83" t="str">
        <v>SKY-2000-101</v>
      </c>
      <c r="H13" s="83">
        <v>0</v>
      </c>
      <c r="I13" s="83" t="e" vm="3">
        <v>#VALUE!</v>
      </c>
      <c r="J13" s="83">
        <v>1</v>
      </c>
      <c r="K13" s="83">
        <v>0</v>
      </c>
    </row>
    <row r="14" spans="1:11">
      <c r="A14" s="83" t="str">
        <v>&lt;Principal Investigator Name&gt;</v>
      </c>
      <c r="B14" s="83">
        <v>0</v>
      </c>
      <c r="C14" s="83" t="str">
        <v>KeyValue</v>
      </c>
      <c r="D14" s="83" t="str">
        <v>Karliah N. Gale, MD​profe​ </v>
      </c>
      <c r="E14" s="83" t="str">
        <v>Protocol Example (28Sep2023) 1</v>
      </c>
      <c r="F14" s="83">
        <v>0</v>
      </c>
      <c r="G14" s="83">
        <v>0</v>
      </c>
      <c r="H14" s="83">
        <v>0</v>
      </c>
      <c r="I14" s="83" t="e" vm="5">
        <v>#VALUE!</v>
      </c>
      <c r="J14" s="83">
        <v>0</v>
      </c>
      <c r="K14" s="83">
        <v>0</v>
      </c>
    </row>
    <row r="15" spans="1:11">
      <c r="A15" s="83" t="str">
        <v>&lt;IRB Company Name&gt;</v>
      </c>
      <c r="B15" s="83">
        <v>0</v>
      </c>
      <c r="C15" s="83" t="str">
        <v>KeyValue</v>
      </c>
      <c r="D15" s="83" t="str">
        <v>Stendarr, Inc. </v>
      </c>
      <c r="E15" s="83" t="str">
        <v>Protocol Example (28Sep2023) 1</v>
      </c>
      <c r="F15" s="83" t="str">
        <v>Insert the IRB company name in a concise, inline format.</v>
      </c>
      <c r="G15" s="83" t="str">
        <v>Stendarr, Inc.</v>
      </c>
      <c r="H15" s="83">
        <v>0</v>
      </c>
      <c r="I15" s="83" t="e" vm="1">
        <v>#VALUE!</v>
      </c>
      <c r="J15" s="83">
        <v>0.99</v>
      </c>
      <c r="K15" s="83">
        <v>0</v>
      </c>
    </row>
    <row r="16" spans="1:11">
      <c r="A16" s="83" t="str">
        <v>&lt;disease&gt;</v>
      </c>
      <c r="B16" s="83">
        <v>0</v>
      </c>
      <c r="C16" s="83" t="str">
        <v>KeyValue</v>
      </c>
      <c r="D16" s="83" t="str">
        <v>Boneitis</v>
      </c>
      <c r="E16" s="83" t="str">
        <v>Protocol Example (28Sep2023) 1</v>
      </c>
      <c r="F16" s="83">
        <v>0</v>
      </c>
      <c r="G16" s="83">
        <v>0</v>
      </c>
      <c r="H16" s="83">
        <v>0</v>
      </c>
      <c r="I16" s="83" t="e" vm="5">
        <v>#VALUE!</v>
      </c>
      <c r="J16" s="83">
        <v>0</v>
      </c>
      <c r="K16" s="83">
        <v>0</v>
      </c>
    </row>
    <row r="17" spans="1:11">
      <c r="A17" s="83" t="str">
        <v>&lt;XX participants&gt;</v>
      </c>
      <c r="B17" s="83">
        <v>0</v>
      </c>
      <c r="C17" s="83" t="str">
        <v>KeyValue</v>
      </c>
      <c r="D17" s="83" t="str">
        <v>56 participants</v>
      </c>
      <c r="E17" s="83" t="str">
        <v>Protocol Example (28Sep2023) 1</v>
      </c>
      <c r="F17" s="83" t="str">
        <v>Provide the maximum number of participants expected in this study, formatted for inline continuity.</v>
      </c>
      <c r="G17" s="83" t="str">
        <v>up to 28 participants</v>
      </c>
      <c r="H17" s="83">
        <v>0</v>
      </c>
      <c r="I17" s="83" t="e" vm="17">
        <v>#VALUE!</v>
      </c>
      <c r="J17" s="83">
        <v>0.56999999999999995</v>
      </c>
      <c r="K17" s="83">
        <v>0</v>
      </c>
    </row>
    <row r="18" spans="1:11">
      <c r="A18" s="83" t="str">
        <v>&lt;XX applicable time unit&gt;</v>
      </c>
      <c r="B18" s="83">
        <v>0</v>
      </c>
      <c r="C18" s="83" t="str">
        <v>KeyValue</v>
      </c>
      <c r="D18" s="83" t="str">
        <v>5 week</v>
      </c>
      <c r="E18" s="83" t="str">
        <v>Protocol Example (28Sep2023) 1</v>
      </c>
      <c r="F18" s="83" t="str">
        <v>Replace the placeholder with the estimated total time commitment (in appropriate units) for study participation.</v>
      </c>
      <c r="G18" s="83" t="str">
        <v>2 to 4 weeks</v>
      </c>
      <c r="H18" s="83">
        <v>0</v>
      </c>
      <c r="I18" s="83" t="e" vm="23">
        <v>#VALUE!</v>
      </c>
      <c r="J18" s="83">
        <v>0.59</v>
      </c>
      <c r="K18" s="83">
        <v>0</v>
      </c>
    </row>
    <row r="19" spans="1:11">
      <c r="A19" s="83" t="str">
        <v>&lt;study drug ID&gt;</v>
      </c>
      <c r="B19" s="83">
        <v>0</v>
      </c>
      <c r="C19" s="83" t="str">
        <v>KeyValue</v>
      </c>
      <c r="D19" s="83" t="str">
        <v>ABC-123</v>
      </c>
      <c r="E19" s="83" t="str">
        <v>Protocol Example (28Sep2023) 1</v>
      </c>
      <c r="F19" s="83">
        <v>0</v>
      </c>
      <c r="G19" s="83">
        <v>0</v>
      </c>
      <c r="H19" s="83">
        <v>0</v>
      </c>
      <c r="I19" s="83" t="e" vm="5">
        <v>#VALUE!</v>
      </c>
      <c r="J19" s="83">
        <v>0</v>
      </c>
      <c r="K19" s="83">
        <v>0</v>
      </c>
    </row>
    <row r="20" spans="1:11">
      <c r="A20" s="83" t="str">
        <v>&lt;XX applicable time unit&gt;</v>
      </c>
      <c r="B20" s="83">
        <v>0</v>
      </c>
      <c r="C20" s="83" t="str">
        <v>KeyValue</v>
      </c>
      <c r="D20" s="83" t="str">
        <v>5 week</v>
      </c>
      <c r="E20" s="83" t="str">
        <v>Protocol Example (28Sep2023) 1</v>
      </c>
      <c r="F20" s="83" t="str">
        <v>Replace the placeholder with the estimated total time commitment (in appropriate units) for study participation.</v>
      </c>
      <c r="G20" s="83" t="str">
        <v>2 to 4 weeks</v>
      </c>
      <c r="H20" s="83">
        <v>0</v>
      </c>
      <c r="I20" s="83" t="e" vm="23">
        <v>#VALUE!</v>
      </c>
      <c r="J20" s="83">
        <v>0.59</v>
      </c>
      <c r="K20" s="83">
        <v>0</v>
      </c>
    </row>
    <row r="21" spans="1:11">
      <c r="A21" s="83" t="str">
        <v>&lt;study drug ID&gt;</v>
      </c>
      <c r="B21" s="83">
        <v>0</v>
      </c>
      <c r="C21" s="83" t="str">
        <v>KeyValue</v>
      </c>
      <c r="D21" s="83" t="str">
        <v>ABC-123</v>
      </c>
      <c r="E21" s="83" t="str">
        <v>Protocol Example (28Sep2023) 1</v>
      </c>
      <c r="F21" s="83">
        <v>0</v>
      </c>
      <c r="G21" s="83">
        <v>0</v>
      </c>
      <c r="H21" s="83">
        <v>0</v>
      </c>
      <c r="I21" s="83" t="e" vm="5">
        <v>#VALUE!</v>
      </c>
      <c r="J21" s="83">
        <v>0</v>
      </c>
      <c r="K21" s="83">
        <v>0</v>
      </c>
    </row>
    <row r="22" spans="1:11">
      <c r="A22" s="83" t="str">
        <v>&lt;Sponsor Name&gt;</v>
      </c>
      <c r="B22" s="83">
        <v>0</v>
      </c>
      <c r="C22" s="83" t="str">
        <v>KeyValue</v>
      </c>
      <c r="D22" s="83" t="str">
        <v>Stendarr, Inc. </v>
      </c>
      <c r="E22" s="83" t="str">
        <v>Protocol Example (28Sep2023) 1</v>
      </c>
      <c r="F22" s="83" t="str">
        <v>Insert the official sponsor name in line with protocol header formatting.</v>
      </c>
      <c r="G22" s="83" t="str">
        <v>Stendarr, Inc.</v>
      </c>
      <c r="H22" s="83">
        <v>0</v>
      </c>
      <c r="I22" s="83" t="e" vm="1">
        <v>#VALUE!</v>
      </c>
      <c r="J22" s="83">
        <v>0.99</v>
      </c>
      <c r="K22" s="83">
        <v>0</v>
      </c>
    </row>
    <row r="23" spans="1:11">
      <c r="A23" s="83" t="str">
        <v>&lt;Protocol Number&gt;</v>
      </c>
      <c r="B23" s="83">
        <v>0</v>
      </c>
      <c r="C23" s="83" t="str">
        <v>KeyValue</v>
      </c>
      <c r="D23" s="83" t="str">
        <v>SKY-2000-101 </v>
      </c>
      <c r="E23" s="83" t="str">
        <v>Protocol Example (28Sep2023) 1</v>
      </c>
      <c r="F23" s="83" t="str">
        <v>Insert the official protocol number in the format used in the source document.</v>
      </c>
      <c r="G23" s="83" t="str">
        <v>SKY-2000-101</v>
      </c>
      <c r="H23" s="83">
        <v>0</v>
      </c>
      <c r="I23" s="83" t="e" vm="3">
        <v>#VALUE!</v>
      </c>
      <c r="J23" s="83">
        <v>1</v>
      </c>
      <c r="K23" s="83">
        <v>0</v>
      </c>
    </row>
    <row r="24" spans="1:11">
      <c r="A24" s="83" t="str">
        <v>&lt;Principal Investigator Name&gt;</v>
      </c>
      <c r="B24" s="83">
        <v>0</v>
      </c>
      <c r="C24" s="83" t="str">
        <v>KeyValue</v>
      </c>
      <c r="D24" s="83" t="str">
        <v>Karliah N. Gale, MD​profe​ </v>
      </c>
      <c r="E24" s="83" t="str">
        <v>Protocol Example (28Sep2023) 1</v>
      </c>
      <c r="F24" s="83">
        <v>0</v>
      </c>
      <c r="G24" s="83">
        <v>0</v>
      </c>
      <c r="H24" s="83">
        <v>0</v>
      </c>
      <c r="I24" s="83" t="e" vm="5">
        <v>#VALUE!</v>
      </c>
      <c r="J24" s="83">
        <v>0</v>
      </c>
      <c r="K24" s="83">
        <v>0</v>
      </c>
    </row>
    <row r="25" spans="1:11">
      <c r="A25" s="83" t="str">
        <v>&lt;IRB Company Name&gt;</v>
      </c>
      <c r="B25" s="83">
        <v>0</v>
      </c>
      <c r="C25" s="83" t="str">
        <v>KeyValue</v>
      </c>
      <c r="D25" s="83" t="str">
        <v>Stendarr, Inc. </v>
      </c>
      <c r="E25" s="83" t="str">
        <v>Protocol Example (28Sep2023) 1</v>
      </c>
      <c r="F25" s="83" t="str">
        <v>Insert the IRB company name in a concise, inline format.</v>
      </c>
      <c r="G25" s="83" t="str">
        <v>Stendarr, Inc.</v>
      </c>
      <c r="H25" s="83">
        <v>0</v>
      </c>
      <c r="I25" s="83" t="e" vm="1">
        <v>#VALUE!</v>
      </c>
      <c r="J25" s="83">
        <v>0.99</v>
      </c>
      <c r="K25" s="83">
        <v>0</v>
      </c>
    </row>
    <row r="26" spans="1:11">
      <c r="A26" s="83" t="str">
        <v>&lt;disease&gt;</v>
      </c>
      <c r="B26" s="83">
        <v>0</v>
      </c>
      <c r="C26" s="83" t="str">
        <v>KeyValue</v>
      </c>
      <c r="D26" s="83" t="str">
        <v>Boneitis</v>
      </c>
      <c r="E26" s="83" t="str">
        <v>Protocol Example (28Sep2023) 1</v>
      </c>
      <c r="F26" s="83" t="str">
        <v>Insert the disease name treated by the investigational drug, formatted for inline continuity.</v>
      </c>
      <c r="G26" s="83" t="str">
        <v>boneitis</v>
      </c>
      <c r="H26" s="83">
        <v>0</v>
      </c>
      <c r="I26" s="83" t="e" vm="31">
        <v>#VALUE!</v>
      </c>
      <c r="J26" s="83">
        <v>1</v>
      </c>
      <c r="K26" s="83">
        <v>0</v>
      </c>
    </row>
    <row r="27" spans="1:11">
      <c r="A27" s="83" t="str">
        <v>&lt;X cohorts (or groups) of X participants&gt;</v>
      </c>
      <c r="B27" s="83">
        <v>0</v>
      </c>
      <c r="C27" s="83" t="str">
        <v>KeyValue</v>
      </c>
      <c r="D27" s="83" t="str">
        <v>3 cohorts of 56 participants</v>
      </c>
      <c r="E27" s="83" t="str">
        <v>Protocol Example (28Sep2023) 1</v>
      </c>
      <c r="F27" s="83" t="str">
        <v>Insert the number of cohorts and participants per cohort for the SAD phase in the format 'X cohorts of X participants'.</v>
      </c>
      <c r="G27" s="83" t="str">
        <v>6 cohorts of 8 participants</v>
      </c>
      <c r="H27" s="83">
        <v>0</v>
      </c>
      <c r="I27" s="83" t="e" vm="34">
        <v>#VALUE!</v>
      </c>
      <c r="J27" s="83">
        <v>0.63</v>
      </c>
      <c r="K27" s="83">
        <v>0</v>
      </c>
    </row>
    <row r="28" spans="1:11">
      <c r="A28" s="83" t="str">
        <v>&lt;study drug ID&gt;</v>
      </c>
      <c r="B28" s="83">
        <v>0</v>
      </c>
      <c r="C28" s="83" t="str">
        <v>KeyValue</v>
      </c>
      <c r="D28" s="83" t="str">
        <v>Abc-123</v>
      </c>
      <c r="E28" s="83" t="str">
        <v>Protocol Example (28Sep2023) 1</v>
      </c>
      <c r="F28" s="83">
        <v>0</v>
      </c>
      <c r="G28" s="83">
        <v>0</v>
      </c>
      <c r="H28" s="83">
        <v>0</v>
      </c>
      <c r="I28" s="83" t="e" vm="5">
        <v>#VALUE!</v>
      </c>
      <c r="J28" s="83">
        <v>0</v>
      </c>
      <c r="K28" s="83">
        <v>0</v>
      </c>
    </row>
    <row r="29" spans="1:11">
      <c r="A29" s="83" t="str">
        <v>&lt;X mg&gt;</v>
      </c>
      <c r="B29" s="83">
        <v>0</v>
      </c>
      <c r="C29" s="83" t="str">
        <v>KeyValue</v>
      </c>
      <c r="D29" s="83" t="str">
        <v>600 mg</v>
      </c>
      <c r="E29" s="83" t="str">
        <v>Protocol Example (28Sep2023) 1</v>
      </c>
      <c r="F29" s="83">
        <v>0</v>
      </c>
      <c r="G29" s="83">
        <v>0</v>
      </c>
      <c r="H29" s="83">
        <v>0</v>
      </c>
      <c r="I29" s="83" t="e" vm="5">
        <v>#VALUE!</v>
      </c>
      <c r="J29" s="83">
        <v>0</v>
      </c>
      <c r="K29" s="83">
        <v>0</v>
      </c>
    </row>
    <row r="30" spans="1:11">
      <c r="A30" s="83" t="str">
        <v>&lt;XXXX-fold&gt;</v>
      </c>
      <c r="B30" s="83">
        <v>0</v>
      </c>
      <c r="C30" s="83" t="str">
        <v>KeyValue</v>
      </c>
      <c r="D30" s="83" t="str">
        <v>318 fold</v>
      </c>
      <c r="E30" s="83" t="str">
        <v>Protocol Example (28Sep2023) 1</v>
      </c>
      <c r="F30" s="83">
        <v>0</v>
      </c>
      <c r="G30" s="83">
        <v>0</v>
      </c>
      <c r="H30" s="83">
        <v>0</v>
      </c>
      <c r="I30" s="83" t="e" vm="5">
        <v>#VALUE!</v>
      </c>
      <c r="J30" s="83">
        <v>0</v>
      </c>
      <c r="K30" s="83">
        <v>0</v>
      </c>
    </row>
    <row r="31" spans="1:11">
      <c r="A31" s="83" t="str">
        <v>&lt;Day X&gt;</v>
      </c>
      <c r="B31" s="83">
        <v>0</v>
      </c>
      <c r="C31" s="83" t="str">
        <v>KeyValue</v>
      </c>
      <c r="D31" s="83" t="str">
        <v>7 day</v>
      </c>
      <c r="E31" s="83" t="str">
        <v>Protocol Example (28Sep2023) 1</v>
      </c>
      <c r="F31" s="83" t="str">
        <v>Replace &lt;Day X&gt; with the specific number of days post-dose after which cohort data will be reviewed.</v>
      </c>
      <c r="G31" s="83" t="str">
        <v>7 days post-dose</v>
      </c>
      <c r="H31" s="83">
        <v>0</v>
      </c>
      <c r="I31" s="83" t="e" vm="41">
        <v>#VALUE!</v>
      </c>
      <c r="J31" s="83">
        <v>0.98</v>
      </c>
      <c r="K31" s="83">
        <v>0</v>
      </c>
    </row>
    <row r="32" spans="1:11">
      <c r="A32" s="83" t="str">
        <v>&lt;X cohorts of X participants&gt;</v>
      </c>
      <c r="B32" s="83">
        <v>0</v>
      </c>
      <c r="C32" s="83" t="str">
        <v>KeyValue</v>
      </c>
      <c r="D32" s="83" t="str">
        <v>3 cohorts of 56 participants</v>
      </c>
      <c r="E32" s="83" t="str">
        <v>Protocol Example (28Sep2023) 1</v>
      </c>
      <c r="F32" s="83" t="str">
        <v>State the number of cohorts and participants for the repeat-dose portion of the study in the format 'X cohort(s) of X participants.'</v>
      </c>
      <c r="G32" s="83" t="str">
        <v>1 cohort of 8 participants</v>
      </c>
      <c r="H32" s="83">
        <v>0</v>
      </c>
      <c r="I32" s="83" t="e" vm="43">
        <v>#VALUE!</v>
      </c>
      <c r="J32" s="83">
        <v>0.57999999999999996</v>
      </c>
      <c r="K32" s="83">
        <v>0</v>
      </c>
    </row>
    <row r="33" spans="1:11">
      <c r="A33" s="83" t="str">
        <v>&lt;study drug ID&gt;</v>
      </c>
      <c r="B33" s="83">
        <v>0</v>
      </c>
      <c r="C33" s="83" t="str">
        <v>KeyValue</v>
      </c>
      <c r="D33" s="83" t="str">
        <v>Abc-123</v>
      </c>
      <c r="E33" s="83" t="str">
        <v>Protocol Example (28Sep2023) 1</v>
      </c>
      <c r="F33" s="83">
        <v>0</v>
      </c>
      <c r="G33" s="83">
        <v>0</v>
      </c>
      <c r="H33" s="83">
        <v>0</v>
      </c>
      <c r="I33" s="83" t="e" vm="5">
        <v>#VALUE!</v>
      </c>
      <c r="J33" s="83">
        <v>0</v>
      </c>
      <c r="K33" s="83">
        <v>0</v>
      </c>
    </row>
    <row r="34" spans="1:11">
      <c r="A34" s="83" t="str">
        <v>&lt;insert age eligibility criteria&gt;</v>
      </c>
      <c r="B34" s="83">
        <v>0</v>
      </c>
      <c r="C34" s="83" t="str">
        <v>KeyValue</v>
      </c>
      <c r="D34" s="83" t="str">
        <v>18 to 65 years</v>
      </c>
      <c r="E34" s="83" t="str">
        <v>Protocol Example (28Sep2023) 1</v>
      </c>
      <c r="F34" s="83" t="str">
        <v>Insert the age eligibility criteria for study participants in lay terms.</v>
      </c>
      <c r="G34" s="83" t="str">
        <v>18 to 55 years</v>
      </c>
      <c r="H34" s="83">
        <v>0</v>
      </c>
      <c r="I34" s="83" t="e" vm="47">
        <v>#VALUE!</v>
      </c>
      <c r="J34" s="83">
        <v>0.67</v>
      </c>
      <c r="K34" s="83">
        <v>0</v>
      </c>
    </row>
    <row r="35" spans="1:11">
      <c r="A35" s="83" t="str">
        <v>&lt;Cohorts X – X&gt;</v>
      </c>
      <c r="B35" s="83">
        <v>0</v>
      </c>
      <c r="C35" s="83" t="str">
        <v>KeyValue</v>
      </c>
      <c r="D35" s="83" t="str">
        <v>Cohorts 1-3</v>
      </c>
      <c r="E35" s="83" t="str">
        <v>Protocol Example (28Sep2023) 1</v>
      </c>
      <c r="F35" s="83">
        <v>0</v>
      </c>
      <c r="G35" s="83">
        <v>0</v>
      </c>
      <c r="H35" s="83">
        <v>0</v>
      </c>
      <c r="I35" s="83" t="e" vm="5">
        <v>#VALUE!</v>
      </c>
      <c r="J35" s="83">
        <v>0</v>
      </c>
      <c r="K35" s="83">
        <v>0</v>
      </c>
    </row>
    <row r="36" spans="1:11">
      <c r="A36" s="83" t="str">
        <v>&lt;Cohorts X – X&gt;</v>
      </c>
      <c r="B36" s="83">
        <v>0</v>
      </c>
      <c r="C36" s="83" t="str">
        <v>KeyValue</v>
      </c>
      <c r="D36" s="83" t="str">
        <v>Cohorts 1-3</v>
      </c>
      <c r="E36" s="83" t="str">
        <v>Protocol Example (28Sep2023) 1</v>
      </c>
      <c r="F36" s="83">
        <v>0</v>
      </c>
      <c r="G36" s="83">
        <v>0</v>
      </c>
      <c r="H36" s="83">
        <v>0</v>
      </c>
      <c r="I36" s="83" t="e" vm="5">
        <v>#VALUE!</v>
      </c>
      <c r="J36" s="83">
        <v>0</v>
      </c>
      <c r="K36" s="83">
        <v>0</v>
      </c>
    </row>
    <row r="37" spans="1:11">
      <c r="A37" s="83" t="str">
        <v>&lt;insert age eligibility criteria&gt;</v>
      </c>
      <c r="B37" s="83">
        <v>0</v>
      </c>
      <c r="C37" s="83" t="str">
        <v>KeyValue</v>
      </c>
      <c r="D37" s="83" t="str">
        <v>18 to 65 years</v>
      </c>
      <c r="E37" s="83" t="str">
        <v>Protocol Example (28Sep2023) 1</v>
      </c>
      <c r="F37" s="83" t="str">
        <v>Insert the age eligibility criteria for study participants in lay terms.</v>
      </c>
      <c r="G37" s="83" t="str">
        <v>18 to 55 years</v>
      </c>
      <c r="H37" s="83">
        <v>0</v>
      </c>
      <c r="I37" s="83" t="e" vm="47">
        <v>#VALUE!</v>
      </c>
      <c r="J37" s="83">
        <v>0.67</v>
      </c>
      <c r="K37" s="83">
        <v>0</v>
      </c>
    </row>
    <row r="38" spans="1:11">
      <c r="A38" s="83" t="str">
        <v>&lt;XX days&gt;</v>
      </c>
      <c r="B38" s="83">
        <v>0</v>
      </c>
      <c r="C38" s="83" t="str">
        <v>KeyValue</v>
      </c>
      <c r="D38" s="83" t="str">
        <v>35 days</v>
      </c>
      <c r="E38" s="83" t="str">
        <v>Protocol Example (28Sep2023) 1</v>
      </c>
      <c r="F38" s="83" t="str">
        <v>Replace &lt;XX days&gt; with the specified number of days allowed between the screening visit and clinic return as per protocol.</v>
      </c>
      <c r="G38" s="83" t="str">
        <v>35 days</v>
      </c>
      <c r="H38" s="83">
        <v>0</v>
      </c>
      <c r="I38" s="83" t="e" vm="61">
        <v>#VALUE!</v>
      </c>
      <c r="J38" s="83">
        <v>1</v>
      </c>
      <c r="K38" s="83">
        <v>0</v>
      </c>
    </row>
    <row r="39" spans="1:11">
      <c r="A39" s="83" t="str">
        <v>&lt;Check-out/Day X&gt;</v>
      </c>
      <c r="B39" s="83">
        <v>0</v>
      </c>
      <c r="C39" s="83" t="str">
        <v>KeyValue</v>
      </c>
      <c r="D39" s="83" t="str">
        <v>6 weeks </v>
      </c>
      <c r="E39" s="83" t="str">
        <v>Protocol Example (28Sep2023) 1</v>
      </c>
      <c r="F39" s="83" t="str">
        <v>Describe the assessments or procedures performed at Check-out/Day X for participants during the in-residence period.</v>
      </c>
      <c r="G39" s="83">
        <v>0</v>
      </c>
      <c r="H39" s="83">
        <v>0</v>
      </c>
      <c r="I39" s="83" t="e" vm="5">
        <v>#VALUE!</v>
      </c>
      <c r="J39" s="83">
        <v>0</v>
      </c>
      <c r="K39" s="83">
        <v>0</v>
      </c>
    </row>
    <row r="40" spans="1:11">
      <c r="A40" s="83" t="str">
        <v>&lt;Check-out/Day X&gt;</v>
      </c>
      <c r="B40" s="83">
        <v>0</v>
      </c>
      <c r="C40" s="83" t="str">
        <v>KeyValue</v>
      </c>
      <c r="D40" s="83" t="str">
        <v>6 weeks </v>
      </c>
      <c r="E40" s="83" t="str">
        <v>Protocol Example (28Sep2023) 1</v>
      </c>
      <c r="F40" s="83" t="str">
        <v>Provide a concise phrase describing Check-out from the Clinical Research Unit (CRU) as referenced in the study protocol.</v>
      </c>
      <c r="G40" s="83" t="str">
        <v>Check-out from the Clinical Research Unit (CRU)</v>
      </c>
      <c r="H40" s="83">
        <v>0</v>
      </c>
      <c r="I40" s="83" t="e" vm="67">
        <v>#VALUE!</v>
      </c>
      <c r="J40" s="83">
        <v>0</v>
      </c>
      <c r="K40" s="83">
        <v>0</v>
      </c>
    </row>
    <row r="41" spans="1:11">
      <c r="A41" s="83" t="str">
        <v>&lt;XX days&gt;</v>
      </c>
      <c r="B41" s="83">
        <v>0</v>
      </c>
      <c r="C41" s="83" t="str">
        <v>KeyValue</v>
      </c>
      <c r="D41" s="83" t="str">
        <v>35 days</v>
      </c>
      <c r="E41" s="83" t="str">
        <v>Protocol Example (28Sep2023) 1</v>
      </c>
      <c r="F41" s="83" t="str">
        <v>Replace &lt;XX days&gt; with the specified number of days allowed between the screening visit and clinic return as per protocol.</v>
      </c>
      <c r="G41" s="83" t="str">
        <v>35 days</v>
      </c>
      <c r="H41" s="83">
        <v>0</v>
      </c>
      <c r="I41" s="83" t="e" vm="61">
        <v>#VALUE!</v>
      </c>
      <c r="J41" s="83">
        <v>1</v>
      </c>
      <c r="K41" s="83">
        <v>0</v>
      </c>
    </row>
    <row r="42" spans="1:11">
      <c r="A42" s="83" t="str">
        <v>&lt;First Check-out/Day X&gt;</v>
      </c>
      <c r="B42" s="83">
        <v>0</v>
      </c>
      <c r="C42" s="83" t="str">
        <v>KeyValue</v>
      </c>
      <c r="D42" s="83" t="str">
        <v>6 weeks </v>
      </c>
      <c r="E42" s="83" t="str">
        <v>Protocol Example (28Sep2023) 1</v>
      </c>
      <c r="F42" s="83" t="str">
        <v>Summarize what procedures or activities are performed at the first Check-out or on Day X based on protocol.</v>
      </c>
      <c r="G42" s="83">
        <v>0</v>
      </c>
      <c r="H42" s="83">
        <v>0</v>
      </c>
      <c r="I42" s="83" t="e" vm="5">
        <v>#VALUE!</v>
      </c>
      <c r="J42" s="83">
        <v>0</v>
      </c>
      <c r="K42" s="83">
        <v>0</v>
      </c>
    </row>
    <row r="43" spans="1:11">
      <c r="A43" s="83" t="str">
        <v>&lt;first Check-out/Day X&gt;</v>
      </c>
      <c r="B43" s="83">
        <v>0</v>
      </c>
      <c r="C43" s="83" t="str">
        <v>KeyValue</v>
      </c>
      <c r="D43" s="83" t="str">
        <v>6 weeks </v>
      </c>
      <c r="E43" s="83" t="str">
        <v>Protocol Example (28Sep2023) 1</v>
      </c>
      <c r="F43" s="83">
        <v>0</v>
      </c>
      <c r="G43" s="83">
        <v>0</v>
      </c>
      <c r="H43" s="83">
        <v>0</v>
      </c>
      <c r="I43" s="83" t="e" vm="5">
        <v>#VALUE!</v>
      </c>
      <c r="J43" s="83">
        <v>0</v>
      </c>
      <c r="K43" s="83">
        <v>0</v>
      </c>
    </row>
    <row r="44" spans="1:11">
      <c r="A44" s="83" t="str">
        <v>&lt;disease&gt;</v>
      </c>
      <c r="B44" s="83">
        <v>0</v>
      </c>
      <c r="C44" s="83" t="str">
        <v>KeyValue</v>
      </c>
      <c r="D44" s="83" t="str">
        <v>Boneitis</v>
      </c>
      <c r="E44" s="83" t="str">
        <v>Protocol Example (28Sep2023) 1</v>
      </c>
      <c r="F44" s="83" t="str">
        <v>Insert the name of the disease that the study is focused on.</v>
      </c>
      <c r="G44" s="83" t="str">
        <v>boneitis</v>
      </c>
      <c r="H44" s="83">
        <v>0</v>
      </c>
      <c r="I44" s="83" t="e" vm="31">
        <v>#VALUE!</v>
      </c>
      <c r="J44" s="83">
        <v>1</v>
      </c>
      <c r="K44" s="83">
        <v>0</v>
      </c>
    </row>
    <row r="45" spans="1:11">
      <c r="A45" s="83" t="str">
        <v>&lt;XX years&gt;</v>
      </c>
      <c r="B45" s="83">
        <v>0</v>
      </c>
      <c r="C45" s="83" t="str">
        <v>KeyValue</v>
      </c>
      <c r="D45" s="83" t="str">
        <v>2 years</v>
      </c>
      <c r="E45" s="83" t="str">
        <v>Protocol Example (28Sep2023) 1</v>
      </c>
      <c r="F45" s="83">
        <v>0</v>
      </c>
      <c r="G45" s="83">
        <v>0</v>
      </c>
      <c r="H45" s="83">
        <v>0</v>
      </c>
      <c r="I45" s="83" t="e" vm="5">
        <v>#VALUE!</v>
      </c>
      <c r="J45" s="83">
        <v>0</v>
      </c>
      <c r="K45" s="83">
        <v>0</v>
      </c>
    </row>
    <row r="46" spans="1:11">
      <c r="A46" s="83" t="str">
        <v>&lt;study drug ID&gt;</v>
      </c>
      <c r="B46" s="83">
        <v>0</v>
      </c>
      <c r="C46" s="83" t="str">
        <v>KeyValue</v>
      </c>
      <c r="D46" s="83" t="str">
        <v>ABC-123</v>
      </c>
      <c r="E46" s="83" t="str">
        <v>Protocol Example (28Sep2023) 1</v>
      </c>
      <c r="F46" s="83">
        <v>0</v>
      </c>
      <c r="G46" s="83">
        <v>0</v>
      </c>
      <c r="H46" s="83">
        <v>0</v>
      </c>
      <c r="I46" s="83" t="e" vm="5">
        <v>#VALUE!</v>
      </c>
      <c r="J46" s="83">
        <v>0</v>
      </c>
      <c r="K46" s="83">
        <v>0</v>
      </c>
    </row>
    <row r="47" spans="1:11">
      <c r="A47" s="83" t="str">
        <v>&lt;XX years&gt;</v>
      </c>
      <c r="B47" s="83">
        <v>0</v>
      </c>
      <c r="C47" s="83" t="str">
        <v>KeyValue</v>
      </c>
      <c r="D47" s="83" t="str">
        <v>2 years</v>
      </c>
      <c r="E47" s="83" t="str">
        <v>Protocol Example (28Sep2023) 1</v>
      </c>
      <c r="F47" s="83">
        <v>0</v>
      </c>
      <c r="G47" s="83">
        <v>0</v>
      </c>
      <c r="H47" s="83">
        <v>0</v>
      </c>
      <c r="I47" s="83" t="e" vm="5">
        <v>#VALUE!</v>
      </c>
      <c r="J47" s="83">
        <v>0</v>
      </c>
      <c r="K47" s="83">
        <v>0</v>
      </c>
    </row>
    <row r="48" spans="1:11">
      <c r="A48" s="83" t="str">
        <v>&lt;Study drug ID&gt;</v>
      </c>
      <c r="B48" s="83">
        <v>0</v>
      </c>
      <c r="C48" s="83" t="str">
        <v>KeyValue</v>
      </c>
      <c r="D48" s="83" t="str">
        <v>ABC-123</v>
      </c>
      <c r="E48" s="83" t="str">
        <v>Protocol Example (28Sep2023) 1</v>
      </c>
      <c r="F48" s="83">
        <v>0</v>
      </c>
      <c r="G48" s="83">
        <v>0</v>
      </c>
      <c r="H48" s="83">
        <v>0</v>
      </c>
      <c r="I48" s="83" t="e" vm="5">
        <v>#VALUE!</v>
      </c>
      <c r="J48" s="83">
        <v>0</v>
      </c>
      <c r="K48" s="83">
        <v>0</v>
      </c>
    </row>
    <row r="49" spans="1:11">
      <c r="A49" s="83" t="str">
        <v>&lt;XX-fold&gt;</v>
      </c>
      <c r="B49" s="83">
        <v>0</v>
      </c>
      <c r="C49" s="83" t="str">
        <v>KeyValue</v>
      </c>
      <c r="D49" s="83" t="str">
        <v>318-fold</v>
      </c>
      <c r="E49" s="83" t="str">
        <v>Protocol Example (28Sep2023) 1</v>
      </c>
      <c r="F49" s="83" t="str">
        <v>Insert the appropriate fold multiple (e.g., 318-fold) representing how much larger the highest dose is compared to the starting dose.</v>
      </c>
      <c r="G49" s="83" t="str">
        <v>318-fold</v>
      </c>
      <c r="H49" s="83">
        <v>0</v>
      </c>
      <c r="I49" s="83">
        <v>0</v>
      </c>
      <c r="J49" s="83">
        <v>0</v>
      </c>
      <c r="K49" s="83">
        <v>0</v>
      </c>
    </row>
    <row r="50" spans="1:11">
      <c r="A50" s="83" t="str">
        <v>&lt;study drug ID&gt;</v>
      </c>
      <c r="B50" s="83">
        <v>0</v>
      </c>
      <c r="C50" s="83" t="str">
        <v>KeyValue</v>
      </c>
      <c r="D50" s="83" t="str">
        <v>ABC-123</v>
      </c>
      <c r="E50" s="83" t="str">
        <v>Protocol Example (28Sep2023) 1</v>
      </c>
      <c r="F50" s="83">
        <v>0</v>
      </c>
      <c r="G50" s="83">
        <v>0</v>
      </c>
      <c r="H50" s="83">
        <v>0</v>
      </c>
      <c r="I50" s="83">
        <v>0</v>
      </c>
      <c r="J50" s="83">
        <v>0</v>
      </c>
      <c r="K50" s="83">
        <v>0</v>
      </c>
    </row>
    <row r="51" spans="1:11">
      <c r="A51" s="83" t="str">
        <v>&lt;study drug ID&gt;</v>
      </c>
      <c r="B51" s="83">
        <v>0</v>
      </c>
      <c r="C51" s="83" t="str">
        <v>KeyValue</v>
      </c>
      <c r="D51" s="83" t="str">
        <v>ABC-123</v>
      </c>
      <c r="E51" s="83" t="str">
        <v>Protocol Example (28Sep2023) 1</v>
      </c>
      <c r="F51" s="83">
        <v>0</v>
      </c>
      <c r="G51" s="83">
        <v>0</v>
      </c>
      <c r="H51" s="83">
        <v>0</v>
      </c>
      <c r="I51" s="83">
        <v>0</v>
      </c>
      <c r="J51" s="83">
        <v>0</v>
      </c>
      <c r="K51" s="83">
        <v>0</v>
      </c>
    </row>
    <row r="52" spans="1:11">
      <c r="A52" s="83" t="str">
        <v>&lt;IRB Company&gt;</v>
      </c>
      <c r="B52" s="83">
        <v>0</v>
      </c>
      <c r="C52" s="83" t="str">
        <v>KeyValue</v>
      </c>
      <c r="D52" s="83" t="str">
        <v>Institutional Review Board (IRB)</v>
      </c>
      <c r="E52" s="83" t="str">
        <v>Protocol Example (28Sep2023) 1</v>
      </c>
      <c r="F52" s="83" t="str">
        <v>Replace the placeholder with the formal name of the IRB or institutional review body as referenced in the protocol.</v>
      </c>
      <c r="G52" s="83" t="str">
        <v>Institutional Review Board (IRB)</v>
      </c>
      <c r="H52" s="83">
        <v>0</v>
      </c>
      <c r="I52" s="83">
        <v>0</v>
      </c>
      <c r="J52" s="83">
        <v>0</v>
      </c>
      <c r="K52" s="83">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5535F0C-BD83-4E17-9A89-E4EACDB29E0B}">
          <x14:formula1>
            <xm:f>Summary!$D$12:$L$12</xm:f>
          </x14:formula1>
          <xm:sqref>E2 H2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48E1-3796-48A9-BF0D-ADDB503E4053}">
  <dimension ref="A2:U25"/>
  <sheetViews>
    <sheetView workbookViewId="0"/>
  </sheetViews>
  <sheetFormatPr defaultRowHeight="14.25"/>
  <cols>
    <col min="1" max="1" width="51.625" style="83" bestFit="1" customWidth="1"/>
    <col min="2" max="3" width="9" style="83"/>
    <col min="4" max="4" width="20.375" style="83" customWidth="1"/>
    <col min="5" max="5" width="31.5" style="83" bestFit="1" customWidth="1"/>
    <col min="6" max="6" width="18.25" style="83" customWidth="1"/>
    <col min="7" max="7" width="20.875" style="83" customWidth="1"/>
    <col min="8" max="8" width="31.5" style="83" bestFit="1" customWidth="1"/>
    <col min="9" max="9" width="21.125" style="83" customWidth="1"/>
    <col min="10" max="10" width="9" style="83"/>
    <col min="11" max="11" width="14" style="83" bestFit="1" customWidth="1"/>
    <col min="12" max="16384" width="9" style="83"/>
  </cols>
  <sheetData>
    <row r="2" spans="1:21" ht="15">
      <c r="A2" s="84" t="s">
        <v>60</v>
      </c>
      <c r="B2" s="84"/>
      <c r="C2" s="84" t="s">
        <v>61</v>
      </c>
      <c r="D2" s="84" t="s">
        <v>62</v>
      </c>
      <c r="E2" s="85" t="s">
        <v>63</v>
      </c>
      <c r="F2" s="84" t="s">
        <v>64</v>
      </c>
      <c r="G2" s="84" t="s">
        <v>65</v>
      </c>
      <c r="H2" s="85" t="s">
        <v>66</v>
      </c>
      <c r="I2" s="85" t="s">
        <v>67</v>
      </c>
      <c r="J2" s="85" t="s">
        <v>68</v>
      </c>
      <c r="K2" s="85" t="s">
        <v>69</v>
      </c>
    </row>
    <row r="3" spans="1:21">
      <c r="A3" s="83" t="e" cm="1" vm="93">
        <f t="array" aca="1" ref="A3" ca="1">_xlfn._xlws.FILTER(QA!A3:K500, QA!C3:C500="List")</f>
        <v>#VALUE!</v>
      </c>
    </row>
    <row r="6" spans="1:21">
      <c r="K6" s="83" t="str" cm="1">
        <f t="array" ref="K6:U25">_xlfn._xlws.FILTER(QA!A3:K500, QA!C3:C500="List")</f>
        <v>&lt;insert disease criteria&gt;</v>
      </c>
      <c r="L6" s="83">
        <v>0</v>
      </c>
      <c r="M6" s="83" t="str">
        <v>List</v>
      </c>
      <c r="N6" s="83" t="str">
        <v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 </v>
      </c>
      <c r="O6" s="83" t="str">
        <v>Protocol Example (28Sep2023) 1</v>
      </c>
      <c r="P6" s="83" t="str">
        <v>Insert the specific disease or condition criteria for participant eligibility in this clinical study.</v>
      </c>
      <c r="Q6" s="83" t="str">
        <v>boneitis due to lurgi</v>
      </c>
      <c r="R6" s="83">
        <v>0</v>
      </c>
      <c r="S6" s="83" t="e" vm="52">
        <v>#VALUE!</v>
      </c>
      <c r="T6" s="83">
        <v>0</v>
      </c>
      <c r="U6" s="83">
        <v>0</v>
      </c>
    </row>
    <row r="7" spans="1:21">
      <c r="K7" s="83" t="str">
        <v>&lt;bulleted list of lay terminology summarizing the study exclusion criteria&gt;</v>
      </c>
      <c r="L7" s="83">
        <v>0</v>
      </c>
      <c r="M7" s="83" t="str">
        <v>List</v>
      </c>
      <c r="N7" s="83" t="str">
        <v xml:space="preserve">Exclusion Criteria 
History of, or treatment for, rock-joint, including clunge or brain wobbles within 5 years of the Screening visit. 
History of spontaneous combustion. 
Blood pressure &gt;155 mmHg systolic or &gt;95 mmHg diastolic. 
Known heart disease or clinically significant abnormalities identified in the 12-lead ECG at Screening. Specific exclusion criteria are: 
QT interval corrected for heart rate using Fridericia’s method (QTcF) &gt;450 msec (males) or &gt;470 msec (females) confirmed by calculating the mean of the original value and 2 repeats. 
QRS duration &gt;120 msec confirmed by calculating the mean of the original value and 2 repeats. 
PR interval &gt;220 msec confirmed by calculating the mean of the original value and 2 repeats. 
Findings that would make corrected QT (QTc) measurements difficult or QTc data uninterpretable. 
Family history of long QT syndrome. 
Female participant with a positive pregnancy test or who is lactating at Screening. 
History of alcoholism or drug/chemical abuse within 2 years prior to Screening. 
Prior exposure to ABC-123 or any other blorp induction therapy. 
Participation in a clinical study involving administration of an investigational drug (new chemical entity) in the past 30 days or 5 half-lives of last dose (whichever is longer) prior to first dosing. 
History of significant hypersensitivity, intolerance, or allergy to more than one class of drugs. 
Aspartate aminotransferase, alanine aminotransferase, or total bilirubin &gt;2 × upper limit of normal. 
Positive hepatitis panel and/or positive human immunodeficiency virus test. Participants whose results are compatible with prior immunization may be included. 
Have previously completed or withdrawn from this study. Alternates for prior cohorts who were not assigned to treatment and did not receive study intervention are considered eligible. 
SAD cohorts only: Fasting glucose &gt;126 mg/dL. 
 </v>
      </c>
      <c r="O7" s="83" t="str">
        <v>Protocol Example (28Sep2023) 1</v>
      </c>
      <c r="P7" s="83" t="str">
        <v>Summarize the study exclusion criteria as a bulleted list in layperson's terms.</v>
      </c>
      <c r="Q7" s="83" t="str">
        <v>&lt;ul&gt;&lt;li&gt;History of rock-joint (including clunge or brain wobbles) in the past 5 years&lt;/li&gt;&lt;li&gt;History of spontaneous combustion&lt;/li&gt;&lt;li&gt;High blood pressure (&amp;gt;155/95 mmHg)&lt;/li&gt;&lt;li&gt;Heart problems or abnormal heart tests&lt;/li&gt;&lt;li&gt;QT interval or QRS duration outside normal range on ECG&lt;/li&gt;&lt;li&gt;Family history of long QT syndrome&lt;/li&gt;&lt;li&gt;Pregnant or breastfeeding women&lt;/li&gt;&lt;li&gt;Alcohol or drug abuse in the past 2 years&lt;/li&gt;&lt;li&gt;Previous use of ABC-123 or similar treatments&lt;/li&gt;&lt;li&gt;Participation in another drug study recently&lt;/li&gt;&lt;/ul&gt;</v>
      </c>
      <c r="R7" s="83">
        <v>0</v>
      </c>
      <c r="S7" s="83" t="e" vm="55">
        <v>#VALUE!</v>
      </c>
      <c r="T7" s="83">
        <v>0</v>
      </c>
      <c r="U7" s="83">
        <v>0</v>
      </c>
    </row>
    <row r="8" spans="1:21">
      <c r="K8" s="83" t="str">
        <v>&lt;Bulleted list of lay terminology summarizing lifestyle considerations including meal requirements, caffeeine, alcohol, tobacco, and activity&gt;</v>
      </c>
      <c r="L8" s="83">
        <v>0</v>
      </c>
      <c r="M8" s="83" t="str">
        <v>List</v>
      </c>
      <c r="N8" s="83" t="str">
        <v xml:space="preserve">Participants must be willing and able to fast for at least 10 hours prior to fasting laboratory tests. 
Caffeine, Alcohol, and Tobacco 
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v>
      </c>
      <c r="O8" s="83" t="str">
        <v>Protocol Example (28Sep2023) 1</v>
      </c>
      <c r="P8" s="83" t="str">
        <v>Summarize all lifestyle restrictions and requirements for participants in a simple bulleted list using lay terminology, covering meals, caffeine, alcohol, tobacco, activity, medication, cannabinoid use, blood donation, and vaccinations.</v>
      </c>
      <c r="Q8" s="83" t="str">
        <v>&lt;li&gt;Do not donate blood from 8 weeks before screening until 90 days after your final follow-up visit.&lt;/li&gt;&lt;li&gt;Do not use tetrahydrocannabinol (THC), cannabidiol (CBD), or other cannabinoids for 14 days before screening through the end of the study.&lt;/li&gt;&lt;li&gt;Complete any planned vaccinations at least 14 days before screening.&lt;/li&gt;&lt;li&gt;Do not take any prescription or nonprescription medications, vitamins (except ongoing multivitamin), minerals, or herbal supplements unless approved by the study doctor (for SAD Cohorts).&lt;/li&gt;&lt;li&gt;If you are in the Repeat-Dose Cohort, keep your boneitis treatment and other allowed medications stable and unchanged unless approved by the study doctor.&lt;/li&gt;&lt;li&gt;Do not ingest caffeine or xanthine-containing products (like coffee, tea, cola, or chocolate) from 24 hours before check-in until check-out from the Clinical Research Unit (CRU).&lt;/li&gt;&lt;li&gt;Do not drink alcohol from 48 hours before check-in until check-out from the CRU.&lt;/li&gt;&lt;li&gt;Do not use tobacco or nicotine-containing products (including nicotine patches) while in the CRU.&lt;/li&gt;</v>
      </c>
      <c r="R8" s="83">
        <v>0</v>
      </c>
      <c r="S8" s="83" t="e" vm="57">
        <v>#VALUE!</v>
      </c>
      <c r="T8" s="83">
        <v>0</v>
      </c>
      <c r="U8" s="83">
        <v>0</v>
      </c>
    </row>
    <row r="9" spans="1:21">
      <c r="K9" s="83" t="str">
        <v>&lt;Bullet list of lay terminology of all assessments required during screening&gt;</v>
      </c>
      <c r="L9" s="83">
        <v>0</v>
      </c>
      <c r="M9" s="83" t="str">
        <v>List</v>
      </c>
      <c r="N9" s="83" t="str">
        <v xml:space="preserve">Study procedures and their timing are summarized in the SoA (Section 1.3). Protocol waivers or exemptions are not allowed. 
Immediate safety concerns should be discussed with the Medical Monitor immediately upon occurrence or awareness to determine if the participant should continue or discontinue study intervention. 
Adherence to the study design requirements, including those specified in the SoA, is essential and required for study conduct.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Refer to Section 10.3 (Appendix 3) for mitigation strategies if changes may be required to procedures as a result of a public health emergency (eg, COVID-19). </v>
      </c>
      <c r="O9" s="83" t="str">
        <v>Protocol Example (28Sep2023) 1</v>
      </c>
      <c r="P9" s="83" t="str">
        <v>Write a bullet list in lay language of all tests and assessments required during screening.</v>
      </c>
      <c r="Q9" s="83" t="str">
        <v>&lt;li&gt;Medical history review&lt;/li&gt;&lt;li&gt;Physical examination&lt;/li&gt;&lt;li&gt;12-lead ECG&lt;/li&gt;&lt;li&gt;Vital signs measurements&lt;/li&gt;&lt;li&gt;Blood and other laboratory tests&lt;/li&gt;</v>
      </c>
      <c r="R9" s="83">
        <v>0</v>
      </c>
      <c r="S9" s="83" t="e" vm="59">
        <v>#VALUE!</v>
      </c>
      <c r="T9" s="83">
        <v>0</v>
      </c>
      <c r="U9" s="83">
        <v>0</v>
      </c>
    </row>
    <row r="10" spans="1:21">
      <c r="K10" s="83" t="str">
        <v>&lt;Bullet list of lay terminology of all assessments required during the in-residence period; note differences in assessments based on the day of “in-residence”&gt;</v>
      </c>
      <c r="L10" s="83">
        <v>0</v>
      </c>
      <c r="M10" s="83" t="str">
        <v>List</v>
      </c>
      <c r="N10" s="83" t="str">
        <v xml:space="preserve">A full physical examination will include, at a minimum, assessments of head, eyes, ears, nose, and throat (HEENT), neck, chest, skin, cardiovascular system, respiratory system, gastrointestinal system/abdomen, genitourinary system (at discretion of Investigator), lymphatic system, musculoskeletal system, and neurological system. 
Investigators should pay special attention to clinical signs related to previous serious illnesses. </v>
      </c>
      <c r="O10" s="83" t="str">
        <v>Protocol Example (28Sep2023) 1</v>
      </c>
      <c r="P10" s="83" t="str">
        <v>List, in lay terms, all assessments required during the in-residence period, noting any differences in assessments based on the day of in-residence.</v>
      </c>
      <c r="Q10" s="83" t="str">
        <v>&lt;ul&gt;&lt;li&gt;Blood samples for pharmacokinetic (PK) and biomarker analysis (may include up to 3 extra blood draws per treatment period)&lt;/li&gt;&lt;li&gt;Blood samples for exploratory pharmacodynamic (PD) and safety biomarker analysis&lt;/li&gt;&lt;li&gt;Physical examination and other medical assessments&lt;/li&gt;&lt;li&gt;Subcutaneous (SC) injections of study drug (ABC-123 or placebo)&lt;/li&gt;&lt;li&gt;Monitoring for possible side effects or discomfort from injections or blood draws&lt;/li&gt;&lt;/ul&gt;</v>
      </c>
      <c r="R10" s="83">
        <v>0</v>
      </c>
      <c r="S10" s="83" t="e" vm="64">
        <v>#VALUE!</v>
      </c>
      <c r="T10" s="83">
        <v>0</v>
      </c>
      <c r="U10" s="83">
        <v>0</v>
      </c>
    </row>
    <row r="11" spans="1:21">
      <c r="K11" s="83" t="str">
        <v>&lt;Bullet list of lay terminology of all assessments required during Check-out/Day X&gt;</v>
      </c>
      <c r="L11" s="83">
        <v>0</v>
      </c>
      <c r="M11" s="83" t="str">
        <v>List</v>
      </c>
      <c r="N11" s="83" t="str">
        <v xml:space="preserve">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v>
      </c>
      <c r="O11" s="83" t="str">
        <v>Protocol Example (28Sep2023) 1</v>
      </c>
      <c r="P11" s="83" t="str">
        <v>Provide a bullet list of all required assessments during Check-out/Day X using lay terminology.</v>
      </c>
      <c r="Q11" s="83" t="str">
        <v>&lt;li&gt;Physical examination&lt;/li&gt;&lt;li&gt;Blood collection&lt;/li&gt;&lt;li&gt;Medical assessments related to study procedures&lt;/li&gt;</v>
      </c>
      <c r="R11" s="83">
        <v>0</v>
      </c>
      <c r="S11" s="83" t="e" vm="68">
        <v>#VALUE!</v>
      </c>
      <c r="T11" s="83">
        <v>0</v>
      </c>
      <c r="U11" s="83">
        <v>0</v>
      </c>
    </row>
    <row r="12" spans="1:21">
      <c r="K12" s="83" t="str">
        <v>&lt;Bullet list of lay terminology of all assessments required during the follow-up period; note differences in assessments based on the day and cohort of “follow-up period”&gt;</v>
      </c>
      <c r="L12" s="83">
        <v>0</v>
      </c>
      <c r="M12" s="83" t="str">
        <v>List</v>
      </c>
      <c r="N12" s="83" t="str">
        <v xml:space="preserve">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 </v>
      </c>
      <c r="O12" s="83" t="str">
        <v>Protocol Example (28Sep2023) 1</v>
      </c>
      <c r="P12" s="83">
        <v>0</v>
      </c>
      <c r="Q12" s="83">
        <v>0</v>
      </c>
      <c r="R12" s="83">
        <v>0</v>
      </c>
      <c r="S12" s="83" t="e" vm="5">
        <v>#VALUE!</v>
      </c>
      <c r="T12" s="83">
        <v>0</v>
      </c>
      <c r="U12" s="83">
        <v>0</v>
      </c>
    </row>
    <row r="13" spans="1:21">
      <c r="K13" s="83" t="str">
        <v>&lt;Bullet list of lay terminology of all assessments required during ED&gt;</v>
      </c>
      <c r="L13" s="83">
        <v>0</v>
      </c>
      <c r="M13" s="83" t="str">
        <v>List</v>
      </c>
      <c r="N13" s="83">
        <v>0</v>
      </c>
      <c r="O13" s="83" t="str">
        <v>Protocol Example (28Sep2023) 1</v>
      </c>
      <c r="P13" s="83" t="str">
        <v>List all assessments required during early discontinuation in layperson-friendly terms as bullet points.</v>
      </c>
      <c r="Q13" s="83" t="str">
        <v>•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v>
      </c>
      <c r="R13" s="83">
        <v>0</v>
      </c>
      <c r="S13" s="83" t="e" vm="71">
        <v>#VALUE!</v>
      </c>
      <c r="T13" s="83">
        <v>0</v>
      </c>
      <c r="U13" s="83">
        <v>0</v>
      </c>
    </row>
    <row r="14" spans="1:21" ht="409.6">
      <c r="A14" s="115" t="s">
        <v>211</v>
      </c>
      <c r="B14" s="116"/>
      <c r="D14" s="124" t="s">
        <v>212</v>
      </c>
      <c r="E14" s="116" t="s">
        <v>16</v>
      </c>
      <c r="F14" s="115" t="s">
        <v>213</v>
      </c>
      <c r="G14" s="115" t="s">
        <v>214</v>
      </c>
      <c r="H14" s="116"/>
      <c r="K14" s="83" t="str">
        <v>&lt;Bullet list of lay terminology of all assessments required during screening&gt;</v>
      </c>
      <c r="L14" s="83">
        <v>0</v>
      </c>
      <c r="M14" s="83" t="str">
        <v>List</v>
      </c>
      <c r="N14" s="83" t="str">
        <v xml:space="preserve">Study procedures and their timing are summarized in the SoA (Section 1.3). Protocol waivers or exemptions are not allowed. 
Immediate safety concerns should be discussed with the Medical Monitor immediately upon occurrence or awareness to determine if the participant should continue or discontinue study intervention. 
Adherence to the study design requirements, including those specified in the SoA, is essential and required for study conduct. 
All screening evaluations must be completed and reviewed to confirm that potential participants meet all eligibility criteria. The Investigator will maintain a screening log to record details of all participants screened and to confirm eligibility or record reasons for screening failure, as applicable. 
Procedures conducted as part of the participant’s routine clinical management (eg, blood count) and obtained before signing of the ICF may be utilized for screening or baseline purposes provided the procedures met the protocol-specified criteria and were performed within the time frame defined in the SoA. 
Refer to Section 10.3 (Appendix 3) for mitigation strategies if changes may be required to procedures as a result of a public health emergency (eg, COVID-19). </v>
      </c>
      <c r="O14" s="83" t="str">
        <v>Protocol Example (28Sep2023) 1</v>
      </c>
      <c r="P14" s="83" t="str">
        <v>Write a bullet list in lay language of all tests and assessments required during screening.</v>
      </c>
      <c r="Q14" s="83" t="str">
        <v>&lt;li&gt;Medical history review&lt;/li&gt;&lt;li&gt;Physical examination&lt;/li&gt;&lt;li&gt;12-lead ECG&lt;/li&gt;&lt;li&gt;Vital signs measurements&lt;/li&gt;&lt;li&gt;Blood and other laboratory tests&lt;/li&gt;</v>
      </c>
      <c r="R14" s="83">
        <v>0</v>
      </c>
      <c r="S14" s="83" t="e" vm="59">
        <v>#VALUE!</v>
      </c>
      <c r="T14" s="83">
        <v>0</v>
      </c>
      <c r="U14" s="83">
        <v>0</v>
      </c>
    </row>
    <row r="15" spans="1:21" ht="344.25">
      <c r="A15" s="115" t="s">
        <v>269</v>
      </c>
      <c r="B15" s="116"/>
      <c r="D15" s="124" t="s">
        <v>223</v>
      </c>
      <c r="E15" s="116" t="s">
        <v>16</v>
      </c>
      <c r="F15" s="115" t="s">
        <v>224</v>
      </c>
      <c r="G15" s="115" t="s">
        <v>225</v>
      </c>
      <c r="H15" s="116"/>
      <c r="K15" s="83" t="str">
        <v>&lt;Bullet list of lay terminology of all assessments required during the first in-residence period; note differences in assessments based on the day of “in-residence”&gt;</v>
      </c>
      <c r="L15" s="83">
        <v>0</v>
      </c>
      <c r="M15" s="83" t="str">
        <v>List</v>
      </c>
      <c r="N15" s="83" t="str">
        <v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v>
      </c>
      <c r="O15" s="83" t="str">
        <v>Protocol Example (28Sep2023) 1</v>
      </c>
      <c r="P15" s="83">
        <v>0</v>
      </c>
      <c r="Q15" s="83">
        <v>0</v>
      </c>
      <c r="R15" s="83">
        <v>0</v>
      </c>
      <c r="S15" s="83" t="e" vm="5">
        <v>#VALUE!</v>
      </c>
      <c r="T15" s="83">
        <v>0</v>
      </c>
      <c r="U15" s="83">
        <v>0</v>
      </c>
    </row>
    <row r="16" spans="1:21" ht="409.6">
      <c r="A16" s="115" t="s">
        <v>235</v>
      </c>
      <c r="B16" s="116"/>
      <c r="D16" s="124" t="s">
        <v>236</v>
      </c>
      <c r="E16" s="116" t="s">
        <v>16</v>
      </c>
      <c r="F16" s="115"/>
      <c r="G16" s="115"/>
      <c r="H16" s="116"/>
      <c r="K16" s="83" t="str">
        <v>&lt;Bullet list of lay terminology of all assessments required during first Check-out&gt;</v>
      </c>
      <c r="L16" s="83">
        <v>0</v>
      </c>
      <c r="M16" s="83" t="str">
        <v>List</v>
      </c>
      <c r="N16" s="83" t="str">
        <v xml:space="preserve">Participants will abstain from ingesting caffeine- or xanthine-containing products (eg, coffee, tea, cola drinks, and chocolate) from 24 hours before Check-in until Check-out from the CRU. 
Participants will abstain from alcohol from 48 hours before Check-in until Check-out from the CRU. 
Participants who use tobacco products will be instructed that use of nicotine-containing products (including nicotine patches) will not be permitted while they are in the CRU. </v>
      </c>
      <c r="O16" s="83" t="str">
        <v>Protocol Example (28Sep2023) 1</v>
      </c>
      <c r="P16" s="83">
        <v>0</v>
      </c>
      <c r="Q16" s="83">
        <v>0</v>
      </c>
      <c r="R16" s="83">
        <v>0</v>
      </c>
      <c r="S16" s="83" t="e" vm="5">
        <v>#VALUE!</v>
      </c>
      <c r="T16" s="83">
        <v>0</v>
      </c>
      <c r="U16" s="83">
        <v>0</v>
      </c>
    </row>
    <row r="17" spans="1:21" ht="409.6">
      <c r="A17" s="115" t="s">
        <v>323</v>
      </c>
      <c r="B17" s="116"/>
      <c r="D17" s="124" t="s">
        <v>212</v>
      </c>
      <c r="E17" s="116" t="s">
        <v>16</v>
      </c>
      <c r="F17" s="115" t="s">
        <v>213</v>
      </c>
      <c r="G17" s="115" t="s">
        <v>214</v>
      </c>
      <c r="H17" s="116"/>
      <c r="K17" s="83" t="str">
        <v>&lt;Bullet list of lay terminology of all assessments required during the second in-residence period; note differences in assessments based on the day of “in-residence”&gt;</v>
      </c>
      <c r="L17" s="83">
        <v>0</v>
      </c>
      <c r="M17" s="83" t="str">
        <v>List</v>
      </c>
      <c r="N17" s="83" t="str">
        <v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 </v>
      </c>
      <c r="O17" s="83" t="str">
        <v>Protocol Example (28Sep2023) 1</v>
      </c>
      <c r="P17" s="83" t="str">
        <v>Write a bullet list in lay terms of all assessments required during the second in-residence period, noting differences in assessments based on the day.</v>
      </c>
      <c r="Q17" s="83" t="str">
        <v>• Blood samples for pharmacokinetics (PK) and biomarkers will be collected by drawing blood from a vein or using a small tube (cannulation) at scheduled times.&lt;br&gt;• Blood samples for exploratory pharmacodynamic (PD) and safety biomarkers will also be taken; up to 3 extra blood samples may be drawn per treatment period if needed.&lt;br&gt;• Routine laboratory tests as specified in the Schedule of Assessments (SoA) and Laboratory Manual.&lt;br&gt;• Medical evaluations and assessments, such as physical exams.&lt;br&gt;• Assessments may differ based on the day of the in-residence period, with some days involving dosing and others focused on follow-up and monitoring.</v>
      </c>
      <c r="R17" s="83">
        <v>0</v>
      </c>
      <c r="S17" s="83" t="e" vm="78">
        <v>#VALUE!</v>
      </c>
      <c r="T17" s="83">
        <v>0</v>
      </c>
      <c r="U17" s="83">
        <v>0</v>
      </c>
    </row>
    <row r="18" spans="1:21" ht="409.6">
      <c r="A18" s="115" t="s">
        <v>329</v>
      </c>
      <c r="B18" s="116"/>
      <c r="D18" s="124" t="s">
        <v>270</v>
      </c>
      <c r="E18" s="116" t="s">
        <v>16</v>
      </c>
      <c r="F18" s="115" t="s">
        <v>271</v>
      </c>
      <c r="G18" s="115" t="s">
        <v>272</v>
      </c>
      <c r="H18" s="116"/>
      <c r="K18" s="83" t="str">
        <v>&lt;Bullet list of lay terminology of all assessments required during final Check-out&gt;</v>
      </c>
      <c r="L18" s="83">
        <v>0</v>
      </c>
      <c r="M18" s="83" t="str">
        <v>List</v>
      </c>
      <c r="N18" s="83" t="str">
        <v>The Investigator must permit study-related monitoring, audits, IRB/IEC review, and regulatory agency inspections and provide direct access to source data documents. 
Monitoring details describing strategy (eg, risk-based initiatives in operations and quality such as Risk Management and Mitigation Strategies and Analytical Risk- Based Monitoring), methods, responsibilities, and requirements, including handling of noncompliance issues and monitoring techniques (central, remote, or on-site monitoring) are provided in the TMF. 
The Sponsor or designee is responsible for the data management of this study including quality checking of the data. 
The Sponsor will provide oversight for actions delegated to other individuals (eg, CRO). 
Study monitors will perform ongoing source data verification to confirm that data entered into the eCRF by authorized site personnel are accurate, complete, and verifiable from source documents; that the safety and rights of participants are being protected; and that the study is being conducted in accordance with the currently approved protocol and any other study agreements, ICH GCP, and all applicable regulatory requirements. 
Records and documents, including signed ICFs, pertaining to the conduct of this study must be retained by the Investigator for 2 years (or until final marketing authorization approval) after study completion unless local regulations or institutional policies require a longer retention period. No records may be destroyed during the retention period without the written approval of the Sponsor. No records may be transferred to another location or party without written notification to the Sponsor.</v>
      </c>
      <c r="O18" s="83" t="str">
        <v>Protocol Example (28Sep2023) 1</v>
      </c>
      <c r="P18" s="83" t="str">
        <v>List all final Check-out assessments using clear, lay terminology.</v>
      </c>
      <c r="Q18" s="83" t="str">
        <v>&lt;li&gt;Physical examination&lt;/li&gt;&lt;li&gt;Blood collection&lt;/li&gt;&lt;li&gt;Other medical evaluations and assessments associated with study procedures&lt;/li&gt;</v>
      </c>
      <c r="R18" s="83">
        <v>0</v>
      </c>
      <c r="S18" s="83" t="e" vm="81">
        <v>#VALUE!</v>
      </c>
      <c r="T18" s="83">
        <v>0</v>
      </c>
      <c r="U18" s="83">
        <v>0</v>
      </c>
    </row>
    <row r="19" spans="1:21" ht="409.6">
      <c r="A19" s="115" t="s">
        <v>333</v>
      </c>
      <c r="B19" s="116"/>
      <c r="D19" s="124" t="s">
        <v>236</v>
      </c>
      <c r="E19" s="116" t="s">
        <v>16</v>
      </c>
      <c r="F19" s="115"/>
      <c r="G19" s="115"/>
      <c r="H19" s="116"/>
      <c r="K19" s="83" t="str">
        <v>&lt;Bullet list of lay terminology of all assessments required during the follow-up period; note differences in assessments based on the day and cohort of “follow-up period”&gt;</v>
      </c>
      <c r="L19" s="83">
        <v>0</v>
      </c>
      <c r="M19" s="83" t="str">
        <v>List</v>
      </c>
      <c r="N19" s="83" t="str">
        <v xml:space="preserve">The Investigator is obligated to perform or arrange for the conduct of supplemental measurements and/or evaluations as medically indicated or as requested by the Sponsor (or designee) to elucidate the nature and/or causality of the AE or SAE as fully as possible. This may include additional laboratory tests or investigations, histopathological examinations, or consultation with other health care professionals. 
If a participant dies during participation in the study or during a recognized Follow-up period, the Investigator will provide the Sponsor (or designee) with a copy of any post-mortem findings including histopathology. 
New or updated information will be recorded in the originally completed eCRF. 
The Investigator will submit any updated SAE data to the Sponsor (or designee) within 24 hours of receipt of the information. </v>
      </c>
      <c r="O19" s="83" t="str">
        <v>Protocol Example (28Sep2023) 1</v>
      </c>
      <c r="P19" s="83">
        <v>0</v>
      </c>
      <c r="Q19" s="83">
        <v>0</v>
      </c>
      <c r="R19" s="83">
        <v>0</v>
      </c>
      <c r="S19" s="83" t="e" vm="5">
        <v>#VALUE!</v>
      </c>
      <c r="T19" s="83">
        <v>0</v>
      </c>
      <c r="U19" s="83">
        <v>0</v>
      </c>
    </row>
    <row r="20" spans="1:21" ht="15.75">
      <c r="A20" s="116"/>
      <c r="B20" s="116"/>
      <c r="D20" s="117" t="s">
        <v>324</v>
      </c>
      <c r="E20" s="116" t="s">
        <v>16</v>
      </c>
      <c r="F20" s="115" t="s">
        <v>325</v>
      </c>
      <c r="G20" s="115" t="s">
        <v>326</v>
      </c>
      <c r="H20" s="116"/>
      <c r="K20" s="83" t="str">
        <v>&lt;Bullet list of lay terminology of all assessments required during ED&gt;</v>
      </c>
      <c r="L20" s="83">
        <v>0</v>
      </c>
      <c r="M20" s="83" t="str">
        <v>List</v>
      </c>
      <c r="N20" s="83">
        <v>0</v>
      </c>
      <c r="O20" s="83" t="str">
        <v>Protocol Example (28Sep2023) 1</v>
      </c>
      <c r="P20" s="83" t="str">
        <v>List all assessments required during early discontinuation in layperson-friendly terms as bullet points.</v>
      </c>
      <c r="Q20" s="83" t="str">
        <v>• Blood tests (to check general health, organ function, and other laboratory values)&lt;br&gt;• Vital signs (blood pressure, heart rate, breathing rate, and body temperature)&lt;br&gt;• Electrocardiogram (ECG, a heart tracing)&lt;br&gt;• Physical examination by study staff&lt;br&gt;• Mental health assessment&lt;br&gt;• Review of any new symptoms or side effects&lt;br&gt;• Review of any medications you are taking</v>
      </c>
      <c r="R20" s="83">
        <v>0</v>
      </c>
      <c r="S20" s="83" t="e" vm="71">
        <v>#VALUE!</v>
      </c>
      <c r="T20" s="83">
        <v>0</v>
      </c>
      <c r="U20" s="83">
        <v>0</v>
      </c>
    </row>
    <row r="21" spans="1:21" ht="409.6">
      <c r="A21" s="116"/>
      <c r="B21" s="116"/>
      <c r="D21" s="124" t="s">
        <v>330</v>
      </c>
      <c r="E21" s="116" t="s">
        <v>16</v>
      </c>
      <c r="F21" s="115" t="s">
        <v>331</v>
      </c>
      <c r="G21" s="115" t="s">
        <v>332</v>
      </c>
      <c r="H21" s="116"/>
      <c r="K21" s="83" t="str">
        <v>&lt;Bullet list of lay terminology summarizing the protocol criteria for women to be not considered a WOCBP&gt;</v>
      </c>
      <c r="L21" s="83">
        <v>0</v>
      </c>
      <c r="M21" s="83" t="str">
        <v>List</v>
      </c>
      <c r="N21" s="83" t="str">
        <v xml:space="preserve">Women in the following categories are not considered WOCBP 
Premenarchal 
Premenopausal female with 1 of the following: 
Documented hysterectomy 
Documented bilateral salpingectomy 
Documented bilateral oophorectomy 
For individuals with permanent infertility due to an alternate medical cause other than the above, (eg, mullerian agenesis, androgen insensitivity), cause should be documented, and Investigator discretion should be applied to determining study entry. 
Note: Documentation can come from the site personnel’s: review of the participant’s medical records, medical examination, or medical history interview. 
Postmenopausal female 
A postmenopausal state is defined as no menses for 12 months without an alternative medical cause. 
A high follicle-stimulating hormone (FSH) level in the postmenopausal range may be used to confirm a postmenopausal state in women not using hormonal contraception or hormone replacement therapy (HRT). However, in the absence of 12 months of amenorrhea, confirmation with more than one FSH measurement consistent with postmenopausal status is required. 
Females on HRT and whose menopausal status is in doubt will be required to use one of the non-estrogen hormonal highly effective contraception methods if they wish to continue their HRT during the study. Otherwise, they must discontinue HRT to allow confirmation of postmenopausal status before study enrollment. 
 </v>
      </c>
      <c r="O21" s="83" t="str">
        <v>Protocol Example (28Sep2023) 1</v>
      </c>
      <c r="P21" s="83" t="str">
        <v>Summarize protocol criteria for women to be considered not of childbearing potential (not WOCBP) in lay bullet points.</v>
      </c>
      <c r="Q21" s="83" t="str">
        <v>&lt;li&gt;You have not started having periods (premenarchal).&lt;/li&gt;&lt;li&gt;You have had your uterus removed (hysterectomy).&lt;/li&gt;&lt;li&gt;You have had both fallopian tubes removed (bilateral salpingectomy).&lt;/li&gt;&lt;li&gt;You have had both ovaries removed (bilateral oophorectomy).&lt;/li&gt;&lt;li&gt;You are permanently infertile due to another medical reason (such as certain medical conditions), as determined by your doctor.&lt;/li&gt;&lt;li&gt;You have not had a period for 12 months in a row and there is no other medical reason for this (postmenopausal).&lt;/li&gt;</v>
      </c>
      <c r="R21" s="83">
        <v>0</v>
      </c>
      <c r="S21" s="83">
        <v>0</v>
      </c>
      <c r="T21" s="83">
        <v>0</v>
      </c>
      <c r="U21" s="83">
        <v>0</v>
      </c>
    </row>
    <row r="22" spans="1:21" ht="409.6">
      <c r="A22" s="116"/>
      <c r="B22" s="116"/>
      <c r="D22" s="124" t="s">
        <v>334</v>
      </c>
      <c r="E22" s="116" t="s">
        <v>16</v>
      </c>
      <c r="F22" s="115" t="s">
        <v>335</v>
      </c>
      <c r="G22" s="115" t="s">
        <v>336</v>
      </c>
      <c r="H22" s="116"/>
      <c r="K22" s="83" t="str">
        <v>&lt;Lay terminology summarizing protocol requirement for males regarding contraception&gt;</v>
      </c>
      <c r="L22" s="83">
        <v>0</v>
      </c>
      <c r="M22" s="83" t="str">
        <v>List</v>
      </c>
      <c r="N22" s="83" t="str">
        <v>Male participants will agree to use contraception while on study intervention and for at least 6 months after the last dose of study intervention. </v>
      </c>
      <c r="O22" s="83" t="str">
        <v>Protocol Example (28Sep2023) 1</v>
      </c>
      <c r="P22" s="83" t="str">
        <v>Summarize the protocol requirements for male contraception in clear, lay language.</v>
      </c>
      <c r="Q22" s="83" t="str">
        <v>Male participants are required to use contraception while taking the study medication and for at least 6 months after their last dose. This includes using a male condom with spermicide and a second approved method of birth control, even if they have had a vasectomy. They should also avoid sexual intercourse with pregnant or breastfeeding partners unless a condom is used during the same period.</v>
      </c>
      <c r="R22" s="83">
        <v>0</v>
      </c>
      <c r="S22" s="83">
        <v>0</v>
      </c>
      <c r="T22" s="83">
        <v>0</v>
      </c>
      <c r="U22" s="83">
        <v>0</v>
      </c>
    </row>
    <row r="23" spans="1:21">
      <c r="K23" s="83" t="str">
        <v>&lt;Bullet list of lay terminology summarizing the protocol listed acceptable second methods of contraception.&gt;</v>
      </c>
      <c r="L23" s="83">
        <v>0</v>
      </c>
      <c r="M23" s="83" t="str">
        <v>List</v>
      </c>
      <c r="N23" s="83" t="str">
        <v xml:space="preserve">Understands study procedures and voluntarily provides written informed consent. 
Willing and able to abide by the study restrictions, including the lifestyle considerations in Section 5.3. 
Willing and able to complete all study visits, in-residence requirements, and procedures. 
18 to 65 years of age at the time of signing informed consent. 
Body mass index (BMI) between 18.0 and 35.0 kg/m2, inclusive, at Screening. 
Female participants will be of non-childbearing potential (refer to Section 10.5 [Appendix 5] for definition of non-childbearing potential). 
Male participants will agree to use contraception while on study intervention and for at least 6 months after the last dose of study intervention. 
SAD cohorts only: Participants must be in good health, determined by no clinically significant findings from medical history, physical examination, 12-lead ECG, vital signs measurements, and clinical laboratory evaluations (see exclusion criteria for criteria for specific labs) at Screening as assessed by the Investigator. Clinical laboratory assessments may be repeated once at the Investigator’s discretion if laboratory error is suspected. 
Repeat-dose cohort only: boneitis treated with Zammoxin or myrnestristoate and in otherwise good health except for well-controlled common conditions associated with boneitis, such as acid sweat or tonsillar invisibility. Clinical laboratory assessments may be repeated once at the Investigator’s discretion if laboratory error is suspected. </v>
      </c>
      <c r="O23" s="83" t="str">
        <v>Protocol Example (28Sep2023) 1</v>
      </c>
      <c r="P23" s="83" t="str">
        <v>List the protocol-accepted second methods of contraception for female partners in lay language as individual bullet points.</v>
      </c>
      <c r="Q23" s="83">
        <v>0</v>
      </c>
      <c r="R23" s="83">
        <v>0</v>
      </c>
      <c r="S23" s="83">
        <v>0</v>
      </c>
      <c r="T23" s="83">
        <v>0</v>
      </c>
      <c r="U23" s="83">
        <v>0</v>
      </c>
    </row>
    <row r="24" spans="1:21">
      <c r="K24" s="83" t="str">
        <v>&lt;Lay terminology summarizing pregnancy information collection practices for male participants with partners who become pregnant.&gt;</v>
      </c>
      <c r="L24" s="83">
        <v>0</v>
      </c>
      <c r="M24" s="83" t="str">
        <v>List</v>
      </c>
      <c r="N24" s="83" t="str">
        <v xml:space="preserve">The Investigator will attempt to collect pregnancy information on any male participant’s female partner who becomes pregnant while the male participant is in this study. This applies only to male participants who receive study intervention. 
After obtaining the necessary signed informed consent from the pregnant female partner directly, the Investigator will record pregnancy information on the appropriate form and submit it to the Sponsor within 24 hours of learning of the partner’s pregnancy. The female partner will also be followed to determine the outcome of the pregnancy. Information on the status of the mother and child will be forwarded to the Sponsor. Generally, the follow-up will be no longer than 6 to 8 weeks following the estimated delivery date. Any termination of the pregnancy will be reported regardless of fetal status (presence or absence of anomalies) or indication for the procedure. </v>
      </c>
      <c r="O24" s="83" t="str">
        <v>Protocol Example (28Sep2023) 1</v>
      </c>
      <c r="P24" s="83" t="str">
        <v>Summarize, in lay terms, the process for collecting pregnancy information when a male participant's partner becomes pregnant during the study.</v>
      </c>
      <c r="Q24" s="83" t="str">
        <v>&lt;p&gt;If a male participant's partner becomes pregnant during the study, the study team will ask for the partner's permission to collect information about her pregnancy. This information helps monitor the health of both the mother and baby. The study team will follow up with the partner, with her consent, to learn about the outcome of the pregnancy, and will share this information with the study sponsor. Any end of pregnancy, such as miscarriage or termination, will also be reported, regardless of the reason.&lt;/p&gt;</v>
      </c>
      <c r="R24" s="83">
        <v>0</v>
      </c>
      <c r="S24" s="83">
        <v>0</v>
      </c>
      <c r="T24" s="83">
        <v>0</v>
      </c>
      <c r="U24" s="83">
        <v>0</v>
      </c>
    </row>
    <row r="25" spans="1:21">
      <c r="K25" s="83" t="str">
        <v>&lt;Lay terminology summarizing pregnancy information collection practices for female participants who become pregnant.&gt;</v>
      </c>
      <c r="L25" s="83">
        <v>0</v>
      </c>
      <c r="M25" s="83" t="str">
        <v>List</v>
      </c>
      <c r="N25" s="83" t="str">
        <v xml:space="preserve">The participant will be followed to determine the outcome of the pregnancy. The Investigator will collect follow-up information on the participant and the neonate, and the information will be forwarded to the Sponsor. Generally, follow-up will not be required for longer than 6 to 8 weeks beyond the estimated delivery date. Any termination of pregnancy will be reported, regardless of fetal status (presence or absence of anomalies) or indication for the procedure. 
​​While pregnancy itself is not considered to be an AE or SAE, any pregnancy complication or elective termination of a pregnancy for medical reasons will be reported as an AE or SAE. A spontaneous abortion (occurring at &lt;22 weeks gestational age) or still birth (occurring at ≥22 weeks gestational age) is always considered to be an SAE and will be reported as such. Any post-study​ 
pregnancy-related SAE considered reasonably related to the study intervention by the Investigator will be reported to the Sponsor as described in Section 8.6.4. While the Investigator is not obligated to actively seek this information in former study participants, he or she may learn of an SAE through spontaneous reporting. 
Any female participant who becomes pregnant while participating in the study will discontinue study intervention. </v>
      </c>
      <c r="O25" s="83" t="str">
        <v>Protocol Example (28Sep2023) 1</v>
      </c>
      <c r="P25" s="83" t="str">
        <v>Summarize in lay terms how pregnancy information is collected for female participants who become pregnant.</v>
      </c>
      <c r="Q25" s="83" t="str">
        <v>&lt;p&gt;If a female participant becomes pregnant during the study, she will stop receiving the study medication. The study team will follow her and her baby to check on their health and collect information about the pregnancy outcome. This follow-up usually lasts up to 6 to 8 weeks after the expected delivery date. Any pregnancy loss or complication will also be reported, no matter the reason or the baby's condition.&lt;/p&gt;</v>
      </c>
      <c r="R25" s="83">
        <v>0</v>
      </c>
      <c r="S25" s="83">
        <v>0</v>
      </c>
      <c r="T25" s="83">
        <v>0</v>
      </c>
      <c r="U25" s="83">
        <v>0</v>
      </c>
    </row>
  </sheetData>
  <dataValidations count="1">
    <dataValidation type="list" allowBlank="1" showInputMessage="1" showErrorMessage="1" sqref="E14:E22" xr:uid="{AC0A46D3-FE36-42C6-8F8D-6DEFF350C191}">
      <formula1>"Protocol Example (28Sep2023) 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2C402C0-DB71-4117-9220-B2231059526C}">
          <x14:formula1>
            <xm:f>Summary!$D$12:$L$12</xm:f>
          </x14:formula1>
          <xm:sqref>E2 H2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8B61E-7C6D-4C20-B429-020CDD99D7DD}">
  <dimension ref="A2:K8"/>
  <sheetViews>
    <sheetView workbookViewId="0">
      <selection activeCell="C15" sqref="C15"/>
    </sheetView>
  </sheetViews>
  <sheetFormatPr defaultRowHeight="14.25"/>
  <cols>
    <col min="1" max="1" width="51.625" style="83" bestFit="1" customWidth="1"/>
    <col min="2" max="2" width="9" style="83"/>
    <col min="3" max="3" width="25.125" style="83" customWidth="1"/>
    <col min="4" max="4" width="20.375" style="83" customWidth="1"/>
    <col min="5" max="5" width="31.5" style="83" bestFit="1" customWidth="1"/>
    <col min="6" max="6" width="18.25" style="83" customWidth="1"/>
    <col min="7" max="7" width="20.875" style="83" customWidth="1"/>
    <col min="8" max="8" width="31.5" style="83" bestFit="1" customWidth="1"/>
    <col min="9" max="9" width="21.125" style="83" customWidth="1"/>
    <col min="10" max="10" width="9" style="83"/>
    <col min="11" max="11" width="14" style="83" bestFit="1" customWidth="1"/>
    <col min="12" max="16384" width="9" style="83"/>
  </cols>
  <sheetData>
    <row r="2" spans="1:11" ht="15">
      <c r="A2" s="84" t="s">
        <v>60</v>
      </c>
      <c r="B2" s="84"/>
      <c r="C2" s="84" t="s">
        <v>61</v>
      </c>
      <c r="D2" s="84" t="s">
        <v>62</v>
      </c>
      <c r="E2" s="85" t="s">
        <v>63</v>
      </c>
      <c r="F2" s="84" t="s">
        <v>64</v>
      </c>
      <c r="G2" s="84" t="s">
        <v>65</v>
      </c>
      <c r="H2" s="85" t="s">
        <v>66</v>
      </c>
      <c r="I2" s="85" t="s">
        <v>67</v>
      </c>
      <c r="J2" s="85" t="s">
        <v>68</v>
      </c>
      <c r="K2" s="85" t="s">
        <v>69</v>
      </c>
    </row>
    <row r="3" spans="1:11">
      <c r="A3" s="83" t="str" cm="1">
        <f t="array" aca="1" ref="A3:K8" ca="1">_xlfn._xlws.FILTER(QA!A3:'QA'!K500, QA!C3:'QA'!C500="Table")</f>
        <v>&lt;Brief lay description of study design including purpose/objectives&gt;</v>
      </c>
      <c r="B3" s="83">
        <f ca="1"/>
        <v>0</v>
      </c>
      <c r="C3" s="83" t="str">
        <f ca="1"/>
        <v>Table</v>
      </c>
      <c r="D3" s="83" t="str">
        <f ca="1"/>
        <v xml:space="preserve">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 
</v>
      </c>
      <c r="E3" s="83" t="str">
        <f ca="1"/>
        <v>Protocol Example (28Sep2023) 1</v>
      </c>
      <c r="F3" s="83" t="str">
        <f ca="1"/>
        <v>Write a brief lay description of the study design, purpose, and objectives suitable for participant information.</v>
      </c>
      <c r="G3" s="83" t="str">
        <f ca="1"/>
        <v>&lt;li&gt;This study is designed to test ABC-123, a new therapy, in healthy volunteers and participants with boneitis.&lt;/li&gt;&lt;li&gt;The purpose is to evaluate safety, tolerability, and pharmacodynamic effects of ABC-123.&lt;/li&gt;&lt;li&gt;The study includes a single ascending dose (SAD) portion that is double-blind, randomized, and placebo-controlled.&lt;/li&gt;&lt;liParticipants may help advance treatment options for boneitis and contribute to medical research.&lt;/li&gt;</v>
      </c>
      <c r="H3" s="83">
        <f ca="1"/>
        <v>0</v>
      </c>
      <c r="I3" s="83" t="e" vm="19">
        <f ca="1"/>
        <v>#VALUE!</v>
      </c>
      <c r="J3" s="83">
        <f ca="1"/>
        <v>0</v>
      </c>
      <c r="K3" s="83">
        <f ca="1"/>
        <v>0</v>
      </c>
    </row>
    <row r="4" spans="1:11">
      <c r="A4" s="83" t="str">
        <f ca="1"/>
        <v>&lt;lay terminology for route of administration of study drug&gt;</v>
      </c>
      <c r="B4" s="83">
        <f ca="1"/>
        <v>0</v>
      </c>
      <c r="C4" s="83" t="str">
        <f ca="1"/>
        <v>Table</v>
      </c>
      <c r="D4" s="83" t="str">
        <f ca="1"/>
        <v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v>
      </c>
      <c r="E4" s="83" t="str">
        <f ca="1"/>
        <v>Protocol Example (28Sep2023) 1</v>
      </c>
      <c r="F4" s="83" t="str">
        <f ca="1"/>
        <v>Replace with a lay term for subcutaneous administration of the study drug.</v>
      </c>
      <c r="G4" s="83" t="str">
        <f ca="1"/>
        <v>shot under the skin</v>
      </c>
      <c r="H4" s="83">
        <f ca="1"/>
        <v>0</v>
      </c>
      <c r="I4" s="83" t="e" vm="25">
        <f ca="1"/>
        <v>#VALUE!</v>
      </c>
      <c r="J4" s="83">
        <f ca="1"/>
        <v>0</v>
      </c>
      <c r="K4" s="83">
        <f ca="1"/>
        <v>0</v>
      </c>
    </row>
    <row r="5" spans="1:11">
      <c r="A5" s="83" t="str">
        <f ca="1"/>
        <v>&lt;lay terminology for route of administration of study drug&gt;</v>
      </c>
      <c r="B5" s="83">
        <f ca="1"/>
        <v>0</v>
      </c>
      <c r="C5" s="83" t="str">
        <f ca="1"/>
        <v>Table</v>
      </c>
      <c r="D5" s="83" t="str">
        <f ca="1"/>
        <v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v>
      </c>
      <c r="E5" s="83" t="str">
        <f ca="1"/>
        <v>Protocol Example (28Sep2023) 1</v>
      </c>
      <c r="F5" s="83" t="str">
        <f ca="1"/>
        <v>Replace with a lay term for subcutaneous administration of the study drug.</v>
      </c>
      <c r="G5" s="83" t="str">
        <f ca="1"/>
        <v>shot under the skin</v>
      </c>
      <c r="H5" s="83">
        <f ca="1"/>
        <v>0</v>
      </c>
      <c r="I5" s="83" t="e" vm="25">
        <f ca="1"/>
        <v>#VALUE!</v>
      </c>
      <c r="J5" s="83">
        <f ca="1"/>
        <v>0</v>
      </c>
      <c r="K5" s="83">
        <f ca="1"/>
        <v>0</v>
      </c>
    </row>
    <row r="6" spans="1:11">
      <c r="A6" s="83" t="str">
        <f ca="1"/>
        <v>&lt;Brief lay description of study design including purpose/objectives&gt;</v>
      </c>
      <c r="B6" s="83">
        <f ca="1"/>
        <v>0</v>
      </c>
      <c r="C6" s="83" t="str">
        <f ca="1"/>
        <v>Table</v>
      </c>
      <c r="D6" s="83" t="str">
        <f ca="1"/>
        <v xml:space="preserve">
Objectives/Endpoints: The following objectives and endpoints will be evaluated in healthy participants during the SAD component of the study and in participants with boneitis in the repeat-dose component of the study. 
Objectives 
Endpoints 
Primary 
To assess the safety and tolerability after 4 weeks of exposure following single ascending doses of ABC-123 
Number of participants with serious and other nonserious AEs 
Secondary 
To assess the safety and tolerability following repeated doses over 4 weeks of ABC-123 
Number of participants with serious and other nonserious AEs 
To characterize PK of ABC-123 following single ascending doses 
Cmax and AUClast 
To characterize the PK of ABC-123 following repeated doses 
Cmax and AUClast 
Exploratory 
To explore additional PK characteristics of ABC-123 following single ascending doses 
Tmax, Clast, Tlast, AUCinf, CL, V, and t1/2 
To explore additional PK characteristics of ABC-123 following repeated doses 
Tmax, Clast, Tlast, AUCinf, CL, V, and t1/2 
To explore effects of ABC-123 on clinical laboratory assessments, 12-lead ECG, and vital signs following single ascending doses 
Incidence of clinically significant changes in laboratory parameters, 12-lead ECG parameters, and vital signs measurements 
To explore effects of ABC-123 on clinical laboratory assessments, 12-lead ECG, and vital signs following repeated doses 
Incidence of clinically significant changes in laboratory parameters, 12-lead ECG parameters, and vital signs measurements 
To explore the impact of ADA on the PK profile of ABC-123 following single ascending doses 
Impact of ADA on AUC or impact on overall exposure of ABC-123 
To explore the impact of ADA on the PK profile of ABC-123 following repeated doses 
Impact of ADA on AUC or impact on overall exposure of ABC-123 
To explore the effects on eating behavior in participants following single ascending doses of ABC-123 
Hunger, satiety, and appetite VAS scores 
Abbreviations: ADA = antidrug antibodies; AE = adverse event. 
</v>
      </c>
      <c r="E6" s="83" t="str">
        <f ca="1"/>
        <v>Protocol Example (28Sep2023) 1</v>
      </c>
      <c r="F6" s="83" t="str">
        <f ca="1"/>
        <v>Write a brief, layperson-oriented paragraph describing the study design, including its main goals and what will be assessed.</v>
      </c>
      <c r="G6" s="83" t="str">
        <f ca="1"/>
        <v>This study is being conducted to evaluate the safety and effects of a new investigational drug, ABC-123. It includes both healthy volunteers and participants with boneitis. The study will help researchers learn how the drug works in the body, how safe it is, and how it affects certain health measurements. The results will provide important information for future studies and may help identify the best dose and people who could benefit from ABC-123.</v>
      </c>
      <c r="H6" s="83">
        <f ca="1"/>
        <v>0</v>
      </c>
      <c r="I6" s="83" t="e" vm="33">
        <f ca="1"/>
        <v>#VALUE!</v>
      </c>
      <c r="J6" s="83">
        <f ca="1"/>
        <v>0</v>
      </c>
      <c r="K6" s="83">
        <f ca="1"/>
        <v>0</v>
      </c>
    </row>
    <row r="7" spans="1:11">
      <c r="A7" s="83" t="str">
        <f ca="1"/>
        <v>&lt;lay terminology for route of administration of study drug&gt;</v>
      </c>
      <c r="B7" s="83">
        <f ca="1"/>
        <v>0</v>
      </c>
      <c r="C7" s="83" t="str">
        <f ca="1"/>
        <v>Table</v>
      </c>
      <c r="D7" s="83" t="str">
        <f ca="1"/>
        <v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v>
      </c>
      <c r="E7" s="83" t="str">
        <f ca="1"/>
        <v>Protocol Example (28Sep2023) 1</v>
      </c>
      <c r="F7" s="83" t="str">
        <f ca="1"/>
        <v>Replace with a lay term for subcutaneous administration of the study drug.</v>
      </c>
      <c r="G7" s="83" t="str">
        <f ca="1"/>
        <v>shot under the skin</v>
      </c>
      <c r="H7" s="83">
        <f ca="1"/>
        <v>0</v>
      </c>
      <c r="I7" s="83" t="e" vm="25">
        <f ca="1"/>
        <v>#VALUE!</v>
      </c>
      <c r="J7" s="83">
        <f ca="1"/>
        <v>0</v>
      </c>
      <c r="K7" s="83">
        <f ca="1"/>
        <v>0</v>
      </c>
    </row>
    <row r="8" spans="1:11">
      <c r="A8" s="83" t="str">
        <f ca="1"/>
        <v>&lt;lay terminology for route of administration of study drug&gt;</v>
      </c>
      <c r="B8" s="83">
        <f ca="1"/>
        <v>0</v>
      </c>
      <c r="C8" s="83" t="str">
        <f ca="1"/>
        <v>Table</v>
      </c>
      <c r="D8" s="83" t="str">
        <f ca="1"/>
        <v xml:space="preserve">
Arm Name 
ABC-123 
Placebo 
Intervention Name 
ABC-123 
Placebo (blinded) 
Type 
Blorp inductor 
NA 
Dose Formulation 
Injectable solution 
Injectable solution 
Unit Dose Strength(s) 
150 mg/mL 
Matching placebo 
Dosage Level(s) 
SAD 
5 mg with approximate half-log escalations 
NA 
Repeat-dose 
Proposed dose level: 150 mg every other week for 3 doses (to be confirmed based on SAD data) 
NA 
Route of Administration 
Subcutaneous 
Subcutaneous 
Use 
Experimental 
Placebo 
IMP and NIMP 
IMP 
IMP 
Sourcing 
Provided centrally by the Sponsor 
Provided centrally by the Sponsor 
Packaging and Labeling 
ABC-123 will be provided in glass vials. Each vial will be labeled as required per FDA requirements. 
Placebo will be provided in matching glass vials. Each vial will be labeled per FDA requirements. 
</v>
      </c>
      <c r="E8" s="83" t="str">
        <f ca="1"/>
        <v>Protocol Example (28Sep2023) 1</v>
      </c>
      <c r="F8" s="83" t="str">
        <f ca="1"/>
        <v>Replace with a lay term for subcutaneous administration of the study drug.</v>
      </c>
      <c r="G8" s="83" t="str">
        <f ca="1"/>
        <v>shot under the skin</v>
      </c>
      <c r="H8" s="83">
        <f ca="1"/>
        <v>0</v>
      </c>
      <c r="I8" s="83" t="e" vm="25">
        <f ca="1"/>
        <v>#VALUE!</v>
      </c>
      <c r="J8" s="83">
        <f ca="1"/>
        <v>0</v>
      </c>
      <c r="K8" s="83">
        <f ca="1"/>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72E4407-952B-4382-983E-9BCFE205CE01}">
          <x14:formula1>
            <xm:f>Summary!$D$12:$L$12</xm:f>
          </x14:formula1>
          <xm:sqref>E2 H2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AA1DE-3F06-42B3-A3BB-85030183DA6D}">
  <dimension ref="A2:K3"/>
  <sheetViews>
    <sheetView workbookViewId="0">
      <selection activeCell="A4" sqref="A4"/>
    </sheetView>
  </sheetViews>
  <sheetFormatPr defaultRowHeight="14.25"/>
  <cols>
    <col min="1" max="1" width="51.625" style="83" bestFit="1" customWidth="1"/>
    <col min="2" max="3" width="9" style="83"/>
    <col min="4" max="4" width="20.375" style="83" customWidth="1"/>
    <col min="5" max="5" width="31.5" style="83" bestFit="1" customWidth="1"/>
    <col min="6" max="6" width="18.25" style="83" customWidth="1"/>
    <col min="7" max="7" width="20.875" style="83" customWidth="1"/>
    <col min="8" max="8" width="31.5" style="83" bestFit="1" customWidth="1"/>
    <col min="9" max="9" width="21.125" style="83" customWidth="1"/>
    <col min="10" max="10" width="9" style="83"/>
    <col min="11" max="11" width="14" style="83" bestFit="1" customWidth="1"/>
    <col min="12" max="16384" width="9" style="83"/>
  </cols>
  <sheetData>
    <row r="2" spans="1:11" ht="15">
      <c r="A2" s="84" t="s">
        <v>60</v>
      </c>
      <c r="B2" s="84"/>
      <c r="C2" s="84" t="s">
        <v>61</v>
      </c>
      <c r="D2" s="84" t="s">
        <v>62</v>
      </c>
      <c r="E2" s="85" t="s">
        <v>63</v>
      </c>
      <c r="F2" s="84" t="s">
        <v>64</v>
      </c>
      <c r="G2" s="84" t="s">
        <v>65</v>
      </c>
      <c r="H2" s="85" t="s">
        <v>66</v>
      </c>
      <c r="I2" s="85" t="s">
        <v>67</v>
      </c>
      <c r="J2" s="85" t="s">
        <v>68</v>
      </c>
      <c r="K2" s="85" t="s">
        <v>69</v>
      </c>
    </row>
    <row r="3" spans="1:11">
      <c r="A3" s="83" t="e" cm="1" vm="92">
        <f t="array" ref="A3">_xlfn._xlws.FILTER(QA!A3:K500, QA!C3:C500="Multi tables")</f>
        <v>#VALUE!</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9B1AD19-875C-49EA-A0F6-70D86A1FF93C}">
          <x14:formula1>
            <xm:f>Summary!$D$12:$L$12</xm:f>
          </x14:formula1>
          <xm:sqref>E2 H2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0A3473-C459-485E-80F6-25692C531ED5}"/>
</file>

<file path=customXml/itemProps2.xml><?xml version="1.0" encoding="utf-8"?>
<ds:datastoreItem xmlns:ds="http://schemas.openxmlformats.org/officeDocument/2006/customXml" ds:itemID="{6AD6E3EC-16C2-4ADF-B568-9E49558FFD9C}"/>
</file>

<file path=customXml/itemProps3.xml><?xml version="1.0" encoding="utf-8"?>
<ds:datastoreItem xmlns:ds="http://schemas.openxmlformats.org/officeDocument/2006/customXml" ds:itemID="{916CA0A6-4FAA-4A1B-9C7C-92245E3B1498}"/>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TM16410091</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2026-04-01T07:21:24Z</dcterms:created>
  <dcterms:modified xsi:type="dcterms:W3CDTF">2026-06-11T09:38:57Z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