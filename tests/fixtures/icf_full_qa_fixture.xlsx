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8_{E07945FB-2FCD-4D4E-96C8-1293B0802112}" xr6:coauthVersionLast="47" xr6:coauthVersionMax="47" xr10:uidLastSave="{00000000-0000-0000-0000-000000000000}"/>
  <bookViews>
    <workbookView xWindow="-103" yWindow="-103" windowWidth="22149" windowHeight="13200" xr2:uid="{00000000-000D-0000-FFFF-FFFF00000000}"/>
  </bookViews>
  <sheets>
    <sheet name="Summary" sheetId="1" r:id="rId1"/>
    <sheet name="QA" sheetId="2" r:id="rId2"/>
    <sheet name="Inline" sheetId="3" r:id="rId3"/>
    <sheet name="Paragraph" sheetId="4" r:id="rId4"/>
    <sheet name="KeyValue" sheetId="7" r:id="rId5"/>
    <sheet name="Table" sheetId="8" r:id="rId6"/>
    <sheet name="Lists" sheetId="5" r:id="rId7"/>
    <sheet name="Multi Tables" sheetId="6" r:id="rId8"/>
  </sheets>
  <definedNames>
    <definedName name="AnnualCostOfTime_BuyCar">#REF!</definedName>
    <definedName name="AnnualCostOfTime_Ridesharing">#REF!</definedName>
    <definedName name="AnnualFareCost">#REF!</definedName>
    <definedName name="AnnualFuelCost">#REF!</definedName>
    <definedName name="AnnualPurchaseCost">#REF!</definedName>
    <definedName name="AnnualUsageCost">#REF!</definedName>
    <definedName name="AveDistancePerTrip">Summary!$D$24</definedName>
    <definedName name="AveParkingTime">#REF!</definedName>
    <definedName name="AverageTripsPerDay">Summary!$D$19</definedName>
    <definedName name="AveSurgeMultiplier">#REF!</definedName>
    <definedName name="AveTimePerTrip">Summary!$D$20</definedName>
    <definedName name="AveWaitTime">#REF!</definedName>
    <definedName name="BaseFare">#REF!</definedName>
    <definedName name="DistanceFare">#REF!</definedName>
    <definedName name="DownPayment">#REF!</definedName>
    <definedName name="FuelCost">#REF!</definedName>
    <definedName name="FuelEfficiency">#REF!</definedName>
    <definedName name="GarageExpenses">#REF!</definedName>
    <definedName name="GaragePropertyTax">#REF!</definedName>
    <definedName name="Insurance">#REF!</definedName>
    <definedName name="InterestRate">#REF!</definedName>
    <definedName name="LoanTerm">#REF!</definedName>
    <definedName name="MaintenanceAndRepairs">#REF!</definedName>
    <definedName name="Parking">#REF!</definedName>
    <definedName name="PercentRideDuringSurge">#REF!</definedName>
    <definedName name="PriceOfCar">#REF!</definedName>
    <definedName name="ProductivePercent">#REF!</definedName>
    <definedName name="PurchaseFees">#REF!</definedName>
    <definedName name="RatePerHour">Summary!$D$65</definedName>
    <definedName name="RegistrationAndTaxes">#REF!</definedName>
    <definedName name="SalesTax">#REF!</definedName>
    <definedName name="TimeFare">#REF!</definedName>
    <definedName name="TotalMileage">Summary!#REF!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4" i="2" l="1" a="1"/>
  <c r="AM4" i="2"/>
  <c r="AK4" i="2" a="1"/>
  <c r="AK4" i="2"/>
  <c r="AP3" i="2"/>
  <c r="AO3" i="2" a="1"/>
  <c r="AO3" i="2"/>
  <c r="E22" i="1"/>
  <c r="E23" i="1"/>
  <c r="E21" i="1"/>
  <c r="E20" i="1"/>
  <c r="D20" i="1"/>
  <c r="E19" i="1"/>
  <c r="D24" i="1"/>
  <c r="D23" i="1"/>
  <c r="D21" i="1"/>
  <c r="D19" i="1"/>
  <c r="D32" i="1"/>
  <c r="D31" i="1"/>
  <c r="D30" i="1"/>
  <c r="AH123" i="2" a="1"/>
  <c r="AH123" i="2" s="1"/>
  <c r="AH122" i="2" a="1"/>
  <c r="AH122" i="2" s="1"/>
  <c r="AH121" i="2" a="1"/>
  <c r="AH121" i="2" s="1"/>
  <c r="AH120" i="2" a="1"/>
  <c r="AH120" i="2" s="1"/>
  <c r="AH118" i="2" a="1"/>
  <c r="AH118" i="2" s="1"/>
  <c r="AH90" i="2" a="1"/>
  <c r="AH90" i="2" s="1"/>
  <c r="AH89" i="2" a="1"/>
  <c r="AH89" i="2" s="1"/>
  <c r="AH88" i="2" a="1"/>
  <c r="AH88" i="2" s="1"/>
  <c r="AH85" i="2" a="1"/>
  <c r="AH85" i="2" s="1"/>
  <c r="AH80" i="2" a="1"/>
  <c r="AH80" i="2" s="1"/>
  <c r="AH77" i="2" a="1"/>
  <c r="AH77" i="2" s="1"/>
  <c r="AH74" i="2" a="1"/>
  <c r="AH74" i="2" s="1"/>
  <c r="AH72" i="2" a="1"/>
  <c r="AH72" i="2" s="1"/>
  <c r="AH71" i="2" a="1"/>
  <c r="AH71" i="2" s="1"/>
  <c r="AH70" i="2" a="1"/>
  <c r="AH70" i="2" s="1"/>
  <c r="AH67" i="2" a="1"/>
  <c r="AH67" i="2" s="1"/>
  <c r="AH64" i="2" a="1"/>
  <c r="AH64" i="2" s="1"/>
  <c r="AH62" i="2" a="1"/>
  <c r="AH62" i="2" s="1"/>
  <c r="AH61" i="2" a="1"/>
  <c r="AH61" i="2" s="1"/>
  <c r="AH56" i="2" a="1"/>
  <c r="AH56" i="2"/>
  <c r="D53" i="1"/>
  <c r="Z45" i="2" a="1"/>
  <c r="Z45" i="2" s="1"/>
  <c r="Z37" i="2" a="1"/>
  <c r="Z37" i="2" s="1"/>
  <c r="Z34" i="2" a="1"/>
  <c r="Z34" i="2" s="1"/>
  <c r="Z24" i="2" a="1"/>
  <c r="Z24" i="2" s="1"/>
  <c r="Z20" i="2" a="1"/>
  <c r="Z20" i="2" s="1"/>
  <c r="Z17" i="2" a="1"/>
  <c r="Z17" i="2"/>
  <c r="Y45" i="2" a="1"/>
  <c r="Y45" i="2" s="1"/>
  <c r="Y37" i="2" a="1"/>
  <c r="Y37" i="2" s="1"/>
  <c r="Y34" i="2" a="1"/>
  <c r="Y34" i="2" s="1"/>
  <c r="Y24" i="2" a="1"/>
  <c r="Y24" i="2" s="1"/>
  <c r="Y20" i="2" a="1"/>
  <c r="Y20" i="2" s="1"/>
  <c r="Y17" i="2" a="1"/>
  <c r="Y17" i="2"/>
  <c r="AO108" i="2" a="1"/>
  <c r="AO108" i="2" s="1"/>
  <c r="AP108" i="2" s="1"/>
  <c r="AO107" i="2" a="1"/>
  <c r="AO107" i="2" s="1"/>
  <c r="AP107" i="2" s="1"/>
  <c r="AO106" i="2" a="1"/>
  <c r="AO106" i="2" s="1"/>
  <c r="AP106" i="2" s="1"/>
  <c r="AO103" i="2" a="1"/>
  <c r="AO103" i="2" s="1"/>
  <c r="AP103" i="2" s="1"/>
  <c r="AO102" i="2" a="1"/>
  <c r="AO102" i="2" s="1"/>
  <c r="AP102" i="2" s="1"/>
  <c r="AO99" i="2" a="1"/>
  <c r="AO99" i="2" s="1"/>
  <c r="AP99" i="2" s="1"/>
  <c r="AO98" i="2" a="1"/>
  <c r="AO98" i="2" s="1"/>
  <c r="AP98" i="2" s="1"/>
  <c r="AO79" i="2" a="1"/>
  <c r="AO79" i="2" s="1"/>
  <c r="AP79" i="2" s="1"/>
  <c r="AO78" i="2" a="1"/>
  <c r="AO78" i="2" s="1"/>
  <c r="AP78" i="2" s="1"/>
  <c r="AO75" i="2" a="1"/>
  <c r="AO75" i="2" s="1"/>
  <c r="AP75" i="2" s="1"/>
  <c r="AO69" i="2" a="1"/>
  <c r="AO69" i="2" s="1"/>
  <c r="AP69" i="2" s="1"/>
  <c r="AO68" i="2" a="1"/>
  <c r="AO68" i="2" s="1"/>
  <c r="AP68" i="2" s="1"/>
  <c r="AO65" i="2" a="1"/>
  <c r="AO65" i="2" s="1"/>
  <c r="AP65" i="2" s="1"/>
  <c r="AO57" i="2" a="1"/>
  <c r="AO57" i="2" s="1"/>
  <c r="AP57" i="2" s="1"/>
  <c r="AO54" i="2" a="1"/>
  <c r="AO54" i="2" s="1"/>
  <c r="AP54" i="2" s="1"/>
  <c r="AO52" i="2" a="1"/>
  <c r="AO52" i="2" s="1"/>
  <c r="AP52" i="2" s="1"/>
  <c r="AO49" i="2" a="1"/>
  <c r="AO49" i="2" s="1"/>
  <c r="AP49" i="2" s="1"/>
  <c r="AO46" i="2" a="1"/>
  <c r="AO46" i="2" s="1"/>
  <c r="AP46" i="2" s="1"/>
  <c r="AO44" i="2" a="1"/>
  <c r="AO44" i="2" s="1"/>
  <c r="AP44" i="2" s="1"/>
  <c r="AO42" i="2" a="1"/>
  <c r="AO42" i="2" s="1"/>
  <c r="AP42" i="2" s="1"/>
  <c r="AO40" i="2" a="1"/>
  <c r="AO40" i="2" s="1"/>
  <c r="AP40" i="2" s="1"/>
  <c r="AO39" i="2" a="1"/>
  <c r="AO39" i="2" s="1"/>
  <c r="AP39" i="2" s="1"/>
  <c r="AO38" i="2" a="1"/>
  <c r="AO38" i="2" s="1"/>
  <c r="AP38" i="2" s="1"/>
  <c r="AO36" i="2" a="1"/>
  <c r="AO36" i="2" s="1"/>
  <c r="AP36" i="2" s="1"/>
  <c r="AO32" i="2" a="1"/>
  <c r="AO32" i="2" s="1"/>
  <c r="AP32" i="2" s="1"/>
  <c r="AO31" i="2" a="1"/>
  <c r="AO31" i="2" s="1"/>
  <c r="AP31" i="2" s="1"/>
  <c r="AO30" i="2" a="1"/>
  <c r="AO30" i="2" s="1"/>
  <c r="AP30" i="2" s="1"/>
  <c r="AO29" i="2" a="1"/>
  <c r="AO29" i="2" s="1"/>
  <c r="AP29" i="2" s="1"/>
  <c r="AO28" i="2" a="1"/>
  <c r="AO28" i="2" s="1"/>
  <c r="AP28" i="2" s="1"/>
  <c r="AO25" i="2" a="1"/>
  <c r="AO25" i="2" s="1"/>
  <c r="AP25" i="2" s="1"/>
  <c r="AO23" i="2" a="1"/>
  <c r="AO23" i="2" s="1"/>
  <c r="AP23" i="2" s="1"/>
  <c r="AO21" i="2" a="1"/>
  <c r="AO21" i="2" s="1"/>
  <c r="AP21" i="2" s="1"/>
  <c r="AO19" i="2" a="1"/>
  <c r="AO19" i="2" s="1"/>
  <c r="AP19" i="2" s="1"/>
  <c r="AO16" i="2" a="1"/>
  <c r="AO16" i="2" s="1"/>
  <c r="AP16" i="2" s="1"/>
  <c r="AO13" i="2" a="1"/>
  <c r="AO13" i="2" s="1"/>
  <c r="AP13" i="2" s="1"/>
  <c r="AO12" i="2" a="1"/>
  <c r="AO12" i="2" s="1"/>
  <c r="AP12" i="2" s="1"/>
  <c r="AO11" i="2" a="1"/>
  <c r="AO11" i="2" s="1"/>
  <c r="AP11" i="2" s="1"/>
  <c r="AO10" i="2" a="1"/>
  <c r="AO10" i="2" s="1"/>
  <c r="AP10" i="2" s="1"/>
  <c r="AO9" i="2" a="1"/>
  <c r="AO9" i="2" s="1"/>
  <c r="AP9" i="2" s="1"/>
  <c r="AO8" i="2" a="1"/>
  <c r="AO8" i="2" s="1"/>
  <c r="AP8" i="2" s="1"/>
  <c r="AO7" i="2" a="1"/>
  <c r="AO7" i="2" s="1"/>
  <c r="AP7" i="2" s="1"/>
  <c r="AO6" i="2" a="1"/>
  <c r="AO6" i="2" s="1"/>
  <c r="AP6" i="2" s="1"/>
  <c r="AO5" i="2" a="1"/>
  <c r="AO5" i="2" s="1"/>
  <c r="AP5" i="2" s="1"/>
  <c r="D46" i="1"/>
  <c r="AM124" i="2" a="1"/>
  <c r="AM124" i="2" s="1"/>
  <c r="AM119" i="2" a="1"/>
  <c r="AM119" i="2" s="1"/>
  <c r="AM117" i="2" a="1"/>
  <c r="AM117" i="2" s="1"/>
  <c r="AM116" i="2" a="1"/>
  <c r="AM116" i="2" s="1"/>
  <c r="AM115" i="2" a="1"/>
  <c r="AM115" i="2" s="1"/>
  <c r="AM114" i="2" a="1"/>
  <c r="AM114" i="2" s="1"/>
  <c r="AM112" i="2" a="1"/>
  <c r="AM112" i="2" s="1"/>
  <c r="AM111" i="2" a="1"/>
  <c r="AM111" i="2" s="1"/>
  <c r="AM110" i="2" a="1"/>
  <c r="AM110" i="2" s="1"/>
  <c r="AM109" i="2" a="1"/>
  <c r="AM109" i="2" s="1"/>
  <c r="AM104" i="2" a="1"/>
  <c r="AM104" i="2" s="1"/>
  <c r="AM100" i="2" a="1"/>
  <c r="AM100" i="2" s="1"/>
  <c r="AM95" i="2" a="1"/>
  <c r="AM95" i="2" s="1"/>
  <c r="AM94" i="2" a="1"/>
  <c r="AM94" i="2" s="1"/>
  <c r="AM93" i="2" a="1"/>
  <c r="AM93" i="2" s="1"/>
  <c r="AM92" i="2" a="1"/>
  <c r="AM92" i="2" s="1"/>
  <c r="AM91" i="2" a="1"/>
  <c r="AM91" i="2" s="1"/>
  <c r="AM87" i="2" a="1"/>
  <c r="AM87" i="2" s="1"/>
  <c r="AM86" i="2" a="1"/>
  <c r="AM86" i="2" s="1"/>
  <c r="AM84" i="2" a="1"/>
  <c r="AM84" i="2" s="1"/>
  <c r="AM83" i="2" a="1"/>
  <c r="AM83" i="2" s="1"/>
  <c r="AM82" i="2" a="1"/>
  <c r="AM82" i="2" s="1"/>
  <c r="AM76" i="2" a="1"/>
  <c r="AM76" i="2" s="1"/>
  <c r="AM73" i="2" a="1"/>
  <c r="AM73" i="2" s="1"/>
  <c r="AM66" i="2" a="1"/>
  <c r="AM66" i="2" s="1"/>
  <c r="AM63" i="2" a="1"/>
  <c r="AM63" i="2" s="1"/>
  <c r="AM60" i="2" a="1"/>
  <c r="AM60" i="2" s="1"/>
  <c r="AM59" i="2" a="1"/>
  <c r="AM59" i="2" s="1"/>
  <c r="AM58" i="2" a="1"/>
  <c r="AM58" i="2" s="1"/>
  <c r="AM55" i="2" a="1"/>
  <c r="AM55" i="2" s="1"/>
  <c r="AM53" i="2" a="1"/>
  <c r="AM53" i="2" s="1"/>
  <c r="AM51" i="2" a="1"/>
  <c r="AM51" i="2" s="1"/>
  <c r="AM50" i="2" a="1"/>
  <c r="AM50" i="2" s="1"/>
  <c r="AM48" i="2" a="1"/>
  <c r="AM48" i="2" s="1"/>
  <c r="AM47" i="2" a="1"/>
  <c r="AM47" i="2" s="1"/>
  <c r="AM43" i="2" a="1"/>
  <c r="AM43" i="2" s="1"/>
  <c r="AM41" i="2" a="1"/>
  <c r="AM41" i="2" s="1"/>
  <c r="AM35" i="2" a="1"/>
  <c r="AM35" i="2" s="1"/>
  <c r="AM33" i="2" a="1"/>
  <c r="AM33" i="2" s="1"/>
  <c r="AM26" i="2" a="1"/>
  <c r="AM26" i="2" s="1"/>
  <c r="AM22" i="2" a="1"/>
  <c r="AM22" i="2" s="1"/>
  <c r="AM18" i="2" a="1"/>
  <c r="AM18" i="2" s="1"/>
  <c r="AM15" i="2" a="1"/>
  <c r="AM15" i="2" s="1"/>
  <c r="AM14" i="2" a="1"/>
  <c r="AM14" i="2" s="1"/>
  <c r="D39" i="1"/>
  <c r="AK124" i="2" a="1"/>
  <c r="AK124" i="2" s="1"/>
  <c r="AL124" i="2" s="1"/>
  <c r="AK119" i="2" a="1"/>
  <c r="AK119" i="2" s="1"/>
  <c r="AL119" i="2" s="1"/>
  <c r="AK117" i="2" a="1"/>
  <c r="AK117" i="2" s="1"/>
  <c r="AL117" i="2" s="1"/>
  <c r="AK116" i="2" a="1"/>
  <c r="AK116" i="2" s="1"/>
  <c r="AL116" i="2" s="1"/>
  <c r="AK115" i="2" a="1"/>
  <c r="AK115" i="2" s="1"/>
  <c r="AL115" i="2" s="1"/>
  <c r="AK114" i="2" a="1"/>
  <c r="AK114" i="2" s="1"/>
  <c r="AL114" i="2" s="1"/>
  <c r="AK112" i="2" a="1"/>
  <c r="AK112" i="2" s="1"/>
  <c r="AL112" i="2" s="1"/>
  <c r="AK111" i="2" a="1"/>
  <c r="AK111" i="2" s="1"/>
  <c r="AL111" i="2" s="1"/>
  <c r="AK110" i="2" a="1"/>
  <c r="AK110" i="2" s="1"/>
  <c r="AL110" i="2" s="1"/>
  <c r="AK109" i="2" a="1"/>
  <c r="AK109" i="2" s="1"/>
  <c r="AL109" i="2" s="1"/>
  <c r="AK104" i="2" a="1"/>
  <c r="AK104" i="2" s="1"/>
  <c r="AL104" i="2" s="1"/>
  <c r="AK100" i="2" a="1"/>
  <c r="AK100" i="2" s="1"/>
  <c r="AL100" i="2" s="1"/>
  <c r="AK95" i="2" a="1"/>
  <c r="AK95" i="2" s="1"/>
  <c r="AL95" i="2" s="1"/>
  <c r="AK94" i="2" a="1"/>
  <c r="AK94" i="2" s="1"/>
  <c r="AL94" i="2" s="1"/>
  <c r="AK93" i="2" a="1"/>
  <c r="AK93" i="2" s="1"/>
  <c r="AL93" i="2" s="1"/>
  <c r="AK92" i="2" a="1"/>
  <c r="AK92" i="2" s="1"/>
  <c r="AL92" i="2" s="1"/>
  <c r="AK91" i="2" a="1"/>
  <c r="AK91" i="2" s="1"/>
  <c r="AL91" i="2" s="1"/>
  <c r="AK87" i="2" a="1"/>
  <c r="AK87" i="2" s="1"/>
  <c r="AL87" i="2" s="1"/>
  <c r="AK86" i="2" a="1"/>
  <c r="AK86" i="2" s="1"/>
  <c r="AL86" i="2" s="1"/>
  <c r="AK84" i="2" a="1"/>
  <c r="AK84" i="2" s="1"/>
  <c r="AL84" i="2" s="1"/>
  <c r="AK83" i="2" a="1"/>
  <c r="AK83" i="2" s="1"/>
  <c r="AL83" i="2" s="1"/>
  <c r="AK82" i="2" a="1"/>
  <c r="AK82" i="2" s="1"/>
  <c r="AL82" i="2" s="1"/>
  <c r="AK76" i="2" a="1"/>
  <c r="AK76" i="2" s="1"/>
  <c r="AL76" i="2" s="1"/>
  <c r="AK73" i="2" a="1"/>
  <c r="AK73" i="2" s="1"/>
  <c r="AL73" i="2" s="1"/>
  <c r="AK66" i="2" a="1"/>
  <c r="AK66" i="2" s="1"/>
  <c r="AL66" i="2" s="1"/>
  <c r="AK63" i="2" a="1"/>
  <c r="AK63" i="2" s="1"/>
  <c r="AL63" i="2" s="1"/>
  <c r="AK60" i="2" a="1"/>
  <c r="AK60" i="2" s="1"/>
  <c r="AL60" i="2" s="1"/>
  <c r="AK59" i="2" a="1"/>
  <c r="AK59" i="2" s="1"/>
  <c r="AL59" i="2" s="1"/>
  <c r="AK58" i="2" a="1"/>
  <c r="AK58" i="2" s="1"/>
  <c r="AL58" i="2" s="1"/>
  <c r="AK55" i="2" a="1"/>
  <c r="AK55" i="2" s="1"/>
  <c r="AL55" i="2" s="1"/>
  <c r="AK53" i="2" a="1"/>
  <c r="AK53" i="2" s="1"/>
  <c r="AL53" i="2" s="1"/>
  <c r="AK51" i="2" a="1"/>
  <c r="AK51" i="2" s="1"/>
  <c r="AL51" i="2" s="1"/>
  <c r="AK50" i="2" a="1"/>
  <c r="AK50" i="2" s="1"/>
  <c r="AL50" i="2" s="1"/>
  <c r="AK48" i="2" a="1"/>
  <c r="AK48" i="2" s="1"/>
  <c r="AL48" i="2" s="1"/>
  <c r="AK47" i="2" a="1"/>
  <c r="AK47" i="2" s="1"/>
  <c r="AL47" i="2" s="1"/>
  <c r="AK43" i="2" a="1"/>
  <c r="AK43" i="2" s="1"/>
  <c r="AL43" i="2" s="1"/>
  <c r="AK41" i="2" a="1"/>
  <c r="AK41" i="2" s="1"/>
  <c r="AL41" i="2" s="1"/>
  <c r="AK35" i="2" a="1"/>
  <c r="AK35" i="2" s="1"/>
  <c r="AL35" i="2" s="1"/>
  <c r="AK33" i="2" a="1"/>
  <c r="AK33" i="2" s="1"/>
  <c r="AL33" i="2" s="1"/>
  <c r="AK26" i="2" a="1"/>
  <c r="AK26" i="2" s="1"/>
  <c r="AL26" i="2" s="1"/>
  <c r="AK22" i="2" a="1"/>
  <c r="AK22" i="2" s="1"/>
  <c r="AL22" i="2" s="1"/>
  <c r="AK18" i="2" a="1"/>
  <c r="AK18" i="2" s="1"/>
  <c r="AL18" i="2" s="1"/>
  <c r="AK15" i="2" a="1"/>
  <c r="AK15" i="2" s="1"/>
  <c r="AL15" i="2" s="1"/>
  <c r="AK14" i="2" a="1"/>
  <c r="AK14" i="2" s="1"/>
  <c r="AL14" i="2" s="1"/>
  <c r="AL4" i="2"/>
  <c r="AG123" i="2"/>
  <c r="AG122" i="2"/>
  <c r="AG121" i="2"/>
  <c r="AG120" i="2"/>
  <c r="AG118" i="2"/>
  <c r="AG90" i="2"/>
  <c r="AG89" i="2"/>
  <c r="AG88" i="2"/>
  <c r="AG85" i="2"/>
  <c r="AG80" i="2"/>
  <c r="AG77" i="2"/>
  <c r="AG74" i="2"/>
  <c r="AG72" i="2"/>
  <c r="AG71" i="2"/>
  <c r="AG70" i="2"/>
  <c r="AG67" i="2"/>
  <c r="AG64" i="2"/>
  <c r="AG62" i="2"/>
  <c r="AG61" i="2"/>
  <c r="AG56" i="2"/>
  <c r="I126" i="2" a="1"/>
  <c r="I126" i="2" s="1"/>
  <c r="I125" i="2" a="1"/>
  <c r="I125" i="2" s="1"/>
  <c r="I124" i="2" a="1"/>
  <c r="I124" i="2" s="1"/>
  <c r="I123" i="2" a="1"/>
  <c r="I123" i="2" s="1"/>
  <c r="I122" i="2" a="1"/>
  <c r="I122" i="2" s="1"/>
  <c r="I121" i="2" a="1"/>
  <c r="I121" i="2" s="1"/>
  <c r="I120" i="2" a="1"/>
  <c r="I120" i="2" s="1"/>
  <c r="I119" i="2" a="1"/>
  <c r="I119" i="2" s="1"/>
  <c r="I118" i="2" a="1"/>
  <c r="I118" i="2" s="1"/>
  <c r="I117" i="2" a="1"/>
  <c r="I117" i="2" s="1"/>
  <c r="I116" i="2" a="1"/>
  <c r="I116" i="2" s="1"/>
  <c r="I115" i="2" a="1"/>
  <c r="I115" i="2" s="1"/>
  <c r="I114" i="2" a="1"/>
  <c r="I114" i="2" s="1"/>
  <c r="I113" i="2" a="1"/>
  <c r="I113" i="2" s="1"/>
  <c r="I112" i="2" a="1"/>
  <c r="I112" i="2" s="1"/>
  <c r="I111" i="2" a="1"/>
  <c r="I111" i="2" s="1"/>
  <c r="I110" i="2" a="1"/>
  <c r="I110" i="2" s="1"/>
  <c r="I109" i="2" a="1"/>
  <c r="I109" i="2" s="1"/>
  <c r="I108" i="2" a="1"/>
  <c r="I108" i="2" s="1"/>
  <c r="I107" i="2" a="1"/>
  <c r="I107" i="2" s="1"/>
  <c r="I106" i="2" a="1"/>
  <c r="I106" i="2" s="1"/>
  <c r="I105" i="2" a="1"/>
  <c r="I105" i="2" s="1"/>
  <c r="I104" i="2" a="1"/>
  <c r="I104" i="2" s="1"/>
  <c r="I103" i="2" a="1"/>
  <c r="I103" i="2" s="1"/>
  <c r="I102" i="2" a="1"/>
  <c r="I102" i="2" s="1"/>
  <c r="I101" i="2" a="1"/>
  <c r="I101" i="2" s="1"/>
  <c r="I100" i="2" a="1"/>
  <c r="I100" i="2" s="1"/>
  <c r="I99" i="2" a="1"/>
  <c r="I99" i="2" s="1"/>
  <c r="I98" i="2" a="1"/>
  <c r="I98" i="2" s="1"/>
  <c r="I97" i="2" a="1"/>
  <c r="I97" i="2" s="1"/>
  <c r="I96" i="2" a="1"/>
  <c r="I96" i="2" s="1"/>
  <c r="I95" i="2" a="1"/>
  <c r="I95" i="2" s="1"/>
  <c r="I94" i="2" a="1"/>
  <c r="I94" i="2" s="1"/>
  <c r="I93" i="2" a="1"/>
  <c r="I93" i="2" s="1"/>
  <c r="I92" i="2" a="1"/>
  <c r="I92" i="2" s="1"/>
  <c r="I91" i="2" a="1"/>
  <c r="I91" i="2" s="1"/>
  <c r="I90" i="2" a="1"/>
  <c r="I90" i="2" s="1"/>
  <c r="I89" i="2" a="1"/>
  <c r="I89" i="2" s="1"/>
  <c r="I88" i="2" a="1"/>
  <c r="I88" i="2" s="1"/>
  <c r="I87" i="2" a="1"/>
  <c r="I87" i="2" s="1"/>
  <c r="I86" i="2" a="1"/>
  <c r="I86" i="2" s="1"/>
  <c r="I85" i="2" a="1"/>
  <c r="I85" i="2" s="1"/>
  <c r="I84" i="2" a="1"/>
  <c r="I84" i="2" s="1"/>
  <c r="I83" i="2" a="1"/>
  <c r="I83" i="2" s="1"/>
  <c r="I82" i="2" a="1"/>
  <c r="I82" i="2" s="1"/>
  <c r="I81" i="2" a="1"/>
  <c r="I81" i="2" s="1"/>
  <c r="I80" i="2" a="1"/>
  <c r="I80" i="2" s="1"/>
  <c r="I79" i="2" a="1"/>
  <c r="I79" i="2" s="1"/>
  <c r="I78" i="2" a="1"/>
  <c r="I78" i="2" s="1"/>
  <c r="I77" i="2" a="1"/>
  <c r="I77" i="2" s="1"/>
  <c r="I76" i="2" a="1"/>
  <c r="I76" i="2" s="1"/>
  <c r="I75" i="2" a="1"/>
  <c r="I75" i="2" s="1"/>
  <c r="I74" i="2" a="1"/>
  <c r="I74" i="2" s="1"/>
  <c r="I73" i="2" a="1"/>
  <c r="I73" i="2" s="1"/>
  <c r="I72" i="2" a="1"/>
  <c r="I72" i="2" s="1"/>
  <c r="I71" i="2" a="1"/>
  <c r="I71" i="2" s="1"/>
  <c r="I70" i="2" a="1"/>
  <c r="I70" i="2" s="1"/>
  <c r="I69" i="2" a="1"/>
  <c r="I69" i="2" s="1"/>
  <c r="I68" i="2" a="1"/>
  <c r="I68" i="2" s="1"/>
  <c r="I67" i="2" a="1"/>
  <c r="I67" i="2" s="1"/>
  <c r="I66" i="2" a="1"/>
  <c r="I66" i="2" s="1"/>
  <c r="I65" i="2" a="1"/>
  <c r="I65" i="2" s="1"/>
  <c r="I64" i="2" a="1"/>
  <c r="I64" i="2" s="1"/>
  <c r="I63" i="2" a="1"/>
  <c r="I63" i="2" s="1"/>
  <c r="I62" i="2" a="1"/>
  <c r="I62" i="2" s="1"/>
  <c r="I61" i="2" a="1"/>
  <c r="I61" i="2" s="1"/>
  <c r="I60" i="2" a="1"/>
  <c r="I60" i="2" s="1"/>
  <c r="I59" i="2" a="1"/>
  <c r="I59" i="2" s="1"/>
  <c r="I58" i="2" a="1"/>
  <c r="I58" i="2" s="1"/>
  <c r="I57" i="2" a="1"/>
  <c r="I57" i="2" s="1"/>
  <c r="I56" i="2" a="1"/>
  <c r="I56" i="2" s="1"/>
  <c r="I55" i="2" a="1"/>
  <c r="I55" i="2" s="1"/>
  <c r="I54" i="2" a="1"/>
  <c r="I54" i="2" s="1"/>
  <c r="I53" i="2" a="1"/>
  <c r="I53" i="2" s="1"/>
  <c r="I52" i="2" a="1"/>
  <c r="I52" i="2" s="1"/>
  <c r="I51" i="2" a="1"/>
  <c r="I51" i="2" s="1"/>
  <c r="I50" i="2" a="1"/>
  <c r="I50" i="2" s="1"/>
  <c r="I49" i="2" a="1"/>
  <c r="I49" i="2" s="1"/>
  <c r="I48" i="2" a="1"/>
  <c r="I48" i="2" s="1"/>
  <c r="I47" i="2" a="1"/>
  <c r="I47" i="2" s="1"/>
  <c r="I46" i="2" a="1"/>
  <c r="I46" i="2" s="1"/>
  <c r="I45" i="2" a="1"/>
  <c r="I45" i="2" s="1"/>
  <c r="I44" i="2" a="1"/>
  <c r="I44" i="2" s="1"/>
  <c r="I43" i="2" a="1"/>
  <c r="I43" i="2" s="1"/>
  <c r="I42" i="2" a="1"/>
  <c r="I42" i="2" s="1"/>
  <c r="I41" i="2" a="1"/>
  <c r="I41" i="2" s="1"/>
  <c r="I40" i="2" a="1"/>
  <c r="I40" i="2" s="1"/>
  <c r="I39" i="2" a="1"/>
  <c r="I39" i="2" s="1"/>
  <c r="I38" i="2" a="1"/>
  <c r="I38" i="2" s="1"/>
  <c r="I37" i="2" a="1"/>
  <c r="I37" i="2" s="1"/>
  <c r="I36" i="2" a="1"/>
  <c r="I36" i="2" s="1"/>
  <c r="I35" i="2" a="1"/>
  <c r="I35" i="2" s="1"/>
  <c r="I34" i="2" a="1"/>
  <c r="I34" i="2" s="1"/>
  <c r="I33" i="2" a="1"/>
  <c r="I33" i="2" s="1"/>
  <c r="I32" i="2" a="1"/>
  <c r="I32" i="2" s="1"/>
  <c r="I31" i="2" a="1"/>
  <c r="I31" i="2" s="1"/>
  <c r="I30" i="2" a="1"/>
  <c r="I30" i="2" s="1"/>
  <c r="I29" i="2" a="1"/>
  <c r="I29" i="2" s="1"/>
  <c r="I28" i="2" a="1"/>
  <c r="I28" i="2" s="1"/>
  <c r="I27" i="2" a="1"/>
  <c r="I27" i="2" s="1"/>
  <c r="I26" i="2" a="1"/>
  <c r="I26" i="2" s="1"/>
  <c r="I25" i="2" a="1"/>
  <c r="I25" i="2" s="1"/>
  <c r="I24" i="2" a="1"/>
  <c r="I24" i="2" s="1"/>
  <c r="I23" i="2" a="1"/>
  <c r="I23" i="2" s="1"/>
  <c r="I22" i="2" a="1"/>
  <c r="I22" i="2" s="1"/>
  <c r="I21" i="2" a="1"/>
  <c r="I21" i="2" s="1"/>
  <c r="I20" i="2" a="1"/>
  <c r="I20" i="2" s="1"/>
  <c r="I19" i="2" a="1"/>
  <c r="I19" i="2" s="1"/>
  <c r="I18" i="2" a="1"/>
  <c r="I18" i="2" s="1"/>
  <c r="I17" i="2" a="1"/>
  <c r="I17" i="2" s="1"/>
  <c r="I16" i="2" a="1"/>
  <c r="I16" i="2" s="1"/>
  <c r="I15" i="2" a="1"/>
  <c r="I15" i="2" s="1"/>
  <c r="I14" i="2" a="1"/>
  <c r="I14" i="2" s="1"/>
  <c r="I13" i="2" a="1"/>
  <c r="I13" i="2" s="1"/>
  <c r="I12" i="2" a="1"/>
  <c r="I12" i="2" s="1"/>
  <c r="I11" i="2" a="1"/>
  <c r="I11" i="2" s="1"/>
  <c r="I10" i="2" a="1"/>
  <c r="I10" i="2" s="1"/>
  <c r="I9" i="2" a="1"/>
  <c r="I9" i="2" s="1"/>
  <c r="I8" i="2" a="1"/>
  <c r="I8" i="2" s="1"/>
  <c r="I7" i="2" a="1"/>
  <c r="I7" i="2" s="1"/>
  <c r="I6" i="2" a="1"/>
  <c r="I6" i="2" s="1"/>
  <c r="I5" i="2" a="1"/>
  <c r="I5" i="2" s="1"/>
  <c r="I4" i="2" a="1"/>
  <c r="I4" i="2" s="1"/>
  <c r="I3" i="2" a="1"/>
  <c r="I3" i="2" s="1"/>
  <c r="I196" i="2" a="1"/>
  <c r="I196" i="2" s="1"/>
  <c r="I195" i="2" a="1"/>
  <c r="I195" i="2" s="1"/>
  <c r="I194" i="2" a="1"/>
  <c r="I194" i="2" s="1"/>
  <c r="I193" i="2" a="1"/>
  <c r="I193" i="2" s="1"/>
  <c r="I192" i="2" a="1"/>
  <c r="I192" i="2" s="1"/>
  <c r="I191" i="2" a="1"/>
  <c r="I191" i="2" s="1"/>
  <c r="I190" i="2" a="1"/>
  <c r="I190" i="2" s="1"/>
  <c r="I189" i="2" a="1"/>
  <c r="I189" i="2" s="1"/>
  <c r="I188" i="2" a="1"/>
  <c r="I188" i="2" s="1"/>
  <c r="I187" i="2" a="1"/>
  <c r="I187" i="2" s="1"/>
  <c r="I186" i="2" a="1"/>
  <c r="I186" i="2" s="1"/>
  <c r="I185" i="2" a="1"/>
  <c r="I185" i="2" s="1"/>
  <c r="I184" i="2" a="1"/>
  <c r="I184" i="2" s="1"/>
  <c r="I183" i="2" a="1"/>
  <c r="I183" i="2" s="1"/>
  <c r="I182" i="2" a="1"/>
  <c r="I182" i="2" s="1"/>
  <c r="I181" i="2" a="1"/>
  <c r="I181" i="2" s="1"/>
  <c r="I180" i="2" a="1"/>
  <c r="I180" i="2" s="1"/>
  <c r="I179" i="2" a="1"/>
  <c r="I179" i="2" s="1"/>
  <c r="I178" i="2" a="1"/>
  <c r="I178" i="2" s="1"/>
  <c r="I177" i="2" a="1"/>
  <c r="I177" i="2" s="1"/>
  <c r="I176" i="2" a="1"/>
  <c r="I176" i="2" s="1"/>
  <c r="I175" i="2" a="1"/>
  <c r="I175" i="2" s="1"/>
  <c r="I174" i="2" a="1"/>
  <c r="I174" i="2" s="1"/>
  <c r="I173" i="2" a="1"/>
  <c r="I173" i="2" s="1"/>
  <c r="I172" i="2" a="1"/>
  <c r="I172" i="2" s="1"/>
  <c r="I171" i="2" a="1"/>
  <c r="I171" i="2" s="1"/>
  <c r="I170" i="2" a="1"/>
  <c r="I170" i="2" s="1"/>
  <c r="I169" i="2" a="1"/>
  <c r="I169" i="2" s="1"/>
  <c r="I168" i="2" a="1"/>
  <c r="I168" i="2" s="1"/>
  <c r="I167" i="2" a="1"/>
  <c r="I167" i="2" s="1"/>
  <c r="I166" i="2" a="1"/>
  <c r="I166" i="2" s="1"/>
  <c r="I165" i="2" a="1"/>
  <c r="I165" i="2" s="1"/>
  <c r="I164" i="2" a="1"/>
  <c r="I164" i="2" s="1"/>
  <c r="I163" i="2" a="1"/>
  <c r="I163" i="2" s="1"/>
  <c r="I162" i="2" a="1"/>
  <c r="I162" i="2" s="1"/>
  <c r="I161" i="2" a="1"/>
  <c r="I161" i="2" s="1"/>
  <c r="I160" i="2" a="1"/>
  <c r="I160" i="2" s="1"/>
  <c r="I159" i="2" a="1"/>
  <c r="I159" i="2" s="1"/>
  <c r="I158" i="2" a="1"/>
  <c r="I158" i="2" s="1"/>
  <c r="I157" i="2" a="1"/>
  <c r="I157" i="2" s="1"/>
  <c r="I156" i="2" a="1"/>
  <c r="I156" i="2" s="1"/>
  <c r="I155" i="2" a="1"/>
  <c r="I155" i="2" s="1"/>
  <c r="I154" i="2" a="1"/>
  <c r="I154" i="2" s="1"/>
  <c r="I153" i="2" a="1"/>
  <c r="I153" i="2" s="1"/>
  <c r="I152" i="2" a="1"/>
  <c r="I152" i="2" s="1"/>
  <c r="I151" i="2" a="1"/>
  <c r="I151" i="2" s="1"/>
  <c r="I150" i="2" a="1"/>
  <c r="I150" i="2" s="1"/>
  <c r="I149" i="2" a="1"/>
  <c r="I149" i="2" s="1"/>
  <c r="I148" i="2" a="1"/>
  <c r="I148" i="2" s="1"/>
  <c r="I147" i="2" a="1"/>
  <c r="I147" i="2" s="1"/>
  <c r="I146" i="2" a="1"/>
  <c r="I146" i="2" s="1"/>
  <c r="I145" i="2" a="1"/>
  <c r="I145" i="2" s="1"/>
  <c r="I144" i="2" a="1"/>
  <c r="I144" i="2" s="1"/>
  <c r="I143" i="2" a="1"/>
  <c r="I143" i="2" s="1"/>
  <c r="I142" i="2" a="1"/>
  <c r="I142" i="2" s="1"/>
  <c r="I141" i="2" a="1"/>
  <c r="I141" i="2" s="1"/>
  <c r="I140" i="2" a="1"/>
  <c r="I140" i="2" s="1"/>
  <c r="I139" i="2" a="1"/>
  <c r="I139" i="2" s="1"/>
  <c r="I138" i="2" a="1"/>
  <c r="I138" i="2" s="1"/>
  <c r="I137" i="2" a="1"/>
  <c r="I137" i="2" s="1"/>
  <c r="I136" i="2" a="1"/>
  <c r="I136" i="2" s="1"/>
  <c r="I135" i="2" a="1"/>
  <c r="I135" i="2" s="1"/>
  <c r="I134" i="2" a="1"/>
  <c r="I134" i="2" s="1"/>
  <c r="I133" i="2" a="1"/>
  <c r="I133" i="2" s="1"/>
  <c r="I132" i="2" a="1"/>
  <c r="I132" i="2" s="1"/>
  <c r="I131" i="2" a="1"/>
  <c r="I131" i="2" s="1"/>
  <c r="I130" i="2" a="1"/>
  <c r="I130" i="2" s="1"/>
  <c r="I129" i="2" a="1"/>
  <c r="I129" i="2" s="1"/>
  <c r="I128" i="2" a="1"/>
  <c r="I128" i="2" s="1"/>
  <c r="I127" i="2" a="1"/>
  <c r="I127" i="2" s="1"/>
  <c r="N3" i="2" a="1"/>
  <c r="N3" i="2"/>
  <c r="O3" i="2" s="1" a="1"/>
  <c r="O3" i="2" s="1"/>
  <c r="L3" i="2" a="1"/>
  <c r="L3" i="2"/>
  <c r="M3" i="2" s="1" a="1"/>
  <c r="M3" i="2" s="1"/>
  <c r="J3" i="2" s="1"/>
  <c r="N110" i="2" a="1"/>
  <c r="N110" i="2" s="1"/>
  <c r="O110" i="2" s="1" a="1"/>
  <c r="O110" i="2" s="1"/>
  <c r="L110" i="2" a="1"/>
  <c r="L110" i="2" s="1"/>
  <c r="M110" i="2" s="1" a="1"/>
  <c r="M110" i="2" s="1"/>
  <c r="J110" i="2"/>
  <c r="N109" i="2" a="1"/>
  <c r="N109" i="2" s="1"/>
  <c r="O109" i="2" s="1" a="1"/>
  <c r="O109" i="2" s="1"/>
  <c r="L109" i="2" a="1"/>
  <c r="L109" i="2" s="1"/>
  <c r="M109" i="2" s="1" a="1"/>
  <c r="M109" i="2" s="1"/>
  <c r="J109" i="2"/>
  <c r="N108" i="2" a="1"/>
  <c r="N108" i="2" s="1"/>
  <c r="O108" i="2" s="1" a="1"/>
  <c r="O108" i="2" s="1"/>
  <c r="L108" i="2" a="1"/>
  <c r="L108" i="2" s="1"/>
  <c r="M108" i="2" s="1" a="1"/>
  <c r="M108" i="2" s="1"/>
  <c r="J108" i="2"/>
  <c r="N107" i="2" a="1"/>
  <c r="N107" i="2" s="1"/>
  <c r="O107" i="2" s="1" a="1"/>
  <c r="O107" i="2" s="1"/>
  <c r="L107" i="2" a="1"/>
  <c r="L107" i="2" s="1"/>
  <c r="M107" i="2" s="1" a="1"/>
  <c r="M107" i="2" s="1"/>
  <c r="J107" i="2"/>
  <c r="N106" i="2" a="1"/>
  <c r="N106" i="2" s="1"/>
  <c r="O106" i="2" s="1" a="1"/>
  <c r="O106" i="2" s="1"/>
  <c r="L106" i="2" a="1"/>
  <c r="L106" i="2" s="1"/>
  <c r="M106" i="2" s="1" a="1"/>
  <c r="M106" i="2" s="1"/>
  <c r="J106" i="2"/>
  <c r="N105" i="2" a="1"/>
  <c r="N105" i="2" s="1"/>
  <c r="O105" i="2" s="1" a="1"/>
  <c r="O105" i="2" s="1"/>
  <c r="L105" i="2" a="1"/>
  <c r="L105" i="2" s="1"/>
  <c r="M105" i="2" s="1" a="1"/>
  <c r="M105" i="2" s="1"/>
  <c r="J105" i="2"/>
  <c r="N104" i="2" a="1"/>
  <c r="N104" i="2" s="1"/>
  <c r="O104" i="2" s="1" a="1"/>
  <c r="O104" i="2" s="1"/>
  <c r="L104" i="2" a="1"/>
  <c r="L104" i="2" s="1"/>
  <c r="M104" i="2" s="1" a="1"/>
  <c r="M104" i="2" s="1"/>
  <c r="J104" i="2"/>
  <c r="N103" i="2" a="1"/>
  <c r="N103" i="2" s="1"/>
  <c r="O103" i="2" s="1" a="1"/>
  <c r="O103" i="2" s="1"/>
  <c r="L103" i="2" a="1"/>
  <c r="L103" i="2" s="1"/>
  <c r="M103" i="2" s="1" a="1"/>
  <c r="M103" i="2" s="1"/>
  <c r="J103" i="2"/>
  <c r="N102" i="2" a="1"/>
  <c r="N102" i="2" s="1"/>
  <c r="O102" i="2" s="1" a="1"/>
  <c r="O102" i="2" s="1"/>
  <c r="L102" i="2" a="1"/>
  <c r="L102" i="2" s="1"/>
  <c r="M102" i="2" s="1" a="1"/>
  <c r="M102" i="2" s="1"/>
  <c r="J102" i="2"/>
  <c r="N101" i="2" a="1"/>
  <c r="N101" i="2" s="1"/>
  <c r="O101" i="2" s="1" a="1"/>
  <c r="O101" i="2" s="1"/>
  <c r="L101" i="2" a="1"/>
  <c r="L101" i="2" s="1"/>
  <c r="M101" i="2" s="1" a="1"/>
  <c r="M101" i="2" s="1"/>
  <c r="J101" i="2"/>
  <c r="N100" i="2" a="1"/>
  <c r="N100" i="2" s="1"/>
  <c r="O100" i="2" s="1" a="1"/>
  <c r="O100" i="2" s="1"/>
  <c r="L100" i="2" a="1"/>
  <c r="L100" i="2" s="1"/>
  <c r="M100" i="2" s="1" a="1"/>
  <c r="M100" i="2" s="1"/>
  <c r="J100" i="2"/>
  <c r="N99" i="2" a="1"/>
  <c r="N99" i="2" s="1"/>
  <c r="O99" i="2" s="1" a="1"/>
  <c r="O99" i="2" s="1"/>
  <c r="L99" i="2" a="1"/>
  <c r="L99" i="2" s="1"/>
  <c r="M99" i="2" s="1" a="1"/>
  <c r="M99" i="2" s="1"/>
  <c r="J99" i="2"/>
  <c r="N98" i="2" a="1"/>
  <c r="N98" i="2" s="1"/>
  <c r="O98" i="2" s="1" a="1"/>
  <c r="O98" i="2" s="1"/>
  <c r="L98" i="2" a="1"/>
  <c r="L98" i="2" s="1"/>
  <c r="M98" i="2" s="1" a="1"/>
  <c r="M98" i="2" s="1"/>
  <c r="J98" i="2"/>
  <c r="N97" i="2" a="1"/>
  <c r="N97" i="2" s="1"/>
  <c r="O97" i="2" s="1" a="1"/>
  <c r="O97" i="2" s="1"/>
  <c r="L97" i="2" a="1"/>
  <c r="L97" i="2" s="1"/>
  <c r="M97" i="2" s="1" a="1"/>
  <c r="M97" i="2" s="1"/>
  <c r="J97" i="2"/>
  <c r="N96" i="2" a="1"/>
  <c r="N96" i="2" s="1"/>
  <c r="O96" i="2" s="1" a="1"/>
  <c r="O96" i="2" s="1"/>
  <c r="L96" i="2" a="1"/>
  <c r="L96" i="2" s="1"/>
  <c r="M96" i="2" s="1" a="1"/>
  <c r="M96" i="2" s="1"/>
  <c r="J96" i="2"/>
  <c r="N95" i="2" a="1"/>
  <c r="N95" i="2" s="1"/>
  <c r="O95" i="2" s="1" a="1"/>
  <c r="O95" i="2" s="1"/>
  <c r="L95" i="2" a="1"/>
  <c r="L95" i="2" s="1"/>
  <c r="M95" i="2" s="1" a="1"/>
  <c r="M95" i="2" s="1"/>
  <c r="J95" i="2"/>
  <c r="N94" i="2" a="1"/>
  <c r="N94" i="2" s="1"/>
  <c r="O94" i="2" s="1" a="1"/>
  <c r="O94" i="2" s="1"/>
  <c r="L94" i="2" a="1"/>
  <c r="L94" i="2" s="1"/>
  <c r="M94" i="2" s="1" a="1"/>
  <c r="M94" i="2" s="1"/>
  <c r="J94" i="2"/>
  <c r="N93" i="2" a="1"/>
  <c r="N93" i="2" s="1"/>
  <c r="O93" i="2" s="1" a="1"/>
  <c r="O93" i="2" s="1"/>
  <c r="L93" i="2" a="1"/>
  <c r="L93" i="2" s="1"/>
  <c r="M93" i="2" s="1" a="1"/>
  <c r="M93" i="2" s="1"/>
  <c r="J93" i="2"/>
  <c r="N92" i="2" a="1"/>
  <c r="N92" i="2" s="1"/>
  <c r="O92" i="2" s="1" a="1"/>
  <c r="O92" i="2" s="1"/>
  <c r="L92" i="2" a="1"/>
  <c r="L92" i="2" s="1"/>
  <c r="M92" i="2" s="1" a="1"/>
  <c r="M92" i="2" s="1"/>
  <c r="J92" i="2"/>
  <c r="N91" i="2" a="1"/>
  <c r="N91" i="2" s="1"/>
  <c r="O91" i="2" s="1" a="1"/>
  <c r="O91" i="2" s="1"/>
  <c r="L91" i="2" a="1"/>
  <c r="L91" i="2" s="1"/>
  <c r="M91" i="2" s="1" a="1"/>
  <c r="M91" i="2" s="1"/>
  <c r="J91" i="2"/>
  <c r="N90" i="2" a="1"/>
  <c r="N90" i="2" s="1"/>
  <c r="O90" i="2" s="1" a="1"/>
  <c r="O90" i="2" s="1"/>
  <c r="L90" i="2" a="1"/>
  <c r="L90" i="2" s="1"/>
  <c r="M90" i="2" s="1" a="1"/>
  <c r="M90" i="2" s="1"/>
  <c r="J90" i="2"/>
  <c r="N89" i="2" a="1"/>
  <c r="N89" i="2" s="1"/>
  <c r="O89" i="2" s="1" a="1"/>
  <c r="O89" i="2" s="1"/>
  <c r="L89" i="2" a="1"/>
  <c r="L89" i="2" s="1"/>
  <c r="M89" i="2" s="1" a="1"/>
  <c r="M89" i="2" s="1"/>
  <c r="J89" i="2"/>
  <c r="N88" i="2" a="1"/>
  <c r="N88" i="2" s="1"/>
  <c r="O88" i="2" s="1" a="1"/>
  <c r="O88" i="2" s="1"/>
  <c r="L88" i="2" a="1"/>
  <c r="L88" i="2" s="1"/>
  <c r="M88" i="2" s="1" a="1"/>
  <c r="M88" i="2" s="1"/>
  <c r="J88" i="2"/>
  <c r="N87" i="2" a="1"/>
  <c r="N87" i="2" s="1"/>
  <c r="O87" i="2" s="1" a="1"/>
  <c r="O87" i="2" s="1"/>
  <c r="L87" i="2" a="1"/>
  <c r="L87" i="2" s="1"/>
  <c r="M87" i="2" s="1" a="1"/>
  <c r="M87" i="2" s="1"/>
  <c r="J87" i="2"/>
  <c r="N86" i="2" a="1"/>
  <c r="N86" i="2" s="1"/>
  <c r="O86" i="2" s="1" a="1"/>
  <c r="O86" i="2" s="1"/>
  <c r="L86" i="2" a="1"/>
  <c r="L86" i="2" s="1"/>
  <c r="M86" i="2" s="1" a="1"/>
  <c r="M86" i="2" s="1"/>
  <c r="J86" i="2"/>
  <c r="N85" i="2" a="1"/>
  <c r="N85" i="2" s="1"/>
  <c r="O85" i="2" s="1" a="1"/>
  <c r="O85" i="2" s="1"/>
  <c r="L85" i="2" a="1"/>
  <c r="L85" i="2" s="1"/>
  <c r="M85" i="2" s="1" a="1"/>
  <c r="M85" i="2" s="1"/>
  <c r="J85" i="2"/>
  <c r="N84" i="2" a="1"/>
  <c r="N84" i="2" s="1"/>
  <c r="O84" i="2" s="1" a="1"/>
  <c r="O84" i="2" s="1"/>
  <c r="L84" i="2" a="1"/>
  <c r="L84" i="2" s="1"/>
  <c r="M84" i="2" s="1" a="1"/>
  <c r="M84" i="2" s="1"/>
  <c r="J84" i="2"/>
  <c r="N83" i="2" a="1"/>
  <c r="N83" i="2" s="1"/>
  <c r="O83" i="2" s="1" a="1"/>
  <c r="O83" i="2" s="1"/>
  <c r="L83" i="2" a="1"/>
  <c r="L83" i="2" s="1"/>
  <c r="M83" i="2" s="1" a="1"/>
  <c r="M83" i="2" s="1"/>
  <c r="J83" i="2"/>
  <c r="N82" i="2" a="1"/>
  <c r="N82" i="2" s="1"/>
  <c r="O82" i="2" s="1" a="1"/>
  <c r="O82" i="2" s="1"/>
  <c r="L82" i="2" a="1"/>
  <c r="L82" i="2" s="1"/>
  <c r="M82" i="2" s="1" a="1"/>
  <c r="M82" i="2" s="1"/>
  <c r="J82" i="2"/>
  <c r="N81" i="2" a="1"/>
  <c r="N81" i="2" s="1"/>
  <c r="O81" i="2" s="1" a="1"/>
  <c r="O81" i="2" s="1"/>
  <c r="L81" i="2" a="1"/>
  <c r="L81" i="2" s="1"/>
  <c r="M81" i="2" s="1" a="1"/>
  <c r="M81" i="2" s="1"/>
  <c r="J81" i="2"/>
  <c r="N80" i="2" a="1"/>
  <c r="N80" i="2" s="1"/>
  <c r="O80" i="2" s="1" a="1"/>
  <c r="O80" i="2" s="1"/>
  <c r="L80" i="2" a="1"/>
  <c r="L80" i="2" s="1"/>
  <c r="M80" i="2" s="1" a="1"/>
  <c r="M80" i="2" s="1"/>
  <c r="J80" i="2"/>
  <c r="N79" i="2" a="1"/>
  <c r="N79" i="2" s="1"/>
  <c r="O79" i="2" s="1" a="1"/>
  <c r="O79" i="2" s="1"/>
  <c r="L79" i="2" a="1"/>
  <c r="L79" i="2" s="1"/>
  <c r="M79" i="2" s="1" a="1"/>
  <c r="M79" i="2" s="1"/>
  <c r="J79" i="2"/>
  <c r="N78" i="2" a="1"/>
  <c r="N78" i="2" s="1"/>
  <c r="O78" i="2" s="1" a="1"/>
  <c r="O78" i="2" s="1"/>
  <c r="L78" i="2" a="1"/>
  <c r="L78" i="2" s="1"/>
  <c r="M78" i="2" s="1" a="1"/>
  <c r="M78" i="2" s="1"/>
  <c r="J78" i="2"/>
  <c r="N77" i="2" a="1"/>
  <c r="N77" i="2" s="1"/>
  <c r="O77" i="2" s="1" a="1"/>
  <c r="O77" i="2" s="1"/>
  <c r="L77" i="2" a="1"/>
  <c r="L77" i="2" s="1"/>
  <c r="M77" i="2" s="1" a="1"/>
  <c r="M77" i="2" s="1"/>
  <c r="J77" i="2"/>
  <c r="N76" i="2" a="1"/>
  <c r="N76" i="2" s="1"/>
  <c r="O76" i="2" s="1" a="1"/>
  <c r="O76" i="2" s="1"/>
  <c r="L76" i="2" a="1"/>
  <c r="L76" i="2" s="1"/>
  <c r="M76" i="2" s="1" a="1"/>
  <c r="M76" i="2" s="1"/>
  <c r="J76" i="2"/>
  <c r="N75" i="2" a="1"/>
  <c r="N75" i="2" s="1"/>
  <c r="O75" i="2" s="1" a="1"/>
  <c r="O75" i="2" s="1"/>
  <c r="L75" i="2" a="1"/>
  <c r="L75" i="2" s="1"/>
  <c r="M75" i="2" s="1" a="1"/>
  <c r="M75" i="2" s="1"/>
  <c r="J75" i="2"/>
  <c r="N74" i="2" a="1"/>
  <c r="N74" i="2" s="1"/>
  <c r="O74" i="2" s="1" a="1"/>
  <c r="O74" i="2" s="1"/>
  <c r="L74" i="2" a="1"/>
  <c r="L74" i="2" s="1"/>
  <c r="M74" i="2" s="1" a="1"/>
  <c r="M74" i="2" s="1"/>
  <c r="J74" i="2"/>
  <c r="N73" i="2" a="1"/>
  <c r="N73" i="2" s="1"/>
  <c r="O73" i="2" s="1" a="1"/>
  <c r="O73" i="2" s="1"/>
  <c r="L73" i="2" a="1"/>
  <c r="L73" i="2" s="1"/>
  <c r="M73" i="2" s="1" a="1"/>
  <c r="M73" i="2" s="1"/>
  <c r="J73" i="2"/>
  <c r="N72" i="2" a="1"/>
  <c r="N72" i="2" s="1"/>
  <c r="O72" i="2" s="1" a="1"/>
  <c r="O72" i="2" s="1"/>
  <c r="L72" i="2" a="1"/>
  <c r="L72" i="2" s="1"/>
  <c r="M72" i="2" s="1" a="1"/>
  <c r="M72" i="2" s="1"/>
  <c r="J72" i="2"/>
  <c r="N71" i="2" a="1"/>
  <c r="N71" i="2" s="1"/>
  <c r="O71" i="2" s="1" a="1"/>
  <c r="O71" i="2" s="1"/>
  <c r="L71" i="2" a="1"/>
  <c r="L71" i="2" s="1"/>
  <c r="M71" i="2" s="1" a="1"/>
  <c r="M71" i="2" s="1"/>
  <c r="J71" i="2"/>
  <c r="N70" i="2" a="1"/>
  <c r="N70" i="2" s="1"/>
  <c r="O70" i="2" s="1" a="1"/>
  <c r="O70" i="2" s="1"/>
  <c r="L70" i="2" a="1"/>
  <c r="L70" i="2" s="1"/>
  <c r="M70" i="2" s="1" a="1"/>
  <c r="M70" i="2" s="1"/>
  <c r="J70" i="2"/>
  <c r="N69" i="2" a="1"/>
  <c r="N69" i="2" s="1"/>
  <c r="O69" i="2" s="1" a="1"/>
  <c r="O69" i="2" s="1"/>
  <c r="L69" i="2" a="1"/>
  <c r="L69" i="2" s="1"/>
  <c r="M69" i="2" s="1" a="1"/>
  <c r="M69" i="2" s="1"/>
  <c r="J69" i="2"/>
  <c r="N68" i="2" a="1"/>
  <c r="N68" i="2" s="1"/>
  <c r="O68" i="2" s="1" a="1"/>
  <c r="O68" i="2" s="1"/>
  <c r="L68" i="2" a="1"/>
  <c r="L68" i="2" s="1"/>
  <c r="M68" i="2" s="1" a="1"/>
  <c r="M68" i="2" s="1"/>
  <c r="J68" i="2"/>
  <c r="N67" i="2" a="1"/>
  <c r="N67" i="2" s="1"/>
  <c r="O67" i="2" s="1" a="1"/>
  <c r="O67" i="2" s="1"/>
  <c r="L67" i="2" a="1"/>
  <c r="L67" i="2" s="1"/>
  <c r="M67" i="2" s="1" a="1"/>
  <c r="M67" i="2" s="1"/>
  <c r="J67" i="2"/>
  <c r="N66" i="2" a="1"/>
  <c r="N66" i="2" s="1"/>
  <c r="O66" i="2" s="1" a="1"/>
  <c r="O66" i="2" s="1"/>
  <c r="L66" i="2" a="1"/>
  <c r="L66" i="2" s="1"/>
  <c r="M66" i="2" s="1" a="1"/>
  <c r="M66" i="2" s="1"/>
  <c r="J66" i="2"/>
  <c r="N65" i="2" a="1"/>
  <c r="N65" i="2" s="1"/>
  <c r="O65" i="2" s="1" a="1"/>
  <c r="O65" i="2" s="1"/>
  <c r="L65" i="2" a="1"/>
  <c r="L65" i="2" s="1"/>
  <c r="M65" i="2" s="1" a="1"/>
  <c r="M65" i="2" s="1"/>
  <c r="J65" i="2"/>
  <c r="N64" i="2" a="1"/>
  <c r="N64" i="2" s="1"/>
  <c r="O64" i="2" s="1" a="1"/>
  <c r="O64" i="2" s="1"/>
  <c r="L64" i="2" a="1"/>
  <c r="L64" i="2" s="1"/>
  <c r="M64" i="2" s="1" a="1"/>
  <c r="M64" i="2" s="1"/>
  <c r="J64" i="2"/>
  <c r="N63" i="2" a="1"/>
  <c r="N63" i="2" s="1"/>
  <c r="O63" i="2" s="1" a="1"/>
  <c r="O63" i="2" s="1"/>
  <c r="L63" i="2" a="1"/>
  <c r="L63" i="2" s="1"/>
  <c r="M63" i="2" s="1" a="1"/>
  <c r="M63" i="2" s="1"/>
  <c r="J63" i="2"/>
  <c r="N62" i="2" a="1"/>
  <c r="N62" i="2" s="1"/>
  <c r="O62" i="2" s="1" a="1"/>
  <c r="O62" i="2" s="1"/>
  <c r="L62" i="2" a="1"/>
  <c r="L62" i="2" s="1"/>
  <c r="M62" i="2" s="1" a="1"/>
  <c r="M62" i="2" s="1"/>
  <c r="J62" i="2"/>
  <c r="N61" i="2" a="1"/>
  <c r="N61" i="2" s="1"/>
  <c r="O61" i="2" s="1" a="1"/>
  <c r="O61" i="2" s="1"/>
  <c r="L61" i="2" a="1"/>
  <c r="L61" i="2" s="1"/>
  <c r="M61" i="2" s="1" a="1"/>
  <c r="M61" i="2" s="1"/>
  <c r="J61" i="2"/>
  <c r="N60" i="2" a="1"/>
  <c r="N60" i="2" s="1"/>
  <c r="O60" i="2" s="1" a="1"/>
  <c r="O60" i="2" s="1"/>
  <c r="L60" i="2" a="1"/>
  <c r="L60" i="2" s="1"/>
  <c r="M60" i="2" s="1" a="1"/>
  <c r="M60" i="2" s="1"/>
  <c r="J60" i="2"/>
  <c r="N59" i="2" a="1"/>
  <c r="N59" i="2" s="1"/>
  <c r="O59" i="2" s="1" a="1"/>
  <c r="O59" i="2" s="1"/>
  <c r="L59" i="2" a="1"/>
  <c r="L59" i="2" s="1"/>
  <c r="M59" i="2" s="1" a="1"/>
  <c r="M59" i="2" s="1"/>
  <c r="J59" i="2"/>
  <c r="N58" i="2" a="1"/>
  <c r="N58" i="2" s="1"/>
  <c r="O58" i="2" s="1" a="1"/>
  <c r="O58" i="2" s="1"/>
  <c r="L58" i="2" a="1"/>
  <c r="L58" i="2" s="1"/>
  <c r="M58" i="2" s="1" a="1"/>
  <c r="M58" i="2" s="1"/>
  <c r="J58" i="2"/>
  <c r="N57" i="2" a="1"/>
  <c r="N57" i="2" s="1"/>
  <c r="O57" i="2" s="1" a="1"/>
  <c r="O57" i="2" s="1"/>
  <c r="L57" i="2" a="1"/>
  <c r="L57" i="2" s="1"/>
  <c r="M57" i="2" s="1" a="1"/>
  <c r="M57" i="2" s="1"/>
  <c r="J57" i="2"/>
  <c r="N56" i="2" a="1"/>
  <c r="N56" i="2" s="1"/>
  <c r="O56" i="2" s="1" a="1"/>
  <c r="O56" i="2" s="1"/>
  <c r="L56" i="2" a="1"/>
  <c r="L56" i="2" s="1"/>
  <c r="M56" i="2" s="1" a="1"/>
  <c r="M56" i="2" s="1"/>
  <c r="J56" i="2"/>
  <c r="N55" i="2" a="1"/>
  <c r="N55" i="2" s="1"/>
  <c r="O55" i="2" s="1" a="1"/>
  <c r="O55" i="2" s="1"/>
  <c r="L55" i="2" a="1"/>
  <c r="L55" i="2" s="1"/>
  <c r="M55" i="2" s="1" a="1"/>
  <c r="M55" i="2" s="1"/>
  <c r="J55" i="2"/>
  <c r="N54" i="2" a="1"/>
  <c r="N54" i="2" s="1"/>
  <c r="O54" i="2" s="1" a="1"/>
  <c r="O54" i="2" s="1"/>
  <c r="L54" i="2" a="1"/>
  <c r="L54" i="2" s="1"/>
  <c r="M54" i="2" s="1" a="1"/>
  <c r="M54" i="2" s="1"/>
  <c r="J54" i="2"/>
  <c r="N53" i="2" a="1"/>
  <c r="N53" i="2" s="1"/>
  <c r="O53" i="2" s="1" a="1"/>
  <c r="O53" i="2" s="1"/>
  <c r="L53" i="2" a="1"/>
  <c r="L53" i="2" s="1"/>
  <c r="M53" i="2" s="1" a="1"/>
  <c r="M53" i="2" s="1"/>
  <c r="J53" i="2"/>
  <c r="N52" i="2" a="1"/>
  <c r="N52" i="2" s="1"/>
  <c r="O52" i="2" s="1" a="1"/>
  <c r="O52" i="2" s="1"/>
  <c r="L52" i="2" a="1"/>
  <c r="L52" i="2" s="1"/>
  <c r="M52" i="2" s="1" a="1"/>
  <c r="M52" i="2" s="1"/>
  <c r="J52" i="2"/>
  <c r="N51" i="2" a="1"/>
  <c r="N51" i="2" s="1"/>
  <c r="O51" i="2" s="1" a="1"/>
  <c r="O51" i="2" s="1"/>
  <c r="L51" i="2" a="1"/>
  <c r="L51" i="2" s="1"/>
  <c r="M51" i="2" s="1" a="1"/>
  <c r="M51" i="2" s="1"/>
  <c r="J51" i="2"/>
  <c r="N50" i="2" a="1"/>
  <c r="N50" i="2" s="1"/>
  <c r="O50" i="2" s="1" a="1"/>
  <c r="O50" i="2" s="1"/>
  <c r="L50" i="2" a="1"/>
  <c r="L50" i="2" s="1"/>
  <c r="M50" i="2" s="1" a="1"/>
  <c r="M50" i="2" s="1"/>
  <c r="J50" i="2"/>
  <c r="N49" i="2" a="1"/>
  <c r="N49" i="2" s="1"/>
  <c r="O49" i="2" s="1" a="1"/>
  <c r="O49" i="2" s="1"/>
  <c r="L49" i="2" a="1"/>
  <c r="L49" i="2" s="1"/>
  <c r="M49" i="2" s="1" a="1"/>
  <c r="M49" i="2" s="1"/>
  <c r="J49" i="2"/>
  <c r="N48" i="2" a="1"/>
  <c r="N48" i="2" s="1"/>
  <c r="O48" i="2" s="1" a="1"/>
  <c r="O48" i="2" s="1"/>
  <c r="L48" i="2" a="1"/>
  <c r="L48" i="2" s="1"/>
  <c r="M48" i="2" s="1" a="1"/>
  <c r="M48" i="2" s="1"/>
  <c r="J48" i="2"/>
  <c r="N47" i="2" a="1"/>
  <c r="N47" i="2" s="1"/>
  <c r="O47" i="2" s="1" a="1"/>
  <c r="O47" i="2" s="1"/>
  <c r="L47" i="2" a="1"/>
  <c r="L47" i="2" s="1"/>
  <c r="M47" i="2" s="1" a="1"/>
  <c r="M47" i="2" s="1"/>
  <c r="J47" i="2"/>
  <c r="N46" i="2" a="1"/>
  <c r="N46" i="2" s="1"/>
  <c r="O46" i="2" s="1" a="1"/>
  <c r="O46" i="2" s="1"/>
  <c r="L46" i="2" a="1"/>
  <c r="L46" i="2" s="1"/>
  <c r="M46" i="2" s="1" a="1"/>
  <c r="M46" i="2" s="1"/>
  <c r="J46" i="2"/>
  <c r="N45" i="2" a="1"/>
  <c r="N45" i="2" s="1"/>
  <c r="O45" i="2" s="1" a="1"/>
  <c r="O45" i="2" s="1"/>
  <c r="L45" i="2" a="1"/>
  <c r="L45" i="2" s="1"/>
  <c r="M45" i="2" s="1" a="1"/>
  <c r="M45" i="2" s="1"/>
  <c r="J45" i="2"/>
  <c r="N44" i="2" a="1"/>
  <c r="N44" i="2" s="1"/>
  <c r="O44" i="2" s="1" a="1"/>
  <c r="O44" i="2" s="1"/>
  <c r="L44" i="2" a="1"/>
  <c r="L44" i="2" s="1"/>
  <c r="M44" i="2" s="1" a="1"/>
  <c r="M44" i="2" s="1"/>
  <c r="J44" i="2"/>
  <c r="N43" i="2" a="1"/>
  <c r="N43" i="2" s="1"/>
  <c r="O43" i="2" s="1" a="1"/>
  <c r="O43" i="2" s="1"/>
  <c r="L43" i="2" a="1"/>
  <c r="L43" i="2" s="1"/>
  <c r="M43" i="2" s="1" a="1"/>
  <c r="M43" i="2" s="1"/>
  <c r="J43" i="2"/>
  <c r="N42" i="2" a="1"/>
  <c r="N42" i="2" s="1"/>
  <c r="O42" i="2" s="1" a="1"/>
  <c r="O42" i="2" s="1"/>
  <c r="L42" i="2" a="1"/>
  <c r="L42" i="2" s="1"/>
  <c r="M42" i="2" s="1" a="1"/>
  <c r="M42" i="2" s="1"/>
  <c r="J42" i="2"/>
  <c r="N41" i="2" a="1"/>
  <c r="N41" i="2" s="1"/>
  <c r="O41" i="2" s="1" a="1"/>
  <c r="O41" i="2" s="1"/>
  <c r="L41" i="2" a="1"/>
  <c r="L41" i="2" s="1"/>
  <c r="M41" i="2" s="1" a="1"/>
  <c r="M41" i="2" s="1"/>
  <c r="J41" i="2"/>
  <c r="N40" i="2" a="1"/>
  <c r="N40" i="2" s="1"/>
  <c r="O40" i="2" s="1" a="1"/>
  <c r="O40" i="2" s="1"/>
  <c r="L40" i="2" a="1"/>
  <c r="L40" i="2" s="1"/>
  <c r="M40" i="2" s="1" a="1"/>
  <c r="M40" i="2" s="1"/>
  <c r="J40" i="2"/>
  <c r="N39" i="2" a="1"/>
  <c r="N39" i="2" s="1"/>
  <c r="O39" i="2" s="1" a="1"/>
  <c r="O39" i="2" s="1"/>
  <c r="L39" i="2" a="1"/>
  <c r="L39" i="2" s="1"/>
  <c r="M39" i="2" s="1" a="1"/>
  <c r="M39" i="2" s="1"/>
  <c r="J39" i="2"/>
  <c r="N38" i="2" a="1"/>
  <c r="N38" i="2" s="1"/>
  <c r="O38" i="2" s="1" a="1"/>
  <c r="O38" i="2" s="1"/>
  <c r="L38" i="2" a="1"/>
  <c r="L38" i="2" s="1"/>
  <c r="M38" i="2" s="1" a="1"/>
  <c r="M38" i="2" s="1"/>
  <c r="J38" i="2"/>
  <c r="N37" i="2" a="1"/>
  <c r="N37" i="2" s="1"/>
  <c r="O37" i="2" s="1" a="1"/>
  <c r="O37" i="2" s="1"/>
  <c r="L37" i="2" a="1"/>
  <c r="L37" i="2" s="1"/>
  <c r="M37" i="2" s="1" a="1"/>
  <c r="M37" i="2" s="1"/>
  <c r="J37" i="2"/>
  <c r="N36" i="2" a="1"/>
  <c r="N36" i="2" s="1"/>
  <c r="O36" i="2" s="1" a="1"/>
  <c r="O36" i="2" s="1"/>
  <c r="L36" i="2" a="1"/>
  <c r="L36" i="2" s="1"/>
  <c r="M36" i="2" s="1" a="1"/>
  <c r="M36" i="2" s="1"/>
  <c r="J36" i="2"/>
  <c r="N35" i="2" a="1"/>
  <c r="N35" i="2" s="1"/>
  <c r="O35" i="2" s="1" a="1"/>
  <c r="O35" i="2" s="1"/>
  <c r="L35" i="2" a="1"/>
  <c r="L35" i="2" s="1"/>
  <c r="M35" i="2" s="1" a="1"/>
  <c r="M35" i="2" s="1"/>
  <c r="J35" i="2"/>
  <c r="N34" i="2" a="1"/>
  <c r="N34" i="2" s="1"/>
  <c r="O34" i="2" s="1" a="1"/>
  <c r="O34" i="2" s="1"/>
  <c r="L34" i="2" a="1"/>
  <c r="L34" i="2" s="1"/>
  <c r="M34" i="2" s="1" a="1"/>
  <c r="M34" i="2" s="1"/>
  <c r="J34" i="2"/>
  <c r="N33" i="2" a="1"/>
  <c r="N33" i="2" s="1"/>
  <c r="O33" i="2" s="1" a="1"/>
  <c r="O33" i="2" s="1"/>
  <c r="L33" i="2" a="1"/>
  <c r="L33" i="2" s="1"/>
  <c r="M33" i="2" s="1" a="1"/>
  <c r="M33" i="2" s="1"/>
  <c r="J33" i="2"/>
  <c r="N32" i="2" a="1"/>
  <c r="N32" i="2" s="1"/>
  <c r="O32" i="2" s="1" a="1"/>
  <c r="O32" i="2" s="1"/>
  <c r="L32" i="2" a="1"/>
  <c r="L32" i="2" s="1"/>
  <c r="M32" i="2" s="1" a="1"/>
  <c r="M32" i="2" s="1"/>
  <c r="J32" i="2"/>
  <c r="N31" i="2" a="1"/>
  <c r="N31" i="2" s="1"/>
  <c r="O31" i="2" s="1" a="1"/>
  <c r="O31" i="2" s="1"/>
  <c r="L31" i="2" a="1"/>
  <c r="L31" i="2" s="1"/>
  <c r="M31" i="2" s="1" a="1"/>
  <c r="M31" i="2" s="1"/>
  <c r="J31" i="2"/>
  <c r="N30" i="2" a="1"/>
  <c r="N30" i="2" s="1"/>
  <c r="O30" i="2" s="1" a="1"/>
  <c r="O30" i="2" s="1"/>
  <c r="L30" i="2" a="1"/>
  <c r="L30" i="2" s="1"/>
  <c r="M30" i="2" s="1" a="1"/>
  <c r="M30" i="2" s="1"/>
  <c r="J30" i="2"/>
  <c r="N29" i="2" a="1"/>
  <c r="N29" i="2" s="1"/>
  <c r="O29" i="2" s="1" a="1"/>
  <c r="O29" i="2" s="1"/>
  <c r="L29" i="2" a="1"/>
  <c r="L29" i="2" s="1"/>
  <c r="M29" i="2" s="1" a="1"/>
  <c r="M29" i="2" s="1"/>
  <c r="J29" i="2"/>
  <c r="N28" i="2" a="1"/>
  <c r="N28" i="2" s="1"/>
  <c r="O28" i="2" s="1" a="1"/>
  <c r="O28" i="2" s="1"/>
  <c r="L28" i="2" a="1"/>
  <c r="L28" i="2" s="1"/>
  <c r="M28" i="2" s="1" a="1"/>
  <c r="M28" i="2" s="1"/>
  <c r="J28" i="2"/>
  <c r="N27" i="2" a="1"/>
  <c r="N27" i="2" s="1"/>
  <c r="O27" i="2" s="1" a="1"/>
  <c r="O27" i="2" s="1"/>
  <c r="L27" i="2" a="1"/>
  <c r="L27" i="2" s="1"/>
  <c r="M27" i="2" s="1" a="1"/>
  <c r="M27" i="2" s="1"/>
  <c r="J27" i="2"/>
  <c r="N26" i="2" a="1"/>
  <c r="N26" i="2" s="1"/>
  <c r="O26" i="2" s="1" a="1"/>
  <c r="O26" i="2" s="1"/>
  <c r="L26" i="2" a="1"/>
  <c r="L26" i="2" s="1"/>
  <c r="M26" i="2" s="1" a="1"/>
  <c r="M26" i="2" s="1"/>
  <c r="J26" i="2"/>
  <c r="N25" i="2" a="1"/>
  <c r="N25" i="2" s="1"/>
  <c r="O25" i="2" s="1" a="1"/>
  <c r="O25" i="2" s="1"/>
  <c r="L25" i="2" a="1"/>
  <c r="L25" i="2" s="1"/>
  <c r="M25" i="2" s="1" a="1"/>
  <c r="M25" i="2" s="1"/>
  <c r="J25" i="2"/>
  <c r="N24" i="2" a="1"/>
  <c r="N24" i="2" s="1"/>
  <c r="O24" i="2" s="1" a="1"/>
  <c r="O24" i="2" s="1"/>
  <c r="L24" i="2" a="1"/>
  <c r="L24" i="2" s="1"/>
  <c r="M24" i="2" s="1" a="1"/>
  <c r="M24" i="2" s="1"/>
  <c r="J24" i="2"/>
  <c r="N23" i="2" a="1"/>
  <c r="N23" i="2" s="1"/>
  <c r="O23" i="2" s="1" a="1"/>
  <c r="O23" i="2" s="1"/>
  <c r="L23" i="2" a="1"/>
  <c r="L23" i="2" s="1"/>
  <c r="M23" i="2" s="1" a="1"/>
  <c r="M23" i="2" s="1"/>
  <c r="J23" i="2"/>
  <c r="N22" i="2" a="1"/>
  <c r="N22" i="2" s="1"/>
  <c r="O22" i="2" s="1" a="1"/>
  <c r="O22" i="2" s="1"/>
  <c r="L22" i="2" a="1"/>
  <c r="L22" i="2" s="1"/>
  <c r="M22" i="2" s="1" a="1"/>
  <c r="M22" i="2" s="1"/>
  <c r="J22" i="2"/>
  <c r="N21" i="2" a="1"/>
  <c r="N21" i="2" s="1"/>
  <c r="O21" i="2" s="1" a="1"/>
  <c r="O21" i="2" s="1"/>
  <c r="L21" i="2" a="1"/>
  <c r="L21" i="2" s="1"/>
  <c r="M21" i="2" s="1" a="1"/>
  <c r="M21" i="2" s="1"/>
  <c r="J21" i="2"/>
  <c r="N20" i="2" a="1"/>
  <c r="N20" i="2" s="1"/>
  <c r="O20" i="2" s="1" a="1"/>
  <c r="O20" i="2" s="1"/>
  <c r="L20" i="2" a="1"/>
  <c r="L20" i="2" s="1"/>
  <c r="M20" i="2" s="1" a="1"/>
  <c r="M20" i="2" s="1"/>
  <c r="J20" i="2"/>
  <c r="N19" i="2" a="1"/>
  <c r="N19" i="2" s="1"/>
  <c r="O19" i="2" s="1" a="1"/>
  <c r="O19" i="2" s="1"/>
  <c r="L19" i="2" a="1"/>
  <c r="L19" i="2" s="1"/>
  <c r="M19" i="2" s="1" a="1"/>
  <c r="M19" i="2" s="1"/>
  <c r="J19" i="2"/>
  <c r="N18" i="2" a="1"/>
  <c r="N18" i="2" s="1"/>
  <c r="O18" i="2" s="1" a="1"/>
  <c r="O18" i="2" s="1"/>
  <c r="L18" i="2" a="1"/>
  <c r="L18" i="2" s="1"/>
  <c r="M18" i="2" s="1" a="1"/>
  <c r="M18" i="2" s="1"/>
  <c r="J18" i="2"/>
  <c r="N17" i="2" a="1"/>
  <c r="N17" i="2" s="1"/>
  <c r="O17" i="2" s="1" a="1"/>
  <c r="O17" i="2" s="1"/>
  <c r="L17" i="2" a="1"/>
  <c r="L17" i="2" s="1"/>
  <c r="M17" i="2" s="1" a="1"/>
  <c r="M17" i="2" s="1"/>
  <c r="J17" i="2"/>
  <c r="N16" i="2" a="1"/>
  <c r="N16" i="2" s="1"/>
  <c r="O16" i="2" s="1" a="1"/>
  <c r="O16" i="2" s="1"/>
  <c r="L16" i="2" a="1"/>
  <c r="L16" i="2" s="1"/>
  <c r="M16" i="2" s="1" a="1"/>
  <c r="M16" i="2" s="1"/>
  <c r="J16" i="2"/>
  <c r="N15" i="2" a="1"/>
  <c r="N15" i="2" s="1"/>
  <c r="O15" i="2" s="1" a="1"/>
  <c r="O15" i="2" s="1"/>
  <c r="L15" i="2" a="1"/>
  <c r="L15" i="2" s="1"/>
  <c r="M15" i="2" s="1" a="1"/>
  <c r="M15" i="2" s="1"/>
  <c r="J15" i="2"/>
  <c r="N14" i="2" a="1"/>
  <c r="N14" i="2" s="1"/>
  <c r="O14" i="2" s="1" a="1"/>
  <c r="O14" i="2" s="1"/>
  <c r="L14" i="2" a="1"/>
  <c r="L14" i="2" s="1"/>
  <c r="M14" i="2" s="1" a="1"/>
  <c r="M14" i="2" s="1"/>
  <c r="J14" i="2"/>
  <c r="N13" i="2" a="1"/>
  <c r="N13" i="2" s="1"/>
  <c r="O13" i="2" s="1" a="1"/>
  <c r="O13" i="2" s="1"/>
  <c r="L13" i="2" a="1"/>
  <c r="L13" i="2" s="1"/>
  <c r="M13" i="2" s="1" a="1"/>
  <c r="M13" i="2" s="1"/>
  <c r="J13" i="2"/>
  <c r="N12" i="2" a="1"/>
  <c r="N12" i="2" s="1"/>
  <c r="O12" i="2" s="1" a="1"/>
  <c r="O12" i="2" s="1"/>
  <c r="L12" i="2" a="1"/>
  <c r="L12" i="2" s="1"/>
  <c r="M12" i="2" s="1" a="1"/>
  <c r="M12" i="2" s="1"/>
  <c r="J12" i="2"/>
  <c r="N11" i="2" a="1"/>
  <c r="N11" i="2" s="1"/>
  <c r="O11" i="2" s="1" a="1"/>
  <c r="O11" i="2" s="1"/>
  <c r="L11" i="2" a="1"/>
  <c r="L11" i="2" s="1"/>
  <c r="M11" i="2" s="1" a="1"/>
  <c r="M11" i="2" s="1"/>
  <c r="J11" i="2"/>
  <c r="N10" i="2" a="1"/>
  <c r="N10" i="2" s="1"/>
  <c r="O10" i="2" s="1" a="1"/>
  <c r="O10" i="2" s="1"/>
  <c r="L10" i="2" a="1"/>
  <c r="L10" i="2" s="1"/>
  <c r="M10" i="2" s="1" a="1"/>
  <c r="M10" i="2" s="1"/>
  <c r="J10" i="2"/>
  <c r="N9" i="2" a="1"/>
  <c r="N9" i="2" s="1"/>
  <c r="O9" i="2" s="1" a="1"/>
  <c r="O9" i="2" s="1"/>
  <c r="L9" i="2" a="1"/>
  <c r="L9" i="2" s="1"/>
  <c r="M9" i="2" s="1" a="1"/>
  <c r="M9" i="2" s="1"/>
  <c r="J9" i="2"/>
  <c r="N8" i="2" a="1"/>
  <c r="N8" i="2" s="1"/>
  <c r="O8" i="2" s="1" a="1"/>
  <c r="O8" i="2" s="1"/>
  <c r="L8" i="2" a="1"/>
  <c r="L8" i="2" s="1"/>
  <c r="M8" i="2" s="1" a="1"/>
  <c r="M8" i="2" s="1"/>
  <c r="J8" i="2"/>
  <c r="N7" i="2" a="1"/>
  <c r="N7" i="2" s="1"/>
  <c r="O7" i="2" s="1" a="1"/>
  <c r="O7" i="2" s="1"/>
  <c r="L7" i="2" a="1"/>
  <c r="L7" i="2" s="1"/>
  <c r="M7" i="2" s="1" a="1"/>
  <c r="M7" i="2" s="1"/>
  <c r="J7" i="2"/>
  <c r="N6" i="2" a="1"/>
  <c r="N6" i="2" s="1"/>
  <c r="O6" i="2" s="1" a="1"/>
  <c r="O6" i="2" s="1"/>
  <c r="L6" i="2" a="1"/>
  <c r="L6" i="2" s="1"/>
  <c r="M6" i="2" s="1" a="1"/>
  <c r="M6" i="2" s="1"/>
  <c r="J6" i="2"/>
  <c r="N5" i="2" a="1"/>
  <c r="N5" i="2" s="1"/>
  <c r="O5" i="2" s="1" a="1"/>
  <c r="O5" i="2" s="1"/>
  <c r="L5" i="2" a="1"/>
  <c r="L5" i="2" s="1"/>
  <c r="M5" i="2" s="1" a="1"/>
  <c r="M5" i="2" s="1"/>
  <c r="J5" i="2"/>
  <c r="N4" i="2" a="1"/>
  <c r="N4" i="2" s="1"/>
  <c r="O4" i="2" s="1" a="1"/>
  <c r="O4" i="2" s="1"/>
  <c r="L4" i="2" a="1"/>
  <c r="L4" i="2" s="1"/>
  <c r="M4" i="2" s="1" a="1"/>
  <c r="M4" i="2" s="1"/>
  <c r="J4" i="2"/>
  <c r="A3" i="6" a="1"/>
  <c r="A3" i="6"/>
  <c r="D25" i="1"/>
  <c r="D26" i="1"/>
  <c r="A3" i="4" l="1" a="1"/>
  <c r="A3" i="4" s="1"/>
  <c r="D37" i="1" s="1"/>
  <c r="D38" i="1"/>
  <c r="A3" i="8" a="1"/>
  <c r="A3" i="3" a="1"/>
  <c r="A3" i="7" a="1"/>
  <c r="D45" i="1" s="1"/>
  <c r="D47" i="1"/>
  <c r="E47" i="1" s="1"/>
  <c r="D40" i="1"/>
  <c r="E38" i="1"/>
  <c r="A3" i="8" l="1"/>
  <c r="E24" i="1"/>
  <c r="A3" i="7"/>
  <c r="D54" i="1"/>
  <c r="E54" i="1" s="1"/>
  <c r="D51" i="1"/>
  <c r="D52" i="1"/>
  <c r="A3" i="3"/>
  <c r="E31" i="1"/>
  <c r="E46" i="1"/>
  <c r="E40" i="1"/>
  <c r="E39" i="1"/>
  <c r="D44" i="1" l="1"/>
  <c r="E45" i="1" s="1"/>
  <c r="D22" i="1"/>
  <c r="E52" i="1"/>
  <c r="E53" i="1"/>
  <c r="D33" i="1"/>
  <c r="E33" i="1" s="1"/>
  <c r="E3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futureMetadata>
  <cellMetadata count="1">
    <bk>
      <rc t="1" v="0"/>
    </bk>
  </cellMetadata>
  <valueMetadata count="10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valueMetadata>
</metadata>
</file>

<file path=xl/sharedStrings.xml><?xml version="1.0" encoding="utf-8"?>
<sst xmlns="http://schemas.openxmlformats.org/spreadsheetml/2006/main" count="1213" uniqueCount="347">
  <si>
    <t>ICF FULL Report version2</t>
  </si>
  <si>
    <t>Report ID</t>
  </si>
  <si>
    <t>ICF_Full_16/04/2026</t>
  </si>
  <si>
    <t>Generated doc</t>
  </si>
  <si>
    <t>AW version</t>
  </si>
  <si>
    <t>Sandbox</t>
  </si>
  <si>
    <t>Clean Ver</t>
  </si>
  <si>
    <t>Generated By</t>
  </si>
  <si>
    <t>Paras</t>
  </si>
  <si>
    <t>Date</t>
  </si>
  <si>
    <t>No. of Pages</t>
  </si>
  <si>
    <t>Remarks</t>
  </si>
  <si>
    <t>Generation Time</t>
  </si>
  <si>
    <t>Destination Template</t>
  </si>
  <si>
    <t>.docx - 2 pages</t>
  </si>
  <si>
    <t>Source Documents</t>
  </si>
  <si>
    <t>Protocol Example (28Sep2023) 1</t>
  </si>
  <si>
    <t>Doc Type</t>
  </si>
  <si>
    <t>.docx</t>
  </si>
  <si>
    <t>.rtf</t>
  </si>
  <si>
    <t>Placeholder Analysis</t>
  </si>
  <si>
    <t>Accuracy Analysis</t>
  </si>
  <si>
    <t>Column1</t>
  </si>
  <si>
    <t>Column2</t>
  </si>
  <si>
    <t>Column3</t>
  </si>
  <si>
    <t>Column4</t>
  </si>
  <si>
    <t>Count</t>
  </si>
  <si>
    <t>Replaced</t>
  </si>
  <si>
    <t>Total Placeholders Identified</t>
  </si>
  <si>
    <t>Unique Placeholders</t>
  </si>
  <si>
    <t>Paragraph Placeholders</t>
  </si>
  <si>
    <t>KeyValue Placeholders</t>
  </si>
  <si>
    <t>List Placeholders</t>
  </si>
  <si>
    <t>Table Placeholders</t>
  </si>
  <si>
    <t>Multi Tables Placeholders</t>
  </si>
  <si>
    <t>Figure Placeholders</t>
  </si>
  <si>
    <t>List placeholders</t>
  </si>
  <si>
    <t>Total List placeholders</t>
  </si>
  <si>
    <t>QA/Debugging ↓</t>
  </si>
  <si>
    <t>List Replaced</t>
  </si>
  <si>
    <t>List Replaced correctly</t>
  </si>
  <si>
    <t>List Formatted correctly</t>
  </si>
  <si>
    <t>Paragraph placeholders</t>
  </si>
  <si>
    <t>Total paragraph placeholders</t>
  </si>
  <si>
    <t>Paragraphs Replaced</t>
  </si>
  <si>
    <t>Paragraphs Replaced correctly</t>
  </si>
  <si>
    <t>Paragraphs Formatted correctly</t>
  </si>
  <si>
    <t>KeyValue placeholders</t>
  </si>
  <si>
    <t>Total KeyValues placeholders</t>
  </si>
  <si>
    <t>KeyValues Replaced</t>
  </si>
  <si>
    <t>KeyValues Replaced correctly</t>
  </si>
  <si>
    <t>keyValues Formatted correctly</t>
  </si>
  <si>
    <t>Table placeholders</t>
  </si>
  <si>
    <t>Total Tables Expected</t>
  </si>
  <si>
    <t>Tables Replaced</t>
  </si>
  <si>
    <t>Tables content replaced correctly</t>
  </si>
  <si>
    <t>Tables Formatted correctly</t>
  </si>
  <si>
    <t>Multi Table placeholders</t>
  </si>
  <si>
    <t>Figure placeholders</t>
  </si>
  <si>
    <t>Table</t>
  </si>
  <si>
    <t>List</t>
  </si>
  <si>
    <t>Paragraph</t>
  </si>
  <si>
    <t>KeyValue</t>
  </si>
  <si>
    <t>Placeholder</t>
  </si>
  <si>
    <t>Placeholder Type</t>
  </si>
  <si>
    <t>Expected Value</t>
  </si>
  <si>
    <t>Source Document</t>
  </si>
  <si>
    <t>Writing instruction</t>
  </si>
  <si>
    <t>AI Replaced Text</t>
  </si>
  <si>
    <t xml:space="preserve">Ai detected Source </t>
  </si>
  <si>
    <t>Matching Accuracy</t>
  </si>
  <si>
    <t>Similarity Score</t>
  </si>
  <si>
    <t>Source Match</t>
  </si>
  <si>
    <t>Expected Rows</t>
  </si>
  <si>
    <t>Expected Colunms</t>
  </si>
  <si>
    <t>Expected Footnote</t>
  </si>
  <si>
    <t>AI replaced Rows</t>
  </si>
  <si>
    <t>AI replaced Colunms</t>
  </si>
  <si>
    <t>AI replaced Footnotes</t>
  </si>
  <si>
    <t>Alignment(yes/no)</t>
  </si>
  <si>
    <t>Status</t>
  </si>
  <si>
    <t>Number of point</t>
  </si>
  <si>
    <t>AI Number of point</t>
  </si>
  <si>
    <t>Point matching(yes/no)</t>
  </si>
  <si>
    <t>Status(human)</t>
  </si>
  <si>
    <t>Header Availablity</t>
  </si>
  <si>
    <t>AI Header Availablity</t>
  </si>
  <si>
    <t>Par Similarity Score</t>
  </si>
  <si>
    <t>Per of Match</t>
  </si>
  <si>
    <t>&lt;Sponsor&gt;</t>
  </si>
  <si>
    <t>Stendarr, Inc. </t>
  </si>
  <si>
    <t>Insert the sponsor's name in line with the protocol header formatting.</t>
  </si>
  <si>
    <t>Stendarr, Inc.</t>
  </si>
  <si>
    <t>&lt;Full protocol title&gt;</t>
  </si>
  <si>
    <r>
      <t>A First-In-Human, Phase 1, Randomized, Double-Blind, Placebo-Controlled Study to Evaluate the Safety, Tolerability, and Pharmacokinetics of ABC-123 as a Single Dose in Healthy Participants and as Multiple Doses in Participants with Grade 2 </t>
    </r>
    <r>
      <rPr>
        <sz val="12"/>
        <color rgb="FFFFFFFF"/>
        <rFont val="Times New Roman"/>
        <charset val="1"/>
      </rPr>
      <t>Boneitis</t>
    </r>
  </si>
  <si>
    <t>Insert the full protocol title verbatim, maintaining inline continuity.</t>
  </si>
  <si>
    <t>A First-In-Human, Phase 1, Randomized, Double-Blind, Placebo-Controlled Study to Evaluate the Safety, Tolerability, and Pharmacokinetics of ABC-123 as a Single Dose in Healthy Participants and as Multiple Doses in Participants with Grade 2 Boneitis</t>
  </si>
  <si>
    <t>yes</t>
  </si>
  <si>
    <t>&lt;Protocol Number&gt;</t>
  </si>
  <si>
    <t>SKY-2000-101 </t>
  </si>
  <si>
    <t>Insert the official protocol number in the format used in the source document.</t>
  </si>
  <si>
    <t>SKY-2000-101</t>
  </si>
  <si>
    <t>&lt;Principal Investigator Name&gt;</t>
  </si>
  <si>
    <r>
      <t>Karliah N. Gale, MD</t>
    </r>
    <r>
      <rPr>
        <sz val="11"/>
        <rFont val="Times New Roman"/>
        <charset val="1"/>
      </rPr>
      <t>​</t>
    </r>
    <r>
      <rPr>
        <sz val="12"/>
        <color rgb="FF000000"/>
        <rFont val="Times New Roman"/>
        <charset val="1"/>
      </rPr>
      <t>profe</t>
    </r>
    <r>
      <rPr>
        <sz val="11"/>
        <rFont val="Times New Roman"/>
        <charset val="1"/>
      </rPr>
      <t>​</t>
    </r>
    <r>
      <rPr>
        <sz val="12"/>
        <color rgb="FF000000"/>
        <rFont val="Times New Roman"/>
        <charset val="1"/>
      </rPr>
      <t> </t>
    </r>
  </si>
  <si>
    <t>&lt;Telephone&gt;</t>
  </si>
  <si>
    <t>555-999-1111 </t>
  </si>
  <si>
    <t>Insert the Principal Investigator's telephone number in standard format after 'Telephone:'.</t>
  </si>
  <si>
    <t>&lt;Address&gt;</t>
  </si>
  <si>
    <r>
      <t> </t>
    </r>
    <r>
      <rPr>
        <sz val="12"/>
        <color rgb="FF000000"/>
        <rFont val="Times New Roman"/>
        <charset val="1"/>
      </rPr>
      <t>123 Fake Street, Anytown, CO, USA 80002</t>
    </r>
  </si>
  <si>
    <t>Insert the registered address in standard mailing format, maintaining inline continuity.</t>
  </si>
  <si>
    <t>123 Fake Street, Anytown, CO, USA 80002</t>
  </si>
  <si>
    <t>&lt;Sponsor Name&gt;</t>
  </si>
  <si>
    <t>Insert the official sponsor name in line with protocol header formatting.</t>
  </si>
  <si>
    <t>&lt;IRB Company Name&gt;</t>
  </si>
  <si>
    <t>Insert the IRB company name in a concise, inline format.</t>
  </si>
  <si>
    <t>&lt;disease&gt;</t>
  </si>
  <si>
    <t>Boneitis</t>
  </si>
  <si>
    <t>&lt;brief lay description of disease&gt;</t>
  </si>
  <si>
    <t>ABC-123 is intended for use in patients with boneitis, a disease that causes bones to change shape or disappear.</t>
  </si>
  <si>
    <t>Provide a brief, clear lay description of boneitis to fit seamlessly within the sentence.</t>
  </si>
  <si>
    <t>a disease that causes bones to change shape or disappear</t>
  </si>
  <si>
    <t>&lt;type of study (eg, first-in-human, Phase 1, Phase 2)&gt;</t>
  </si>
  <si>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t>
  </si>
  <si>
    <t>Provide the study type in concise, inline format (e.g., first-in-human, Phase 1) to maintain paragraph continuity.</t>
  </si>
  <si>
    <t>first-in-human, Phase 1</t>
  </si>
  <si>
    <t>no</t>
  </si>
  <si>
    <t>&lt;XX participants&gt;</t>
  </si>
  <si>
    <t>56 participants</t>
  </si>
  <si>
    <t>Provide the maximum number of participants expected in this study, formatted for inline continuity.</t>
  </si>
  <si>
    <t>up to 28 participants</t>
  </si>
  <si>
    <t>&lt;Brief lay description of study design including purpose/objectives&gt;</t>
  </si>
  <si>
    <t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t>
  </si>
  <si>
    <t>Write a brief lay description of the study design, purpose, and objectives suitable for participant information.</t>
  </si>
  <si>
    <t>&lt;li&gt;This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t>
  </si>
  <si>
    <t xml:space="preserve">Abbreviations: ADA = antidrug antibodies; AE = adverse event. </t>
  </si>
  <si>
    <t>NA</t>
  </si>
  <si>
    <t>&lt;lay terminology for SAD portion of study&gt;</t>
  </si>
  <si>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</si>
  <si>
    <t>Provide a concise lay term for the SAD portion of the study, matching the flow for an inline reference.</t>
  </si>
  <si>
    <t>the single-dose part of the study</t>
  </si>
  <si>
    <t>&lt;XX applicable time unit&gt;</t>
  </si>
  <si>
    <t>5 week</t>
  </si>
  <si>
    <t>Replace the placeholder with the estimated total time commitment (in appropriate units) for study participation.</t>
  </si>
  <si>
    <t>2 to 4 weeks</t>
  </si>
  <si>
    <t>&lt;lay terminology for route of administration of study drug&gt;</t>
  </si>
  <si>
    <t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t>
  </si>
  <si>
    <t>Replace with a lay term for subcutaneous administration of the study drug.</t>
  </si>
  <si>
    <t>shot under the skin</t>
  </si>
  <si>
    <t xml:space="preserve">Abbreviations: FDA = Food and Drug Administration; IMP = investigational medicinal product; NA = not applicable; NIMP = noninvestigational medicinal product. </t>
  </si>
  <si>
    <t>&lt;study drug ID&gt;</t>
  </si>
  <si>
    <t>ABC-123</t>
  </si>
  <si>
    <t>&lt;lay terminology for repeat-dose portion of study&gt;</t>
  </si>
  <si>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t>
  </si>
  <si>
    <t>&lt;lay terminology for dosing regimen/duration&gt;</t>
  </si>
  <si>
    <t>Following Check-out from the CRU, all participants will return for Follow-up study visits up to 6 weeks post dosing in the first 3 cohorts and 10 weeks post dosing in the remaining cohorts as shown in the Schedule of Assessments</t>
  </si>
  <si>
    <t>Rewrite the dosing regimen and duration in clear lay terms suitable for an informed consent document.</t>
  </si>
  <si>
    <t>every other week for 3 doses over up to 6 weeks</t>
  </si>
  <si>
    <t>&lt;CRO Name&gt;</t>
  </si>
  <si>
    <t>Insert the disease name treated by the investigational drug, formatted for inline continuity.</t>
  </si>
  <si>
    <t>boneitis</t>
  </si>
  <si>
    <t>Write a brief, layperson-oriented paragraph describing the study design, including its main goals and what will be assessed.</t>
  </si>
  <si>
    <t>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t>
  </si>
  <si>
    <t>&lt;X cohorts (or groups) of X participants&gt;</t>
  </si>
  <si>
    <t>3 cohorts of 56 participants</t>
  </si>
  <si>
    <t>Insert the number of cohorts and participants per cohort for the SAD phase in the format 'X cohorts of X participants'.</t>
  </si>
  <si>
    <t>6 cohorts of 8 participants</t>
  </si>
  <si>
    <t>Abc-123</t>
  </si>
  <si>
    <t>&lt;X mg&gt;</t>
  </si>
  <si>
    <t>600 mg</t>
  </si>
  <si>
    <t>&lt;XXXX-fold&gt;</t>
  </si>
  <si>
    <t>318 fold</t>
  </si>
  <si>
    <t>&lt;lay terminology summarizing design and enrollment plan for Cohort 1 with sentinel participants&gt;</t>
  </si>
  <si>
    <t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t>
  </si>
  <si>
    <t>Summarize the design and enrollment plan for Cohort 1, explaining sentinel dosing in lay language.</t>
  </si>
  <si>
    <t>The first group (Cohort 1) will include 8 participants, with 2 participants (called sentinels) receiving the study drug or placebo first to monitor safety. If no safety concerns are found after 48 hours, the remaining participants in the group will receive their doses.</t>
  </si>
  <si>
    <t>&lt;Day X&gt;</t>
  </si>
  <si>
    <t>7 day</t>
  </si>
  <si>
    <t>Replace &lt;Day X&gt; with the specific number of days post-dose after which cohort data will be reviewed.</t>
  </si>
  <si>
    <t>7 days post-dose</t>
  </si>
  <si>
    <t>&lt;X cohorts of X participants&gt;</t>
  </si>
  <si>
    <t>State the number of cohorts and participants for the repeat-dose portion of the study in the format 'X cohort(s) of X participants.'</t>
  </si>
  <si>
    <t>1 cohort of 8 participants</t>
  </si>
  <si>
    <t>&lt;lay terminology for choice of dose for repeat-dose portion of study based on data from SAD portion of study&gt;</t>
  </si>
  <si>
    <t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t>
  </si>
  <si>
    <t>Provide a lay summary explaining that the repeat-dose regimen is chosen based on safety, tolerability, and PK data from the SAD portion.</t>
  </si>
  <si>
    <t>was selected based on safety, tolerability, and PK data from the single ascending dose (SAD) portion of the study</t>
  </si>
  <si>
    <t>&lt;insert age eligibility criteria&gt;</t>
  </si>
  <si>
    <t>18 to 65 years</t>
  </si>
  <si>
    <t>Insert the age eligibility criteria for study participants in lay terms.</t>
  </si>
  <si>
    <t>18 to 55 years</t>
  </si>
  <si>
    <t>&lt;Cohorts X – X&gt;</t>
  </si>
  <si>
    <t>Cohorts 1-3</t>
  </si>
  <si>
    <t>&lt;lay summary of duration on study including details/time for screening, screeningthe clinic, follow-up periods&gt;</t>
  </si>
  <si>
    <t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t>
  </si>
  <si>
    <t>Write a lay summary of the study schedule for these cohorts, including screening period, dosing regimen, and total study duration.</t>
  </si>
  <si>
    <t>up to 5 weeks for screening, followed by repeat dosing every other week for 3 doses, and up to 15 weeks total from Screening to Follow-up</t>
  </si>
  <si>
    <t>&lt;lay summary of duration on study including details/time for screening, time in the clinic, follow-up periods&gt;</t>
  </si>
  <si>
    <t>&lt;insert disease criteria&gt;</t>
  </si>
  <si>
    <t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t>
  </si>
  <si>
    <t>Insert the specific disease or condition criteria for participant eligibility in this clinical study.</t>
  </si>
  <si>
    <t>boneitis due to lurgi</t>
  </si>
  <si>
    <t>&lt;lay summary of duration on study including details/ time for screening, time in the clinic, follow-up periods&gt;</t>
  </si>
  <si>
    <t>Summarize the total study duration, specifying the time for screening, dosing, and follow-up in a concise lay format.</t>
  </si>
  <si>
    <t>up to 15 weeks, including up to 5 weeks for Screening, dosing every other week for 3 doses, and a Follow-up period</t>
  </si>
  <si>
    <t>&lt;bulleted list of lay terminology summarizing the study exclusion criteria&gt;</t>
  </si>
  <si>
    <t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t>
  </si>
  <si>
    <t>Summarize the study exclusion criteria as a bulleted list in layperson's terms.</t>
  </si>
  <si>
    <t>&lt;ul&gt;&lt;li&gt;History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t>
  </si>
  <si>
    <t>&lt;Bulleted list of lay terminology summarizing lifestyle considerations including meal requirements, caffeeine, alcohol, tobacco, and activity&gt;</t>
  </si>
  <si>
    <t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t>
  </si>
  <si>
    <t>Summarize all lifestyle restrictions and requirements for participants in a simple bulleted list using lay terminology, covering meals, caffeine, alcohol, tobacco, activity, medication, cannabinoid use, blood donation, and vaccinations.</t>
  </si>
  <si>
    <t>&lt;li&gt;Do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t>
  </si>
  <si>
    <t>&lt;Bullet list of lay terminology of all assessments required during screening&gt;</t>
  </si>
  <si>
    <t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t>
  </si>
  <si>
    <t>Write a bullet list in lay language of all tests and assessments required during screening.</t>
  </si>
  <si>
    <t>&lt;li&gt;Medical history review&lt;/li&gt;&lt;li&gt;Physical examination&lt;/li&gt;&lt;li&gt;12-lead ECG&lt;/li&gt;&lt;li&gt;Vital signs measurements&lt;/li&gt;&lt;li&gt;Blood and other laboratory tests&lt;/li&gt;</t>
  </si>
  <si>
    <t>&lt;XX days&gt;</t>
  </si>
  <si>
    <t>35 days</t>
  </si>
  <si>
    <t>Replace &lt;XX days&gt; with the specified number of days allowed between the screening visit and clinic return as per protocol.</t>
  </si>
  <si>
    <t>&lt;Bullet list of lay terminology of all assessments required during Check-in/Day1&gt;</t>
  </si>
  <si>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t>
  </si>
  <si>
    <t>List all assessments required during Check-in/Day 1 using lay terminology as a concise bullet or inline list.</t>
  </si>
  <si>
    <t>Blood pressure, pulse rate, respiratory rate, body temperature, blood tests, heart monitoring (ECG), physical examination, and mental health assessment.</t>
  </si>
  <si>
    <t>&lt;Bullet list of lay terminology of all assessments required during the in-residence period; note differences in assessments based on the day of “in-residence”&gt;</t>
  </si>
  <si>
    <t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t>
  </si>
  <si>
    <t>List, in lay terms, all assessments required during the in-residence period, noting any differences in assessments based on the day of in-residence.</t>
  </si>
  <si>
    <t>&lt;ul&gt;&lt;li&gt;Blood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t>
  </si>
  <si>
    <t>&lt;Check-out/Day X&gt;</t>
  </si>
  <si>
    <t>6 weeks </t>
  </si>
  <si>
    <t>Describe the assessments or procedures performed at Check-out/Day X for participants during the in-residence period.</t>
  </si>
  <si>
    <t>Provide a concise phrase describing Check-out from the Clinical Research Unit (CRU) as referenced in the study protocol.</t>
  </si>
  <si>
    <t>Check-out from the Clinical Research Unit (CRU)</t>
  </si>
  <si>
    <t>&lt;Bullet list of lay terminology of all assessments required during Check-out/Day X&gt;</t>
  </si>
  <si>
    <t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t>
  </si>
  <si>
    <t>Provide a bullet list of all required assessments during Check-out/Day X using lay terminology.</t>
  </si>
  <si>
    <t>&lt;li&gt;Physical examination&lt;/li&gt;&lt;li&gt;Blood collection&lt;/li&gt;&lt;li&gt;Medical assessments related to study procedures&lt;/li&gt;</t>
  </si>
  <si>
    <t>&lt;Bullet list of lay terminology of all assessments required during the follow-up period; note differences in assessments based on the day and cohort of “follow-up period”&gt;</t>
  </si>
  <si>
    <t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t>
  </si>
  <si>
    <t>&lt;Bullet list of lay terminology of all assessments required during ED&gt;</t>
  </si>
  <si>
    <t>List all assessments required during early discontinuation in layperson-friendly terms as bullet points.</t>
  </si>
  <si>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</si>
  <si>
    <t>&lt;Bullet list of lay terminology of all assessments required during first Check-in/Day1&gt;</t>
  </si>
  <si>
    <t>List all assessments required during the first Check-in/Day 1 in simple, lay language as a concise inline bullet list.</t>
  </si>
  <si>
    <t>Blood pressure, pulse rate, respiratory rate, body temperature, ECG (heart tracing), blood tests, physical examination, mental health assessment.</t>
  </si>
  <si>
    <t>&lt;Bullet list of lay terminology of all assessments required during the first in-residence period; note differences in assessments based on the day of “in-residence”&gt;</t>
  </si>
  <si>
    <t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t>
  </si>
  <si>
    <t>&lt;First Check-out/Day X&gt;</t>
  </si>
  <si>
    <t>Summarize what procedures or activities are performed at the first Check-out or on Day X based on protocol.</t>
  </si>
  <si>
    <t>&lt;first Check-out/Day X&gt;</t>
  </si>
  <si>
    <t>&lt;Bullet list of lay terminology of all assessments required during first Check-out&gt;</t>
  </si>
  <si>
    <t>&lt;Bullet list of lay terminology of all assessments required during the non-residential period; note differences in assessments based on the days of “non-residential”&gt;</t>
  </si>
  <si>
    <t>&lt;Second Check-in/Day X&gt;</t>
  </si>
  <si>
    <t>Summarize the activities and timing for the second Check-in/Day X, focusing on follow-up visit requirements and monitoring procedures.</t>
  </si>
  <si>
    <t>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t>
  </si>
  <si>
    <t>&lt;second Check-in/Day X&gt;</t>
  </si>
  <si>
    <t>Replace with the specific days corresponding to the second check-in as described in the study schedule.</t>
  </si>
  <si>
    <t>Second Check-in/Day 2 to Day 8</t>
  </si>
  <si>
    <t>&lt;Bullet list of lay terminology of all assessments required during second Check-in&gt;</t>
  </si>
  <si>
    <t>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t>
  </si>
  <si>
    <t>List in lay terminology all assessments required during the second Check-in period, formatted as a concise inline list.</t>
  </si>
  <si>
    <t>blood tests, heart monitoring (ECG), checking vital signs (blood pressure, pulse, breathing rate, body temperature), physical exams, and mental health checks</t>
  </si>
  <si>
    <t>&lt;Bullet list of lay terminology of all assessments required during the second in-residence period; note differences in assessments based on the day of “in-residence”&gt;</t>
  </si>
  <si>
    <t>Write a bullet list in lay terms of all assessments required during the second in-residence period, noting differences in assessments based on the day.</t>
  </si>
  <si>
    <t>•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t>
  </si>
  <si>
    <t>&lt;Final Check-out/Day X&gt;</t>
  </si>
  <si>
    <t xml:space="preserve">Donation of blood is not permitted from 8 weeks (16 weeks for double red cell donation) prior to Screening until 90 days after the final Follow-up visit. </t>
  </si>
  <si>
    <t>Describe the activities or assessments to be performed at the final Check-out or Day X at the end of the in-residence period.</t>
  </si>
  <si>
    <t>&lt;final Check-out/Day X&gt;</t>
  </si>
  <si>
    <t>Insert the correct day for final Check-out as referenced in the study schedule.</t>
  </si>
  <si>
    <t>final Check-out/Day 8</t>
  </si>
  <si>
    <t>&lt;Bullet list of lay terminology of all assessments required during final Check-out&gt;</t>
  </si>
  <si>
    <t>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t>
  </si>
  <si>
    <t>List all final Check-out assessments using clear, lay terminology.</t>
  </si>
  <si>
    <t>&lt;li&gt;Physical examination&lt;/li&gt;&lt;li&gt;Blood collection&lt;/li&gt;&lt;li&gt;Other medical evaluations and assessments associated with study procedures&lt;/li&gt;</t>
  </si>
  <si>
    <t>&lt;lay terminology for SAD portion of study, Cohorts X-X&gt;</t>
  </si>
  <si>
    <t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t>
  </si>
  <si>
    <t>Provide a layperson description of the SAD portion of the study and how cohorts are used.</t>
  </si>
  <si>
    <t>the part of the study where small groups of healthy volunteers (cohorts) receive single increasing doses of the study drug to see how safe it is</t>
  </si>
  <si>
    <t>&lt;local health authority&gt;</t>
  </si>
  <si>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</si>
  <si>
    <t>Provide the official term for the authority to which positive HIV test results must be reported, maintaining inline continuity.</t>
  </si>
  <si>
    <t>local regulatory authority</t>
  </si>
  <si>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</si>
  <si>
    <t>&lt;state health authority&gt;</t>
  </si>
  <si>
    <t>Insert the name of the disease that the study is focused on.</t>
  </si>
  <si>
    <t>&lt;XX years&gt;</t>
  </si>
  <si>
    <t>2 years</t>
  </si>
  <si>
    <t>Summarize the CRO's role and oversight by the Sponsor as described in the context.</t>
  </si>
  <si>
    <t>The Contract Research Organization (CRO) involved in this study will work under the oversight of the Sponsor, with certain actions delegated to them as appropriate.</t>
  </si>
  <si>
    <t>&lt;Firstname Lastname&gt;</t>
  </si>
  <si>
    <t>Replace &lt;CRO Name&gt; with the formal term for the contract research organization as referenced in the protocol.</t>
  </si>
  <si>
    <t>Contract Research Organization (CRO)</t>
  </si>
  <si>
    <t>&lt;Study drug ID&gt;</t>
  </si>
  <si>
    <t>&lt;XX-fold&gt;</t>
  </si>
  <si>
    <t>318-fold</t>
  </si>
  <si>
    <t>Insert the appropriate fold multiple (e.g., 318-fold) representing how much larger the highest dose is compared to the starting dose.</t>
  </si>
  <si>
    <t>&lt;side effect&gt;</t>
  </si>
  <si>
    <t xml:space="preserve">Additional risks observed in clinical studies with blorp inductors include gastrointestinal adverse events (primarily nausea, diarrhea, and vomiting), asthenia/fatigue, hot flushes, and dizziness. </t>
  </si>
  <si>
    <t>List the most common side effects seen in people given drugs similar to the study drug, as described in the context.</t>
  </si>
  <si>
    <t>&lt;li&gt;Gastrointestinal adverse effects&lt;/li&gt;&lt;li&gt;Psychiatric effects (eg, amphibious jocularity, levitation, the crunge)&lt;/li&gt;&lt;li&gt;Neurological effects&lt;/li&gt;</t>
  </si>
  <si>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t>
  </si>
  <si>
    <t>List the main side effects and adverse effects associated with blorp inductors and/or ABC-123.</t>
  </si>
  <si>
    <t>&lt;li&gt;Adverse psychiatric and neurological effects (eg, amphibious jocularity, levitation, and the crunge)&lt;/li&gt;&lt;li&gt;Gastrointestinal adverse effects&lt;/li&gt;</t>
  </si>
  <si>
    <t>List the main side effects observed or anticipated for blorp inductors and ABC-123.</t>
  </si>
  <si>
    <t>&lt;li&gt;Adverse psychiatric and neurological effects (eg, amphibious jocularity, levitation, and the crunge)&lt;/li&gt;&lt;li&gt;Gastrointestinal adverse effects&lt;/li&gt;&lt;li&gt;Potential for CNS-associated adverse effects&lt;/li&gt;</t>
  </si>
  <si>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t>
  </si>
  <si>
    <t>List the CNS-associated side effects observed with similar drugs (blorp inductors) that participants will be monitored for.</t>
  </si>
  <si>
    <t>&lt;li&gt;Amphibious jocularity&lt;/li&gt;&lt;li&gt;Levitation&lt;/li&gt;&lt;li&gt;The crunge&lt;/li&gt;</t>
  </si>
  <si>
    <t>List the CNS-associated side effects seen with similar drugs that cross into the brain.</t>
  </si>
  <si>
    <t>&lt;li&gt;amphibious jocularity&lt;/li&gt;&lt;li&gt;levitation&lt;/li&gt;&lt;li&gt;the crunge&lt;/li&gt;</t>
  </si>
  <si>
    <t>List the adverse effects and monitoring considerations mentioned for blorp inductors and ABC-123.</t>
  </si>
  <si>
    <t>&lt;li&gt;Adverse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t>
  </si>
  <si>
    <t>List the main adverse effects and side effects associated with blorp inductors and ABC-123, specifying both CNS and non-CNS events.</t>
  </si>
  <si>
    <t>&lt;li&gt;Gastrointestinal adverse effects (primary non-CNS)&lt;/li&gt;&lt;li&gt;Adverse psychiatric effects (e.g., amphibious jocularity)&lt;/li&gt;&lt;li&gt;Neurological adverse effects (e.g., levitation, the crunge)&lt;/li&gt;</t>
  </si>
  <si>
    <t>List the main side effects associated with the study drug, focusing on CNS and gastrointestinal effects.</t>
  </si>
  <si>
    <t>&lt;li&gt;Adverse psychiatric and neurological effects, including amphibious jocularity, levitation, and the crunge&lt;/li&gt;&lt;li&gt;Gastrointestinal adverse effects&lt;/li&gt;</t>
  </si>
  <si>
    <t>&lt;Bullet list of lay terminology summarizing the protocol criteria for women to be not considered a WOCBP&gt;</t>
  </si>
  <si>
    <t xml:space="preserve">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t>
  </si>
  <si>
    <t>Summarize protocol criteria for women to be considered not of childbearing potential (not WOCBP) in lay bullet points.</t>
  </si>
  <si>
    <t>&lt;li&gt;You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t>
  </si>
  <si>
    <t>&lt;Lay terminology summarizing protocol requirement for females receiving HRT and whose menopausual status is in doubt.&gt;</t>
  </si>
  <si>
    <t>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t>
  </si>
  <si>
    <t>Summarize in lay terms the protocol rule for women on HRT with uncertain menopause status.</t>
  </si>
  <si>
    <t>Women who are taking hormone replacement therapy (HRT) and whose menopausal status is uncertain must either stop HRT to confirm menopause before joining the study or, if they wish to continue HRT, use a highly effective non-estrogen hormonal birth control method during the study.</t>
  </si>
  <si>
    <t>&lt;Lay terminology summarizing protocol requirement for males regarding contraception&gt;</t>
  </si>
  <si>
    <t>Male participants will agree to use contraception while on study intervention and for at least 6 months after the last dose of study intervention. </t>
  </si>
  <si>
    <t>Summarize the protocol requirements for male contraception in clear, lay language.</t>
  </si>
  <si>
    <t>Male participants are required to use contraception while taking the study medication and for at least 6 months after their last dose. This includes using a male condom with spermicide and a second approved method of birth control, even if they have had a vasectomy. They should also avoid sexual intercourse with pregnant or breastfeeding partners unless a condom is used during the same period.</t>
  </si>
  <si>
    <t>&lt;Bullet list of lay terminology summarizing the protocol listed acceptable second methods of contraception.&gt;</t>
  </si>
  <si>
    <t>List the protocol-accepted second methods of contraception for female partners in lay language as individual bullet points.</t>
  </si>
  <si>
    <t>&lt;Lay terminology summarizing pregnancy information collection practices for male participants with partners who become pregnant.&gt;</t>
  </si>
  <si>
    <t xml:space="preserve">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t>
  </si>
  <si>
    <t>Summarize, in lay terms, the process for collecting pregnancy information when a male participant's partner becomes pregnant during the study.</t>
  </si>
  <si>
    <t>&lt;p&gt;If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t>
  </si>
  <si>
    <t>&lt;Lay terminology summarizing pregnancy information collection practices for female participants who become pregnant.&gt;</t>
  </si>
  <si>
    <t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 </t>
  </si>
  <si>
    <t>Summarize in lay terms how pregnancy information is collected for female participants who become pregnant.</t>
  </si>
  <si>
    <t>&lt;p&gt;If a female participant becomes pregnant during the study, she will stop receiving the study medication. The study team will follow her and her baby to check on their health and collect information about the pregnancy outcome. This follow-up usually lasts up to 6 to 8 weeks after the expected delivery date. Any pregnancy loss or complication will also be reported, no matter the reason or the baby's condition.&lt;/p&gt;</t>
  </si>
  <si>
    <t>&lt;study disease&gt;</t>
  </si>
  <si>
    <r>
      <t>Lurgi is the leading cause of boneitis, eventually leading to the need for surgical intervention in the form of either a partial or complete brainectomy (</t>
    </r>
    <r>
      <rPr>
        <sz val="12"/>
        <color rgb="FF0000FF"/>
        <rFont val="Times New Roman"/>
        <charset val="1"/>
      </rPr>
      <t>Biagini et al. 2008</t>
    </r>
    <r>
      <rPr>
        <sz val="12"/>
        <color rgb="FF000000"/>
        <rFont val="Times New Roman"/>
        <charset val="1"/>
      </rPr>
      <t>).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t>
    </r>
  </si>
  <si>
    <t>Insert the name of the disease being studied for which participants may benefit from ABC-123.</t>
  </si>
  <si>
    <t>&lt;IRB Company&gt;</t>
  </si>
  <si>
    <t>Institutional Review Board (IRB)</t>
  </si>
  <si>
    <t>Replace the placeholder with the formal name of the IRB or institutional review body as referenced in the protocol.</t>
  </si>
  <si>
    <t>Institutional Review Board (IRB)</t>
  </si>
  <si>
    <t>&lt;email address&gt;</t>
  </si>
  <si>
    <t>Insert the correct contact email address for the Study Participant Adviser, maintaining inline continuity.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</si>
</sst>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quot;$&quot;#,##0.00"/>
    <numFmt numFmtId="166" formatCode="[$-F400]h:mm:ss\ AM/PM"/>
    <numFmt numFmtId="167" formatCode="[$-F800]dddd\,\ mmmm\ dd\,\ yyyy"/>
  </numFmts>
  <fonts count="47">
    <font>
      <sz val="11"/>
      <name val="Tahoma"/>
      <family val="2"/>
      <scheme val="minor"/>
    </font>
    <font>
      <sz val="11"/>
      <color theme="1"/>
      <name val="Tahoma"/>
      <family val="2"/>
      <scheme val="minor"/>
    </font>
    <font>
      <sz val="16"/>
      <color theme="1"/>
      <name val="Tahoma"/>
      <family val="2"/>
      <scheme val="major"/>
    </font>
    <font>
      <sz val="12"/>
      <color theme="1"/>
      <name val="Tahoma"/>
      <family val="2"/>
      <scheme val="minor"/>
    </font>
    <font>
      <sz val="11"/>
      <color theme="1"/>
      <name val="Tahoma"/>
      <family val="2"/>
      <scheme val="minor"/>
    </font>
    <font>
      <sz val="11"/>
      <color theme="0"/>
      <name val="Tahoma"/>
      <family val="2"/>
      <scheme val="minor"/>
    </font>
    <font>
      <sz val="16"/>
      <color theme="0"/>
      <name val="Tahoma"/>
      <family val="2"/>
      <scheme val="minor"/>
    </font>
    <font>
      <sz val="11"/>
      <name val="Tahoma"/>
      <family val="2"/>
      <scheme val="minor"/>
    </font>
    <font>
      <b/>
      <sz val="11"/>
      <color theme="1"/>
      <name val="Tahoma"/>
      <family val="2"/>
      <scheme val="minor"/>
    </font>
    <font>
      <b/>
      <sz val="18"/>
      <color theme="0"/>
      <name val="Tahoma"/>
      <family val="2"/>
      <scheme val="major"/>
    </font>
    <font>
      <b/>
      <sz val="15"/>
      <color theme="6" tint="-0.499984740745262"/>
      <name val="Tahoma"/>
      <family val="2"/>
      <scheme val="minor"/>
    </font>
    <font>
      <b/>
      <sz val="36"/>
      <color theme="0"/>
      <name val="Tahoma"/>
      <family val="2"/>
      <scheme val="major"/>
    </font>
    <font>
      <b/>
      <sz val="16"/>
      <color theme="3" tint="-0.499984740745262"/>
      <name val="Tahoma"/>
      <family val="2"/>
      <scheme val="minor"/>
    </font>
    <font>
      <b/>
      <sz val="11"/>
      <color theme="3" tint="-0.499984740745262"/>
      <name val="Tahoma"/>
      <family val="2"/>
      <scheme val="minor"/>
    </font>
    <font>
      <sz val="11"/>
      <color theme="3" tint="-0.499984740745262"/>
      <name val="Tahoma"/>
      <family val="2"/>
      <scheme val="minor"/>
    </font>
    <font>
      <sz val="11"/>
      <color theme="4" tint="0.79998168889431442"/>
      <name val="Tahoma"/>
      <family val="2"/>
      <scheme val="minor"/>
    </font>
    <font>
      <b/>
      <sz val="11"/>
      <color theme="4" tint="0.79998168889431442"/>
      <name val="Tahoma"/>
      <family val="2"/>
      <scheme val="minor"/>
    </font>
    <font>
      <b/>
      <sz val="36"/>
      <color theme="7" tint="-0.499984740745262"/>
      <name val="Tahoma"/>
      <family val="2"/>
      <scheme val="major"/>
    </font>
    <font>
      <b/>
      <sz val="16"/>
      <color theme="3" tint="-0.499984740745262"/>
      <name val="Tahoma"/>
      <family val="2"/>
      <scheme val="major"/>
    </font>
    <font>
      <b/>
      <sz val="11"/>
      <color theme="3" tint="-0.499984740745262"/>
      <name val="Tahoma"/>
      <family val="2"/>
      <scheme val="major"/>
    </font>
    <font>
      <u/>
      <sz val="11"/>
      <color theme="10"/>
      <name val="Tahoma"/>
      <family val="2"/>
      <scheme val="minor"/>
    </font>
    <font>
      <b/>
      <sz val="16"/>
      <color rgb="FF234141"/>
      <name val="Tahoma"/>
      <scheme val="major"/>
    </font>
    <font>
      <b/>
      <sz val="10"/>
      <color theme="7" tint="-0.499984740745262"/>
      <name val="Tahoma"/>
      <family val="2"/>
      <scheme val="major"/>
    </font>
    <font>
      <b/>
      <sz val="14"/>
      <color theme="7" tint="-0.499984740745262"/>
      <name val="Tahoma"/>
      <family val="2"/>
      <scheme val="major"/>
    </font>
    <font>
      <b/>
      <sz val="10"/>
      <color theme="7" tint="-0.499984740745262"/>
      <name val="Tahoma"/>
      <scheme val="major"/>
    </font>
    <font>
      <b/>
      <sz val="11"/>
      <color rgb="FF242424"/>
      <name val="Aptos Narrow"/>
      <charset val="1"/>
    </font>
    <font>
      <b/>
      <sz val="10"/>
      <color rgb="FF234141"/>
      <name val="Tahoma"/>
    </font>
    <font>
      <b/>
      <sz val="11"/>
      <name val="Calibri"/>
    </font>
    <font>
      <b/>
      <sz val="11"/>
      <name val="Tahoma"/>
      <family val="2"/>
      <scheme val="minor"/>
    </font>
    <font>
      <b/>
      <sz val="14"/>
      <color theme="7" tint="-0.499984740745262"/>
      <name val="Tahoma"/>
      <scheme val="major"/>
    </font>
    <font>
      <b/>
      <sz val="10"/>
      <color rgb="FF000000"/>
      <name val="Tahoma"/>
    </font>
    <font>
      <b/>
      <sz val="10"/>
      <color theme="1"/>
      <name val="Tahoma"/>
      <family val="2"/>
      <scheme val="major"/>
    </font>
    <font>
      <sz val="10"/>
      <color theme="1"/>
      <name val="Calibri"/>
    </font>
    <font>
      <sz val="10"/>
      <color rgb="FF000000"/>
      <name val="Calibri"/>
    </font>
    <font>
      <sz val="10"/>
      <name val="Calibri"/>
    </font>
    <font>
      <b/>
      <sz val="10"/>
      <color rgb="FF000000"/>
      <name val="Calibri"/>
    </font>
    <font>
      <sz val="9"/>
      <color rgb="FF000000"/>
      <name val="Times New Roman"/>
      <family val="1"/>
      <charset val="1"/>
    </font>
    <font>
      <sz val="11"/>
      <color rgb="FF000000"/>
      <name val="Calibri"/>
      <family val="2"/>
    </font>
    <font>
      <sz val="12"/>
      <color rgb="FF000000"/>
      <name val="Times New Roman"/>
      <charset val="1"/>
    </font>
    <font>
      <sz val="12"/>
      <color rgb="FF000000"/>
      <name val="WordVisi_MSFontService"/>
      <charset val="1"/>
    </font>
    <font>
      <sz val="12"/>
      <name val="Times New Roman"/>
      <charset val="1"/>
    </font>
    <font>
      <b/>
      <sz val="12"/>
      <name val="Times New Roman"/>
      <charset val="1"/>
    </font>
    <font>
      <sz val="11"/>
      <color rgb="FF000000"/>
      <name val="Calibri"/>
      <charset val="1"/>
    </font>
    <font>
      <b/>
      <sz val="9"/>
      <color rgb="FF000000"/>
      <name val="Times New Roman"/>
      <charset val="1"/>
    </font>
    <font>
      <sz val="12"/>
      <color rgb="FFFFFFFF"/>
      <name val="Times New Roman"/>
      <charset val="1"/>
    </font>
    <font>
      <sz val="11"/>
      <name val="Times New Roman"/>
      <charset val="1"/>
    </font>
    <font>
      <sz val="12"/>
      <color rgb="FF0000FF"/>
      <name val="Times New Roman"/>
      <charset val="1"/>
    </font>
  </fonts>
  <fills count="10">
    <fill>
      <patternFill patternType="none"/>
    </fill>
    <fill>
      <patternFill patternType="gray125"/>
    </fill>
    <fill>
      <patternFill patternType="solid">
        <fgColor theme="4"/>
      </patternFill>
    </fill>
    <fill>
      <patternFill patternType="solid">
        <fgColor theme="5"/>
      </patternFill>
    </fill>
    <fill>
      <patternFill patternType="solid">
        <fgColor theme="4" tint="0.79998168889431442"/>
        <bgColor indexed="65"/>
      </patternFill>
    </fill>
    <fill>
      <patternFill patternType="solid">
        <fgColor theme="6"/>
      </patternFill>
    </fill>
    <fill>
      <patternFill patternType="solid">
        <fgColor theme="4"/>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theme="4" tint="0.79998168889431442"/>
      </patternFill>
    </fill>
  </fills>
  <borders count="35">
    <border>
      <left/>
      <right/>
      <top/>
      <bottom/>
      <diagonal/>
    </border>
    <border>
      <left/>
      <right/>
      <top/>
      <bottom style="thin">
        <color theme="0"/>
      </bottom>
      <diagonal/>
    </border>
    <border>
      <left/>
      <right/>
      <top/>
      <bottom style="medium">
        <color theme="7"/>
      </bottom>
      <diagonal/>
    </border>
    <border>
      <left style="thin">
        <color theme="0"/>
      </left>
      <right/>
      <top/>
      <bottom/>
      <diagonal/>
    </border>
    <border>
      <left/>
      <right/>
      <top/>
      <bottom style="thin">
        <color theme="4"/>
      </bottom>
      <diagonal/>
    </border>
    <border>
      <left/>
      <right style="thin">
        <color theme="0"/>
      </right>
      <top/>
      <bottom style="thin">
        <color theme="4"/>
      </bottom>
      <diagonal/>
    </border>
    <border>
      <left style="thin">
        <color theme="0"/>
      </left>
      <right style="thin">
        <color theme="0"/>
      </right>
      <top/>
      <bottom style="thin">
        <color theme="4"/>
      </bottom>
      <diagonal/>
    </border>
    <border>
      <left style="thin">
        <color theme="0"/>
      </left>
      <right/>
      <top/>
      <bottom style="thin">
        <color theme="4"/>
      </bottom>
      <diagonal/>
    </border>
    <border>
      <left/>
      <right/>
      <top/>
      <bottom style="medium">
        <color theme="3"/>
      </bottom>
      <diagonal/>
    </border>
    <border>
      <left/>
      <right/>
      <top style="thick">
        <color theme="0"/>
      </top>
      <bottom style="medium">
        <color theme="7"/>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theme="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theme="0"/>
      </right>
      <top/>
      <bottom/>
      <diagonal/>
    </border>
    <border>
      <left style="thin">
        <color theme="0"/>
      </left>
      <right style="thin">
        <color theme="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theme="4" tint="0.39997558519241921"/>
      </top>
      <bottom style="thin">
        <color theme="4" tint="0.39997558519241921"/>
      </bottom>
      <diagonal/>
    </border>
  </borders>
  <cellStyleXfs count="13">
    <xf numFmtId="165" fontId="0" fillId="0" borderId="0" applyFill="0" applyBorder="0" applyProtection="0">
      <alignment horizontal="center" vertical="center"/>
    </xf>
    <xf numFmtId="0" fontId="5" fillId="2" borderId="0" applyNumberFormat="0" applyFont="0" applyBorder="0" applyAlignment="0" applyProtection="0"/>
    <xf numFmtId="0" fontId="5" fillId="3" borderId="0" applyNumberFormat="0" applyFont="0" applyBorder="0" applyAlignment="0" applyProtection="0"/>
    <xf numFmtId="0" fontId="6" fillId="3" borderId="1" applyFont="0" applyFill="0" applyBorder="0" applyAlignment="0">
      <alignment vertical="center"/>
    </xf>
    <xf numFmtId="0" fontId="4" fillId="4" borderId="0" applyNumberFormat="0" applyBorder="0" applyAlignment="0" applyProtection="0"/>
    <xf numFmtId="0" fontId="5" fillId="5" borderId="0" applyNumberFormat="0" applyBorder="0" applyAlignment="0" applyProtection="0"/>
    <xf numFmtId="0" fontId="8" fillId="0" borderId="0">
      <alignment horizontal="left" vertical="center"/>
    </xf>
    <xf numFmtId="164" fontId="1" fillId="0" borderId="0" applyFont="0" applyFill="0" applyBorder="0" applyProtection="0">
      <alignment horizontal="center" vertical="center"/>
    </xf>
    <xf numFmtId="164" fontId="1" fillId="0" borderId="0" applyFont="0" applyFill="0" applyBorder="0" applyProtection="0">
      <alignment horizontal="center" vertical="center"/>
    </xf>
    <xf numFmtId="0" fontId="9" fillId="6" borderId="0" applyNumberFormat="0" applyBorder="0" applyProtection="0">
      <alignment vertical="center"/>
    </xf>
    <xf numFmtId="0" fontId="10" fillId="0" borderId="2" applyNumberFormat="0" applyFill="0" applyProtection="0">
      <alignment horizontal="left" vertical="center"/>
    </xf>
    <xf numFmtId="0" fontId="7" fillId="0" borderId="0" applyNumberFormat="0" applyFill="0" applyBorder="0" applyProtection="0">
      <alignment horizontal="left" vertical="center" indent="1"/>
    </xf>
    <xf numFmtId="165" fontId="20" fillId="0" borderId="0" applyNumberFormat="0" applyFill="0" applyBorder="0" applyAlignment="0" applyProtection="0">
      <alignment horizontal="center" vertical="center"/>
    </xf>
  </cellStyleXfs>
  <cellXfs count="194">
    <xf numFmtId="165" fontId="0" fillId="0" borderId="0" xfId="0">
      <alignment horizontal="center" vertical="center"/>
    </xf>
    <xf numFmtId="165" fontId="3" fillId="0" borderId="0" xfId="0" applyFont="1">
      <alignment horizontal="center" vertical="center"/>
    </xf>
    <xf numFmtId="165" fontId="3" fillId="0" borderId="0" xfId="0" applyFont="1" applyAlignment="1">
      <alignment horizontal="center"/>
    </xf>
    <xf numFmtId="165" fontId="3" fillId="0" borderId="0" xfId="0" applyFont="1" applyAlignment="1">
      <alignment vertical="center"/>
    </xf>
    <xf numFmtId="165" fontId="2" fillId="0" borderId="0" xfId="0" applyFont="1">
      <alignment horizontal="center" vertical="center"/>
    </xf>
    <xf numFmtId="165" fontId="11" fillId="7" borderId="0" xfId="9" applyNumberFormat="1" applyFont="1" applyFill="1">
      <alignment vertical="center"/>
    </xf>
    <xf numFmtId="165" fontId="14" fillId="4" borderId="3" xfId="0" applyFont="1" applyFill="1" applyBorder="1" applyAlignment="1">
      <alignment horizontal="right" vertical="center" indent="2"/>
    </xf>
    <xf numFmtId="165" fontId="14" fillId="0" borderId="0" xfId="0" applyFont="1" applyBorder="1">
      <alignment horizontal="center" vertical="center"/>
    </xf>
    <xf numFmtId="165" fontId="14" fillId="0" borderId="0" xfId="11" applyNumberFormat="1" applyFont="1" applyBorder="1">
      <alignment horizontal="left" vertical="center" indent="1"/>
    </xf>
    <xf numFmtId="165" fontId="16" fillId="4" borderId="4" xfId="0" applyFont="1" applyFill="1" applyBorder="1" applyAlignment="1">
      <alignment vertical="center"/>
    </xf>
    <xf numFmtId="165" fontId="11" fillId="0" borderId="0" xfId="9" applyNumberFormat="1" applyFont="1" applyFill="1">
      <alignment vertical="center"/>
    </xf>
    <xf numFmtId="165" fontId="17" fillId="0" borderId="0" xfId="9" applyNumberFormat="1" applyFont="1" applyFill="1" applyBorder="1" applyAlignment="1">
      <alignment horizontal="center" vertical="center"/>
    </xf>
    <xf numFmtId="165" fontId="19" fillId="4" borderId="5" xfId="0" applyFont="1" applyFill="1" applyBorder="1" applyAlignment="1">
      <alignment horizontal="left" vertical="center" indent="1"/>
    </xf>
    <xf numFmtId="165" fontId="19" fillId="4" borderId="6" xfId="0" applyFont="1" applyFill="1" applyBorder="1" applyAlignment="1">
      <alignment horizontal="right" vertical="center" indent="2"/>
    </xf>
    <xf numFmtId="165" fontId="19" fillId="4" borderId="7" xfId="0" applyFont="1" applyFill="1" applyBorder="1" applyAlignment="1">
      <alignment horizontal="right" vertical="center" indent="2"/>
    </xf>
    <xf numFmtId="165" fontId="20" fillId="0" borderId="0" xfId="12" applyNumberFormat="1" applyFill="1" applyBorder="1" applyAlignment="1">
      <alignment horizontal="center" vertical="center"/>
    </xf>
    <xf numFmtId="1" fontId="22" fillId="0" borderId="0" xfId="9" applyNumberFormat="1" applyFont="1" applyFill="1" applyBorder="1" applyAlignment="1">
      <alignment horizontal="center" vertical="center"/>
    </xf>
    <xf numFmtId="165" fontId="23" fillId="0" borderId="12" xfId="9" applyNumberFormat="1" applyFont="1" applyFill="1" applyBorder="1" applyAlignment="1">
      <alignment horizontal="center" vertical="center"/>
    </xf>
    <xf numFmtId="166" fontId="22" fillId="0" borderId="12" xfId="9" applyNumberFormat="1" applyFont="1" applyFill="1" applyBorder="1" applyAlignment="1">
      <alignment horizontal="center" vertical="center"/>
    </xf>
    <xf numFmtId="14" fontId="22" fillId="0" borderId="12" xfId="9" applyNumberFormat="1" applyFont="1" applyFill="1" applyBorder="1" applyAlignment="1">
      <alignment horizontal="center" vertical="center"/>
    </xf>
    <xf numFmtId="2" fontId="22" fillId="0" borderId="12" xfId="9" applyNumberFormat="1" applyFont="1" applyFill="1" applyBorder="1" applyAlignment="1">
      <alignment horizontal="center" vertical="center"/>
    </xf>
    <xf numFmtId="165" fontId="22" fillId="0" borderId="0" xfId="9" applyNumberFormat="1" applyFont="1" applyFill="1" applyBorder="1">
      <alignment vertical="center"/>
    </xf>
    <xf numFmtId="165" fontId="22" fillId="0" borderId="0" xfId="9" applyNumberFormat="1" applyFont="1" applyFill="1" applyBorder="1" applyAlignment="1">
      <alignment vertical="center" wrapText="1"/>
    </xf>
    <xf numFmtId="165" fontId="16" fillId="4" borderId="0" xfId="0" applyFont="1" applyFill="1" applyBorder="1" applyAlignment="1">
      <alignment vertical="center"/>
    </xf>
    <xf numFmtId="165" fontId="19" fillId="4" borderId="20" xfId="0" applyFont="1" applyFill="1" applyBorder="1" applyAlignment="1">
      <alignment horizontal="left" vertical="center" indent="1"/>
    </xf>
    <xf numFmtId="165" fontId="19" fillId="4" borderId="21" xfId="0" applyFont="1" applyFill="1" applyBorder="1" applyAlignment="1">
      <alignment horizontal="right" vertical="center" indent="2"/>
    </xf>
    <xf numFmtId="165" fontId="19" fillId="4" borderId="3" xfId="0" applyFont="1" applyFill="1" applyBorder="1" applyAlignment="1">
      <alignment horizontal="right" vertical="center" indent="2"/>
    </xf>
    <xf numFmtId="165" fontId="13" fillId="0" borderId="0" xfId="0" applyFont="1" applyFill="1" applyBorder="1">
      <alignment horizontal="center" vertical="center"/>
    </xf>
    <xf numFmtId="165" fontId="14" fillId="0" borderId="12" xfId="0" applyFont="1" applyFill="1" applyBorder="1" applyAlignment="1">
      <alignment vertical="center"/>
    </xf>
    <xf numFmtId="165" fontId="3" fillId="0" borderId="22" xfId="0" applyFont="1" applyBorder="1">
      <alignment horizontal="center" vertical="center"/>
    </xf>
    <xf numFmtId="165" fontId="3" fillId="0" borderId="23" xfId="0" applyFont="1" applyBorder="1" applyAlignment="1">
      <alignment vertical="center"/>
    </xf>
    <xf numFmtId="165" fontId="3" fillId="0" borderId="23" xfId="0" applyFont="1" applyBorder="1">
      <alignment horizontal="center" vertical="center"/>
    </xf>
    <xf numFmtId="165" fontId="3" fillId="0" borderId="24" xfId="0" applyFont="1" applyBorder="1" applyAlignment="1">
      <alignment vertical="center"/>
    </xf>
    <xf numFmtId="165" fontId="11" fillId="7" borderId="25" xfId="9" applyNumberFormat="1" applyFont="1" applyFill="1" applyBorder="1">
      <alignment vertical="center"/>
    </xf>
    <xf numFmtId="165" fontId="11" fillId="7" borderId="26" xfId="9" applyNumberFormat="1" applyFont="1" applyFill="1" applyBorder="1">
      <alignment vertical="center"/>
    </xf>
    <xf numFmtId="165" fontId="11" fillId="0" borderId="25" xfId="9" applyNumberFormat="1" applyFont="1" applyFill="1" applyBorder="1">
      <alignment vertical="center"/>
    </xf>
    <xf numFmtId="165" fontId="11" fillId="0" borderId="26" xfId="9" applyNumberFormat="1" applyFont="1" applyFill="1" applyBorder="1">
      <alignment vertical="center"/>
    </xf>
    <xf numFmtId="165" fontId="2" fillId="0" borderId="25" xfId="0" applyFont="1" applyBorder="1">
      <alignment horizontal="center" vertical="center"/>
    </xf>
    <xf numFmtId="165" fontId="2" fillId="0" borderId="0" xfId="0" applyFont="1" applyBorder="1">
      <alignment horizontal="center" vertical="center"/>
    </xf>
    <xf numFmtId="165" fontId="2" fillId="0" borderId="26" xfId="0" applyFont="1" applyBorder="1">
      <alignment horizontal="center" vertical="center"/>
    </xf>
    <xf numFmtId="165" fontId="3" fillId="0" borderId="25" xfId="0" applyFont="1" applyBorder="1" applyAlignment="1">
      <alignment vertical="center"/>
    </xf>
    <xf numFmtId="165" fontId="3" fillId="0" borderId="0" xfId="0" applyFont="1" applyBorder="1" applyAlignment="1">
      <alignment vertical="center"/>
    </xf>
    <xf numFmtId="165" fontId="3" fillId="0" borderId="26" xfId="0" applyFont="1" applyBorder="1" applyAlignment="1">
      <alignment vertical="center"/>
    </xf>
    <xf numFmtId="165" fontId="14" fillId="0" borderId="0" xfId="11" applyNumberFormat="1" applyFont="1" applyFill="1" applyBorder="1">
      <alignment horizontal="left" vertical="center" indent="1"/>
    </xf>
    <xf numFmtId="165" fontId="14" fillId="0" borderId="0" xfId="0" applyFont="1" applyFill="1" applyBorder="1" applyAlignment="1">
      <alignment horizontal="right" vertical="center" indent="1"/>
    </xf>
    <xf numFmtId="1" fontId="14" fillId="0" borderId="0" xfId="11" applyNumberFormat="1" applyFont="1" applyFill="1" applyBorder="1" applyAlignment="1">
      <alignment horizontal="right" vertical="center" indent="1"/>
    </xf>
    <xf numFmtId="1" fontId="14" fillId="0" borderId="0" xfId="0" applyNumberFormat="1" applyFont="1" applyFill="1" applyBorder="1" applyAlignment="1">
      <alignment horizontal="right" vertical="center" indent="1"/>
    </xf>
    <xf numFmtId="165" fontId="14" fillId="0" borderId="0" xfId="0" applyFont="1" applyFill="1" applyBorder="1">
      <alignment horizontal="center" vertical="center"/>
    </xf>
    <xf numFmtId="1" fontId="14" fillId="0" borderId="0" xfId="0" applyNumberFormat="1" applyFont="1" applyBorder="1" applyAlignment="1">
      <alignment horizontal="right" vertical="center" indent="1"/>
    </xf>
    <xf numFmtId="1" fontId="14" fillId="0" borderId="0" xfId="11" applyNumberFormat="1" applyFont="1" applyBorder="1" applyAlignment="1">
      <alignment horizontal="right" vertical="center" indent="1"/>
    </xf>
    <xf numFmtId="165" fontId="3" fillId="0" borderId="25" xfId="0" applyFont="1" applyBorder="1">
      <alignment horizontal="center" vertical="center"/>
    </xf>
    <xf numFmtId="165" fontId="3" fillId="0" borderId="0" xfId="0" applyFont="1" applyBorder="1">
      <alignment horizontal="center" vertical="center"/>
    </xf>
    <xf numFmtId="165" fontId="15" fillId="4" borderId="0" xfId="0" applyFont="1" applyFill="1" applyBorder="1" applyAlignment="1">
      <alignment vertical="center"/>
    </xf>
    <xf numFmtId="165" fontId="14" fillId="4" borderId="0" xfId="0" applyFont="1" applyFill="1" applyBorder="1" applyAlignment="1">
      <alignment horizontal="left" vertical="center" indent="1"/>
    </xf>
    <xf numFmtId="165" fontId="14" fillId="4" borderId="0" xfId="0" applyFont="1" applyFill="1" applyBorder="1" applyAlignment="1">
      <alignment horizontal="right" vertical="center" indent="2"/>
    </xf>
    <xf numFmtId="165" fontId="14" fillId="0" borderId="0" xfId="4" applyNumberFormat="1" applyFont="1" applyFill="1" applyBorder="1" applyAlignment="1">
      <alignment vertical="center"/>
    </xf>
    <xf numFmtId="0" fontId="14" fillId="0" borderId="0" xfId="4" applyFont="1" applyFill="1" applyBorder="1" applyAlignment="1">
      <alignment horizontal="left" vertical="center" indent="1"/>
    </xf>
    <xf numFmtId="1" fontId="14" fillId="0" borderId="0" xfId="4" applyNumberFormat="1" applyFont="1" applyFill="1" applyBorder="1" applyAlignment="1">
      <alignment horizontal="right" vertical="center" indent="1"/>
    </xf>
    <xf numFmtId="0" fontId="14" fillId="0" borderId="0" xfId="4" applyFont="1" applyFill="1" applyBorder="1" applyAlignment="1">
      <alignment horizontal="right" vertical="center" indent="1"/>
    </xf>
    <xf numFmtId="165" fontId="3" fillId="0" borderId="0" xfId="0" applyFont="1" applyBorder="1" applyAlignment="1">
      <alignment horizontal="center"/>
    </xf>
    <xf numFmtId="165" fontId="3" fillId="0" borderId="26" xfId="0" applyFont="1" applyBorder="1">
      <alignment horizontal="center" vertical="center"/>
    </xf>
    <xf numFmtId="165" fontId="3" fillId="0" borderId="27" xfId="0" applyFont="1" applyBorder="1">
      <alignment horizontal="center" vertical="center"/>
    </xf>
    <xf numFmtId="165" fontId="3" fillId="0" borderId="28" xfId="0" applyFont="1" applyBorder="1">
      <alignment horizontal="center" vertical="center"/>
    </xf>
    <xf numFmtId="165" fontId="3" fillId="0" borderId="28" xfId="0" applyFont="1" applyBorder="1" applyAlignment="1">
      <alignment horizontal="center"/>
    </xf>
    <xf numFmtId="165" fontId="3" fillId="0" borderId="29" xfId="0" applyFont="1" applyBorder="1">
      <alignment horizontal="center" vertical="center"/>
    </xf>
    <xf numFmtId="165" fontId="24" fillId="0" borderId="0" xfId="9" applyNumberFormat="1" applyFont="1" applyFill="1" applyBorder="1" applyAlignment="1">
      <alignment horizontal="center" vertical="center"/>
    </xf>
    <xf numFmtId="165" fontId="25" fillId="0" borderId="0" xfId="9" applyNumberFormat="1" applyFont="1" applyFill="1" applyBorder="1" applyAlignment="1">
      <alignment horizontal="center" vertical="center" wrapText="1"/>
    </xf>
    <xf numFmtId="165" fontId="24" fillId="0" borderId="0" xfId="9" applyNumberFormat="1" applyFont="1" applyFill="1" applyBorder="1" applyAlignment="1">
      <alignment horizontal="center" vertical="center" wrapText="1"/>
    </xf>
    <xf numFmtId="165" fontId="20" fillId="0" borderId="12" xfId="12" applyBorder="1">
      <alignment horizontal="center" vertical="center"/>
    </xf>
    <xf numFmtId="1" fontId="22" fillId="0" borderId="12" xfId="9" applyNumberFormat="1" applyFont="1" applyFill="1" applyBorder="1" applyAlignment="1">
      <alignment horizontal="center" vertical="center"/>
    </xf>
    <xf numFmtId="2" fontId="0" fillId="0" borderId="0" xfId="0" applyNumberFormat="1" applyAlignment="1">
      <alignment vertical="center"/>
    </xf>
    <xf numFmtId="165" fontId="29" fillId="0" borderId="0" xfId="9" applyNumberFormat="1" applyFont="1" applyFill="1" applyBorder="1" applyAlignment="1">
      <alignment horizontal="center" vertical="center"/>
    </xf>
    <xf numFmtId="166" fontId="24" fillId="0" borderId="0" xfId="9" applyNumberFormat="1" applyFont="1" applyFill="1" applyBorder="1" applyAlignment="1">
      <alignment horizontal="center" vertical="center"/>
    </xf>
    <xf numFmtId="165" fontId="28" fillId="0" borderId="12" xfId="0" applyFont="1" applyFill="1" applyBorder="1">
      <alignment horizontal="center" vertical="center"/>
    </xf>
    <xf numFmtId="1" fontId="0" fillId="0" borderId="0" xfId="0" applyNumberFormat="1" applyAlignment="1">
      <alignment vertical="center"/>
    </xf>
    <xf numFmtId="165" fontId="14" fillId="0" borderId="13" xfId="11" applyNumberFormat="1" applyFont="1" applyFill="1" applyBorder="1" applyAlignment="1">
      <alignment horizontal="center" vertical="center" indent="1"/>
    </xf>
    <xf numFmtId="165" fontId="14" fillId="0" borderId="17" xfId="11" applyNumberFormat="1" applyFont="1" applyFill="1" applyBorder="1" applyAlignment="1">
      <alignment horizontal="center" vertical="center" indent="1"/>
    </xf>
    <xf numFmtId="165" fontId="14" fillId="0" borderId="14" xfId="11" applyNumberFormat="1" applyFont="1" applyFill="1" applyBorder="1" applyAlignment="1">
      <alignment horizontal="center" vertical="center" indent="1"/>
    </xf>
    <xf numFmtId="165" fontId="14" fillId="0" borderId="13" xfId="11" applyNumberFormat="1" applyFont="1" applyBorder="1" applyAlignment="1">
      <alignment horizontal="center" vertical="center" indent="1"/>
    </xf>
    <xf numFmtId="165" fontId="14" fillId="0" borderId="17" xfId="11" applyNumberFormat="1" applyFont="1" applyBorder="1" applyAlignment="1">
      <alignment horizontal="center" vertical="center" indent="1"/>
    </xf>
    <xf numFmtId="165" fontId="14" fillId="0" borderId="14" xfId="11" applyNumberFormat="1" applyFont="1" applyBorder="1" applyAlignment="1">
      <alignment horizontal="center" vertical="center" indent="1"/>
    </xf>
    <xf numFmtId="165" fontId="3" fillId="0" borderId="13" xfId="0" applyFont="1" applyFill="1" applyBorder="1">
      <alignment horizontal="center" vertical="center"/>
    </xf>
    <xf numFmtId="165" fontId="3" fillId="0" borderId="14" xfId="0" applyFont="1" applyFill="1" applyBorder="1">
      <alignment horizontal="center" vertical="center"/>
    </xf>
    <xf numFmtId="2" fontId="0" fillId="0" borderId="0" xfId="0" applyNumberFormat="1" applyAlignment="1">
      <alignment horizontal="left" vertical="center"/>
    </xf>
    <xf numFmtId="2" fontId="27" fillId="0" borderId="0" xfId="0" applyNumberFormat="1" applyFont="1" applyFill="1" applyBorder="1" applyAlignment="1">
      <alignment horizontal="left" vertical="center"/>
    </xf>
    <xf numFmtId="2" fontId="28" fillId="0" borderId="0" xfId="0" applyNumberFormat="1" applyFont="1" applyAlignment="1">
      <alignment horizontal="left" vertical="center"/>
    </xf>
    <xf numFmtId="165" fontId="22" fillId="0" borderId="0" xfId="9" applyNumberFormat="1" applyFont="1" applyFill="1" applyBorder="1" applyAlignment="1">
      <alignment horizontal="center" vertical="center"/>
    </xf>
    <xf numFmtId="10" fontId="14" fillId="0" borderId="0" xfId="4" applyNumberFormat="1" applyFont="1" applyFill="1" applyBorder="1" applyAlignment="1">
      <alignment horizontal="right" vertical="center" indent="1"/>
    </xf>
    <xf numFmtId="165" fontId="17" fillId="0" borderId="30" xfId="9" applyNumberFormat="1" applyFont="1" applyFill="1" applyBorder="1" applyAlignment="1">
      <alignment horizontal="center" vertical="center"/>
    </xf>
    <xf numFmtId="165" fontId="17" fillId="0" borderId="30" xfId="9" applyNumberFormat="1" applyFont="1" applyFill="1" applyBorder="1" applyAlignment="1">
      <alignment horizontal="left" vertical="center"/>
    </xf>
    <xf numFmtId="165" fontId="20" fillId="0" borderId="0" xfId="12" applyAlignment="1">
      <alignment vertical="center"/>
    </xf>
    <xf numFmtId="165" fontId="20" fillId="0" borderId="0" xfId="12" applyAlignment="1">
      <alignment horizontal="left" vertical="center"/>
    </xf>
    <xf numFmtId="165" fontId="30" fillId="0" borderId="12" xfId="12" applyNumberFormat="1" applyFont="1" applyFill="1" applyBorder="1" applyAlignment="1">
      <alignment horizontal="center" vertical="center"/>
    </xf>
    <xf numFmtId="165" fontId="31" fillId="0" borderId="18" xfId="9" applyNumberFormat="1" applyFont="1" applyFill="1" applyBorder="1" applyAlignment="1">
      <alignment horizontal="center" vertical="center"/>
    </xf>
    <xf numFmtId="1" fontId="22" fillId="0" borderId="18"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65" fontId="34" fillId="0" borderId="0" xfId="0" applyFont="1" applyAlignment="1">
      <alignment vertical="center"/>
    </xf>
    <xf numFmtId="1" fontId="34" fillId="0" borderId="0" xfId="0" applyNumberFormat="1" applyFont="1" applyAlignment="1">
      <alignment vertical="center"/>
    </xf>
    <xf numFmtId="2" fontId="34" fillId="0" borderId="0" xfId="0" applyNumberFormat="1" applyFont="1" applyAlignment="1">
      <alignment vertical="center"/>
    </xf>
    <xf numFmtId="1" fontId="27" fillId="0" borderId="0" xfId="0" applyNumberFormat="1" applyFont="1" applyFill="1" applyBorder="1" applyAlignment="1">
      <alignment vertical="center"/>
    </xf>
    <xf numFmtId="1" fontId="28" fillId="0" borderId="0" xfId="0" applyNumberFormat="1" applyFont="1" applyAlignment="1">
      <alignment vertical="center"/>
    </xf>
    <xf numFmtId="165" fontId="33" fillId="0" borderId="12" xfId="0" applyFont="1" applyBorder="1" applyAlignment="1">
      <alignment vertical="center"/>
    </xf>
    <xf numFmtId="165" fontId="34" fillId="0" borderId="12" xfId="0" applyFont="1" applyBorder="1" applyAlignment="1">
      <alignment horizontal="left" vertical="center"/>
    </xf>
    <xf numFmtId="165" fontId="35" fillId="0" borderId="12" xfId="0" applyFont="1" applyBorder="1" applyAlignment="1">
      <alignment vertical="center"/>
    </xf>
    <xf numFmtId="1" fontId="34" fillId="0" borderId="12" xfId="0" applyNumberFormat="1" applyFont="1" applyBorder="1" applyAlignment="1">
      <alignment horizontal="left" vertical="center"/>
    </xf>
    <xf numFmtId="2" fontId="34" fillId="0" borderId="12" xfId="0" applyNumberFormat="1" applyFont="1" applyBorder="1" applyAlignment="1">
      <alignment horizontal="left" vertical="center"/>
    </xf>
    <xf numFmtId="165" fontId="32" fillId="0" borderId="12" xfId="0" applyFont="1" applyBorder="1" applyAlignment="1">
      <alignment vertical="center"/>
    </xf>
    <xf numFmtId="165" fontId="34" fillId="0" borderId="12" xfId="0" applyFont="1" applyBorder="1" applyAlignment="1">
      <alignment vertical="center"/>
    </xf>
    <xf numFmtId="2" fontId="34" fillId="0" borderId="12" xfId="0" applyNumberFormat="1" applyFont="1" applyBorder="1" applyAlignment="1">
      <alignment vertical="center"/>
    </xf>
    <xf numFmtId="1" fontId="34" fillId="0" borderId="12" xfId="0" applyNumberFormat="1" applyFont="1" applyBorder="1" applyAlignment="1">
      <alignment vertical="center"/>
    </xf>
    <xf numFmtId="165" fontId="34" fillId="0" borderId="12" xfId="0" applyFont="1" applyBorder="1">
      <alignment horizontal="center" vertical="center"/>
    </xf>
    <xf numFmtId="165" fontId="33" fillId="0" borderId="12" xfId="0" applyFont="1" applyBorder="1">
      <alignment horizontal="center" vertical="center"/>
    </xf>
    <xf numFmtId="2" fontId="34" fillId="0" borderId="12" xfId="0" applyNumberFormat="1" applyFont="1" applyBorder="1">
      <alignment horizontal="center" vertical="center"/>
    </xf>
    <xf numFmtId="1" fontId="34" fillId="0" borderId="12" xfId="0" applyNumberFormat="1" applyFont="1" applyBorder="1">
      <alignment horizontal="center" vertical="center"/>
    </xf>
    <xf numFmtId="1" fontId="34" fillId="0" borderId="0" xfId="0" applyNumberFormat="1" applyFont="1">
      <alignment horizontal="center" vertical="center"/>
    </xf>
    <xf numFmtId="2" fontId="34" fillId="0" borderId="0" xfId="0" applyNumberFormat="1" applyFont="1">
      <alignment horizontal="center" vertical="center"/>
    </xf>
    <xf numFmtId="165" fontId="34" fillId="0" borderId="0" xfId="0" applyFont="1">
      <alignment horizontal="center" vertical="center"/>
    </xf>
    <xf numFmtId="165" fontId="37" fillId="0" borderId="0" xfId="0" applyFont="1" applyAlignment="1"/>
    <xf numFmtId="165" fontId="0" fillId="0" borderId="0" xfId="0" applyAlignment="1"/>
    <xf numFmtId="165" fontId="38" fillId="0" borderId="0" xfId="0" applyFont="1" applyAlignment="1"/>
    <xf numFmtId="165" fontId="33" fillId="9" borderId="12" xfId="0" applyFont="1" applyFill="1" applyBorder="1" applyAlignment="1">
      <alignment horizontal="left" vertical="center"/>
    </xf>
    <xf numFmtId="165" fontId="39" fillId="0" borderId="0" xfId="0" applyFont="1" applyAlignment="1"/>
    <xf numFmtId="165" fontId="40" fillId="0" borderId="0" xfId="0" applyFont="1" applyAlignment="1"/>
    <xf numFmtId="165" fontId="41" fillId="0" borderId="0" xfId="0" applyFont="1" applyAlignment="1"/>
    <xf numFmtId="165" fontId="42" fillId="0" borderId="0" xfId="0" applyFont="1" applyAlignment="1"/>
    <xf numFmtId="165" fontId="43" fillId="0" borderId="0" xfId="0" applyFont="1" applyAlignment="1"/>
    <xf numFmtId="165" fontId="0" fillId="0" borderId="0" xfId="0" applyAlignment="1">
      <alignment wrapText="1"/>
    </xf>
    <xf numFmtId="0" fontId="0" fillId="0" borderId="0" xfId="0" applyNumberFormat="1" applyAlignment="1"/>
    <xf numFmtId="165" fontId="38" fillId="0" borderId="0" xfId="0" applyFont="1" applyAlignment="1">
      <alignment wrapText="1"/>
    </xf>
    <xf numFmtId="0" fontId="34" fillId="0" borderId="0" xfId="0" applyNumberFormat="1" applyFont="1">
      <alignment horizontal="center" vertical="center"/>
    </xf>
    <xf numFmtId="0" fontId="36" fillId="0" borderId="0" xfId="0" applyNumberFormat="1" applyFont="1">
      <alignment horizontal="center" vertical="center"/>
    </xf>
    <xf numFmtId="0" fontId="34" fillId="0" borderId="0" xfId="0" applyNumberFormat="1" applyFont="1" applyAlignment="1">
      <alignment vertical="center"/>
    </xf>
    <xf numFmtId="0" fontId="14" fillId="0" borderId="0" xfId="0" applyNumberFormat="1" applyFont="1" applyFill="1" applyBorder="1" applyAlignment="1">
      <alignment horizontal="right" vertical="center" indent="1"/>
    </xf>
    <xf numFmtId="165" fontId="37" fillId="9" borderId="34" xfId="0" applyFont="1" applyFill="1" applyBorder="1" applyAlignment="1"/>
    <xf numFmtId="165" fontId="37" fillId="0" borderId="34" xfId="0" applyFont="1" applyBorder="1" applyAlignment="1"/>
    <xf numFmtId="165" fontId="22" fillId="0" borderId="18" xfId="9" applyNumberFormat="1" applyFont="1" applyFill="1" applyBorder="1" applyAlignment="1">
      <alignment horizontal="center" vertical="center"/>
    </xf>
    <xf numFmtId="165" fontId="22" fillId="0" borderId="30" xfId="9" applyNumberFormat="1" applyFont="1" applyFill="1" applyBorder="1" applyAlignment="1">
      <alignment horizontal="center" vertical="center"/>
    </xf>
    <xf numFmtId="165" fontId="22" fillId="0" borderId="15" xfId="9" applyNumberFormat="1" applyFont="1" applyFill="1" applyBorder="1" applyAlignment="1">
      <alignment horizontal="center" vertical="center"/>
    </xf>
    <xf numFmtId="165" fontId="3" fillId="0" borderId="13" xfId="0" applyFont="1" applyBorder="1">
      <alignment horizontal="center" vertical="center"/>
    </xf>
    <xf numFmtId="165" fontId="3" fillId="0" borderId="17" xfId="0" applyFont="1" applyBorder="1">
      <alignment horizontal="center" vertical="center"/>
    </xf>
    <xf numFmtId="165" fontId="3" fillId="0" borderId="14" xfId="0" applyFont="1" applyBorder="1">
      <alignment horizontal="center" vertical="center"/>
    </xf>
    <xf numFmtId="165" fontId="12" fillId="8" borderId="8" xfId="10" applyNumberFormat="1" applyFont="1" applyFill="1" applyBorder="1" applyAlignment="1">
      <alignment horizontal="center" vertical="center"/>
    </xf>
    <xf numFmtId="165" fontId="24" fillId="0" borderId="31" xfId="9" applyNumberFormat="1" applyFont="1" applyFill="1" applyBorder="1" applyAlignment="1">
      <alignment horizontal="center" vertical="center"/>
    </xf>
    <xf numFmtId="165" fontId="24" fillId="0" borderId="10" xfId="9" applyNumberFormat="1" applyFont="1" applyFill="1" applyBorder="1" applyAlignment="1">
      <alignment horizontal="center" vertical="center"/>
    </xf>
    <xf numFmtId="165" fontId="26" fillId="0" borderId="12" xfId="9" applyNumberFormat="1" applyFont="1" applyFill="1" applyBorder="1" applyAlignment="1">
      <alignment horizontal="center" vertical="center" wrapText="1"/>
    </xf>
    <xf numFmtId="165" fontId="25" fillId="0" borderId="12" xfId="9" applyNumberFormat="1" applyFont="1" applyFill="1" applyBorder="1" applyAlignment="1">
      <alignment horizontal="center" vertical="center" wrapText="1"/>
    </xf>
    <xf numFmtId="1" fontId="22" fillId="0" borderId="32" xfId="9" applyNumberFormat="1" applyFont="1" applyFill="1" applyBorder="1" applyAlignment="1">
      <alignment horizontal="center" vertical="center"/>
    </xf>
    <xf numFmtId="1" fontId="22" fillId="0" borderId="33" xfId="9" applyNumberFormat="1" applyFont="1" applyFill="1" applyBorder="1" applyAlignment="1">
      <alignment horizontal="center" vertical="center"/>
    </xf>
    <xf numFmtId="165" fontId="20" fillId="0" borderId="17" xfId="12" applyBorder="1" applyAlignment="1">
      <alignment horizontal="left" vertical="center"/>
    </xf>
    <xf numFmtId="165" fontId="20" fillId="0" borderId="14" xfId="12" applyBorder="1" applyAlignment="1">
      <alignment horizontal="left" vertical="center"/>
    </xf>
    <xf numFmtId="1" fontId="22" fillId="0" borderId="12"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65" fontId="20" fillId="0" borderId="13" xfId="12" applyBorder="1" applyAlignment="1">
      <alignment horizontal="left" vertical="center"/>
    </xf>
    <xf numFmtId="165" fontId="3" fillId="0" borderId="12" xfId="0" applyFont="1" applyBorder="1">
      <alignment horizontal="center" vertical="center"/>
    </xf>
    <xf numFmtId="165" fontId="3" fillId="0" borderId="11" xfId="0" applyFont="1" applyBorder="1">
      <alignment horizontal="center" vertical="center"/>
    </xf>
    <xf numFmtId="165" fontId="3" fillId="0" borderId="15" xfId="0" applyFont="1" applyBorder="1">
      <alignment horizontal="center" vertical="center"/>
    </xf>
    <xf numFmtId="165" fontId="22" fillId="0" borderId="13" xfId="9" applyNumberFormat="1" applyFont="1" applyFill="1" applyBorder="1" applyAlignment="1">
      <alignment horizontal="center" vertical="center"/>
    </xf>
    <xf numFmtId="165" fontId="22" fillId="0" borderId="12" xfId="9" applyNumberFormat="1" applyFont="1" applyFill="1" applyBorder="1" applyAlignment="1">
      <alignment horizontal="center" vertical="center"/>
    </xf>
    <xf numFmtId="165" fontId="17" fillId="6" borderId="16" xfId="9" quotePrefix="1" applyNumberFormat="1" applyFont="1" applyBorder="1" applyAlignment="1">
      <alignment horizontal="center" vertical="center"/>
    </xf>
    <xf numFmtId="165" fontId="17" fillId="6" borderId="0" xfId="9" applyNumberFormat="1" applyFont="1" applyBorder="1" applyAlignment="1">
      <alignment horizontal="center" vertical="center"/>
    </xf>
    <xf numFmtId="167" fontId="24" fillId="0" borderId="12" xfId="9" applyNumberFormat="1" applyFont="1" applyFill="1" applyBorder="1" applyAlignment="1">
      <alignment horizontal="center" vertical="center"/>
    </xf>
    <xf numFmtId="14" fontId="20" fillId="0" borderId="12" xfId="12" applyNumberFormat="1" applyBorder="1" applyAlignment="1">
      <alignment horizontal="center" vertical="center"/>
    </xf>
    <xf numFmtId="14" fontId="23" fillId="0" borderId="12" xfId="9" applyNumberFormat="1" applyFont="1" applyFill="1" applyBorder="1" applyAlignment="1">
      <alignment horizontal="center" vertical="center"/>
    </xf>
    <xf numFmtId="165" fontId="23" fillId="0" borderId="12" xfId="9" applyNumberFormat="1" applyFont="1" applyFill="1" applyBorder="1" applyAlignment="1">
      <alignment horizontal="center" vertical="center"/>
    </xf>
    <xf numFmtId="165" fontId="23" fillId="0" borderId="13" xfId="9" applyNumberFormat="1" applyFont="1" applyFill="1" applyBorder="1" applyAlignment="1">
      <alignment horizontal="center" vertical="center"/>
    </xf>
    <xf numFmtId="0" fontId="20" fillId="0" borderId="12" xfId="12" applyNumberFormat="1" applyBorder="1" applyAlignment="1">
      <alignment horizontal="center" vertical="center"/>
    </xf>
    <xf numFmtId="0" fontId="20" fillId="0" borderId="12" xfId="12" applyNumberFormat="1" applyFill="1" applyBorder="1" applyAlignment="1">
      <alignment horizontal="center" vertical="center"/>
    </xf>
    <xf numFmtId="165" fontId="21" fillId="8" borderId="9" xfId="10" applyNumberFormat="1" applyFont="1" applyFill="1" applyBorder="1" applyAlignment="1">
      <alignment horizontal="center" vertical="center"/>
    </xf>
    <xf numFmtId="165" fontId="18" fillId="8" borderId="9" xfId="10" applyNumberFormat="1" applyFont="1" applyFill="1" applyBorder="1" applyAlignment="1">
      <alignment horizontal="center" vertical="center"/>
    </xf>
    <xf numFmtId="165" fontId="3" fillId="0" borderId="13" xfId="0" applyFont="1" applyFill="1" applyBorder="1">
      <alignment horizontal="center" vertical="center"/>
    </xf>
    <xf numFmtId="165" fontId="3" fillId="0" borderId="14" xfId="0" applyFont="1" applyFill="1" applyBorder="1">
      <alignment horizontal="center" vertical="center"/>
    </xf>
    <xf numFmtId="165" fontId="14" fillId="0" borderId="13" xfId="11" applyNumberFormat="1" applyFont="1" applyBorder="1" applyAlignment="1">
      <alignment horizontal="center" vertical="center" indent="1"/>
    </xf>
    <xf numFmtId="165" fontId="14" fillId="0" borderId="17" xfId="11" applyNumberFormat="1" applyFont="1" applyBorder="1" applyAlignment="1">
      <alignment horizontal="center" vertical="center" indent="1"/>
    </xf>
    <xf numFmtId="165" fontId="14" fillId="0" borderId="14" xfId="11" applyNumberFormat="1" applyFont="1" applyBorder="1" applyAlignment="1">
      <alignment horizontal="center" vertical="center" indent="1"/>
    </xf>
    <xf numFmtId="165" fontId="29" fillId="0" borderId="12" xfId="9" applyNumberFormat="1" applyFont="1" applyFill="1" applyBorder="1" applyAlignment="1">
      <alignment horizontal="center" vertical="center"/>
    </xf>
    <xf numFmtId="165" fontId="29" fillId="0" borderId="13" xfId="9" applyNumberFormat="1" applyFont="1" applyFill="1" applyBorder="1" applyAlignment="1">
      <alignment horizontal="center" vertical="center"/>
    </xf>
    <xf numFmtId="165" fontId="22" fillId="0" borderId="19" xfId="9" applyNumberFormat="1" applyFont="1" applyFill="1" applyBorder="1" applyAlignment="1">
      <alignment horizontal="left" vertical="center" wrapText="1"/>
    </xf>
    <xf numFmtId="165" fontId="22" fillId="0" borderId="11" xfId="9" applyNumberFormat="1" applyFont="1" applyFill="1" applyBorder="1" applyAlignment="1">
      <alignment horizontal="left" vertical="center" wrapText="1"/>
    </xf>
    <xf numFmtId="165" fontId="22" fillId="0" borderId="17" xfId="9" applyNumberFormat="1" applyFont="1" applyFill="1" applyBorder="1" applyAlignment="1">
      <alignment horizontal="left" vertical="center" wrapText="1"/>
    </xf>
    <xf numFmtId="165" fontId="22" fillId="0" borderId="14" xfId="9" applyNumberFormat="1" applyFont="1" applyFill="1" applyBorder="1" applyAlignment="1">
      <alignment horizontal="left" vertical="center" wrapText="1"/>
    </xf>
    <xf numFmtId="165" fontId="29" fillId="0" borderId="17" xfId="9" applyNumberFormat="1" applyFont="1" applyFill="1" applyBorder="1" applyAlignment="1">
      <alignment horizontal="center" vertical="center"/>
    </xf>
    <xf numFmtId="165" fontId="29" fillId="0" borderId="14" xfId="9" applyNumberFormat="1" applyFont="1" applyFill="1" applyBorder="1" applyAlignment="1">
      <alignment horizontal="center" vertical="center"/>
    </xf>
    <xf numFmtId="166" fontId="24" fillId="0" borderId="12" xfId="9" applyNumberFormat="1" applyFont="1" applyFill="1" applyBorder="1" applyAlignment="1">
      <alignment horizontal="center" vertical="center"/>
    </xf>
    <xf numFmtId="165" fontId="14" fillId="0" borderId="13" xfId="11" applyNumberFormat="1" applyFont="1" applyFill="1" applyBorder="1" applyAlignment="1">
      <alignment horizontal="center" vertical="center" indent="1"/>
    </xf>
    <xf numFmtId="165" fontId="14" fillId="0" borderId="17" xfId="11" applyNumberFormat="1" applyFont="1" applyFill="1" applyBorder="1" applyAlignment="1">
      <alignment horizontal="center" vertical="center" indent="1"/>
    </xf>
    <xf numFmtId="165" fontId="14" fillId="0" borderId="14" xfId="11" applyNumberFormat="1" applyFont="1" applyFill="1" applyBorder="1" applyAlignment="1">
      <alignment horizontal="center" vertical="center" indent="1"/>
    </xf>
    <xf numFmtId="165" fontId="17" fillId="0" borderId="13" xfId="9" applyNumberFormat="1" applyFont="1" applyFill="1" applyBorder="1" applyAlignment="1">
      <alignment horizontal="center" vertical="center"/>
    </xf>
    <xf numFmtId="165" fontId="17" fillId="0" borderId="14" xfId="9" applyNumberFormat="1" applyFont="1" applyFill="1" applyBorder="1" applyAlignment="1">
      <alignment horizontal="center" vertical="center"/>
    </xf>
    <xf numFmtId="165" fontId="21" fillId="8" borderId="0" xfId="10" applyNumberFormat="1" applyFont="1" applyFill="1" applyBorder="1" applyAlignment="1">
      <alignment horizontal="center" vertical="center"/>
    </xf>
    <xf numFmtId="165" fontId="14" fillId="0" borderId="13" xfId="0" applyFont="1" applyBorder="1">
      <alignment horizontal="center" vertical="center"/>
    </xf>
    <xf numFmtId="165" fontId="14" fillId="0" borderId="17" xfId="0" applyFont="1" applyBorder="1">
      <alignment horizontal="center" vertical="center"/>
    </xf>
    <xf numFmtId="165" fontId="14" fillId="0" borderId="14" xfId="0" applyFont="1" applyBorder="1">
      <alignment horizontal="center" vertical="center"/>
    </xf>
    <xf numFmtId="0" fontId="34" fillId="0" borderId="0" xfId="0" applyNumberFormat="1" applyFont="1">
      <alignment horizontal="center" vertical="center"/>
    </xf>
    <xf numFmtId="165" fontId="34" fillId="0" borderId="0" xfId="0" applyFont="1">
      <alignment horizontal="center" vertical="center"/>
    </xf>
  </cellXfs>
  <cellStyles count="13">
    <cellStyle name="20% - Accent1" xfId="4" builtinId="30"/>
    <cellStyle name="Accent1" xfId="1" builtinId="29" customBuiltin="1"/>
    <cellStyle name="Accent2" xfId="2" builtinId="33" customBuiltin="1"/>
    <cellStyle name="Accent3" xfId="5" builtinId="37" customBuiltin="1"/>
    <cellStyle name="Comma" xfId="7" builtinId="3" customBuiltin="1"/>
    <cellStyle name="Comma [0]" xfId="8" builtinId="6" customBuiltin="1"/>
    <cellStyle name="Heading 1" xfId="10" builtinId="16" customBuiltin="1"/>
    <cellStyle name="Hyperlink" xfId="12" builtinId="8"/>
    <cellStyle name="Input" xfId="11" builtinId="20" customBuiltin="1"/>
    <cellStyle name="Normal" xfId="0" builtinId="0" customBuiltin="1"/>
    <cellStyle name="Style 1" xfId="6" xr:uid="{00000000-0005-0000-0000-000009000000}"/>
    <cellStyle name="Table Style 1" xfId="3" xr:uid="{00000000-0005-0000-0000-000012000000}"/>
    <cellStyle name="Title" xfId="9" builtinId="15" customBuiltin="1"/>
  </cellStyles>
  <dxfs count="64">
    <dxf>
      <font>
        <b val="0"/>
        <i val="0"/>
        <strike val="0"/>
        <condense val="0"/>
        <extend val="0"/>
        <outline val="0"/>
        <shadow val="0"/>
        <u val="none"/>
        <vertAlign val="baseline"/>
        <sz val="10"/>
        <color auto="1"/>
        <name val="Calibri"/>
        <scheme val="none"/>
      </font>
      <numFmt numFmtId="1" formatCode="0"/>
      <alignment horizontal="general"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numFmt numFmtId="2" formatCode="0.00"/>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alignment wrapText="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sz val="11"/>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border>
        <bottom style="thin">
          <color theme="4"/>
        </bottom>
      </border>
    </dxf>
    <dxf>
      <font>
        <b/>
        <strike val="0"/>
        <outline val="0"/>
        <shadow val="0"/>
        <u val="none"/>
        <vertAlign val="baseline"/>
        <color theme="3" tint="-0.499984740745262"/>
        <name val="Tahoma"/>
        <family val="2"/>
        <scheme val="minor"/>
      </font>
      <fill>
        <patternFill patternType="none">
          <fgColor indexed="64"/>
          <bgColor auto="1"/>
        </patternFill>
      </fill>
    </dxf>
    <dxf>
      <font>
        <b/>
        <i val="0"/>
      </font>
      <border>
        <top style="double">
          <color theme="5"/>
        </top>
      </border>
    </dxf>
    <dxf>
      <font>
        <b/>
        <i val="0"/>
      </font>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border>
        <top style="double">
          <color theme="5"/>
        </top>
      </border>
    </dxf>
    <dxf>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fill>
        <patternFill>
          <bgColor theme="4" tint="0.79998168889431442"/>
        </patternFill>
      </fill>
    </dxf>
    <dxf>
      <font>
        <b/>
        <i val="0"/>
      </font>
      <fill>
        <patternFill>
          <bgColor theme="6"/>
        </patternFill>
      </fill>
    </dxf>
  </dxfs>
  <tableStyles count="3" defaultTableStyle="TableStyleMedium2" defaultPivotStyle="PivotStyleLight16">
    <tableStyle name="Buy vs rideshare Table 1" pivot="0" count="2" xr9:uid="{00000000-0011-0000-FFFF-FFFF00000000}">
      <tableStyleElement type="totalRow" dxfId="63"/>
      <tableStyleElement type="firstRowStripe" dxfId="62"/>
    </tableStyle>
    <tableStyle name="PivotTable Style 1" table="0" count="3" xr9:uid="{E3F404F2-011A-E842-B520-642860C59EA9}">
      <tableStyleElement type="wholeTable" dxfId="61"/>
      <tableStyleElement type="headerRow" dxfId="60"/>
      <tableStyleElement type="firstSubtotalRow" dxfId="59"/>
    </tableStyle>
    <tableStyle name="Table Style 1" pivot="0" count="3" xr9:uid="{36058966-0EDD-974A-9022-F35F63ED4CA0}">
      <tableStyleElement type="wholeTable" dxfId="58"/>
      <tableStyleElement type="headerRow" dxfId="57"/>
      <tableStyleElement type="totalRow" dxfId="56"/>
    </tableStyle>
  </tableStyles>
  <colors>
    <mruColors>
      <color rgb="FF004A6D"/>
      <color rgb="FF02778B"/>
      <color rgb="FF00B0F0"/>
      <color rgb="FFD9D9D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5">
  <rv s="0">
    <v>Stendarr, Inc. </v>
    <v>TetrisApp</v>
    <v>0</v>
    <v>1</v>
    <v>Stendarr, Inc. </v>
    <v>Stendarr, Inc.</v>
    <v>1</v>
    <v>0.85</v>
  </rv>
  <rv s="0">
    <v>Stendarr, Inc.</v>
    <v>TetrisApp</v>
    <v>0</v>
    <v>1</v>
    <v>Stendarr, Inc.</v>
    <v>Stendarr, Inc. </v>
    <v>1</v>
    <v>0.99</v>
  </rv>
  <rv s="0">
    <v>A First-In-Human, Phase 1, Randomized, Double-Blind, Placebo-Controlled Study to Evaluate the Safety, Tolerability, and Pharmacokinetics of ABC-123 as a Single Dose in Healthy Participants and as Multiple Doses in Participants with Grade 2 Boneitis</v>
    <v>TetrisApp</v>
    <v>0</v>
    <v>1</v>
    <v>A First-In-Human, Phase 1, Randomized, Double-Blind, Placebo-Controlled Study to Evaluate the Safety, Tolerability, and Pharmacokinetics of ABC-123 as a Single Dose in Healthy Participants and as Multiple Doses in Participants with Grade 2 Boneitis</v>
    <v>A First-In-Human, Phase 1, Randomized, Double-Blind, Placebo-Controlled Study to Evaluate the Safety, Tolerability, and Pharmacokinetics of ABC-123 as a Single Dose in Healthy Participants and as Multiple Doses in Participants with Grade 2 Boneitis</v>
    <v>1</v>
    <v>0.6</v>
  </rv>
  <rv s="0">
    <v>A First-In-Human, Phase 1, Randomized, Double-Blind, Placebo-Controlled Study to Evaluate the Safety, Tolerability, and Pharmacokinetics of ABC-123 as a Single Dose in Healthy Participants and as Multiple Doses in Participants with Grade 2 Boneitis</v>
    <v>TetrisApp</v>
    <v>0</v>
    <v>1</v>
    <v>A First-In-Human, Phase 1, Randomized, Double-Blind, Placebo-Controlled Study to Evaluate the Safety, Tolerability, and Pharmacokinetics of ABC-123 as a Single Dose in Healthy Participants and as Multiple Doses in Participants with Grade 2 Boneitis</v>
    <v>A First-In-Human, Phase 1, Randomized, Double-Blind, Placebo-Controlled Study to Evaluate the Safety, Tolerability, and Pharmacokinetics of ABC-123 as a Single Dose in Healthy Participants and as Multiple Doses in Participants with Grade 2 Boneitis</v>
    <v>1</v>
    <v>0.61</v>
  </rv>
  <rv s="0">
    <v>SKY-2000-101 </v>
    <v>TetrisApp</v>
    <v>0</v>
    <v>1</v>
    <v>SKY-2000-101 </v>
    <v>SKY-2000-101</v>
    <v>1</v>
    <v>0.92</v>
  </rv>
  <rv s="0">
    <v>SKY-2000-101</v>
    <v>TetrisApp</v>
    <v>0</v>
    <v>1</v>
    <v>SKY-2000-101</v>
    <v>SKY-2000-101 </v>
    <v>1</v>
    <v>1</v>
  </rv>
  <rv s="0">
    <v>Karliah N. Gale, MD​profe​ </v>
    <v>TetrisApp</v>
    <v>0</v>
    <v>1</v>
    <v>Karliah N. Gale, MD​profe​ </v>
    <v/>
    <v>0</v>
    <v>0</v>
  </rv>
  <rv s="0">
    <v/>
    <v>TetrisApp</v>
    <v>0</v>
    <v>1</v>
    <v/>
    <v/>
    <v>0</v>
    <v>0</v>
  </rv>
  <rv s="0">
    <v>555-999-1111 </v>
    <v>TetrisApp</v>
    <v>0</v>
    <v>1</v>
    <v>555-999-1111 </v>
    <v/>
    <v>0</v>
    <v>0</v>
  </rv>
  <rv s="0">
    <v> 123 Fake Street, Anytown, CO, USA 80002</v>
    <v>TetrisApp</v>
    <v>0</v>
    <v>1</v>
    <v> 123 Fake Street, Anytown, CO, USA 80002</v>
    <v>123 Fake Street, Anytown, CO, USA 80002</v>
    <v>1</v>
    <v>0.79</v>
  </rv>
  <rv s="0">
    <v>123 Fake Street, Anytown, CO, USA 80002</v>
    <v>TetrisApp</v>
    <v>0</v>
    <v>1</v>
    <v>123 Fake Street, Anytown, CO, USA 80002</v>
    <v> 123 Fake Street, Anytown, CO, USA 80002</v>
    <v>1</v>
    <v>0.93</v>
  </rv>
  <rv s="0">
    <v>Boneitis</v>
    <v>TetrisApp</v>
    <v>0</v>
    <v>1</v>
    <v>Boneitis</v>
    <v/>
    <v>0</v>
    <v>0</v>
  </rv>
  <rv s="0">
    <v>ABC-123 is intended for use in patients with boneitis, a disease that causes bones to change shape or disappear.</v>
    <v>TetrisApp</v>
    <v>0</v>
    <v>1</v>
    <v>ABC-123 is intended for use in patients with boneitis, a disease that causes bones to change shape or disappear.</v>
    <v/>
    <v>0</v>
    <v>0</v>
  </rv>
  <rv s="0">
    <v>a disease that causes bones to change shape or disappear</v>
    <v>TetrisApp</v>
    <v>0</v>
    <v>1</v>
    <v>a disease that causes bones to change shape or disappear</v>
    <v>ABC-123 is intended for use in patients with boneitis, a disease that causes bones to change shape or disappear.</v>
    <v>1</v>
    <v>0.79</v>
  </rv>
  <rv s="0">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TetrisApp</v>
    <v>0</v>
    <v>1</v>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
    <v>0</v>
    <v>0</v>
  </rv>
  <rv s="0">
    <v>first-in-human, Phase 1</v>
    <v>TetrisApp</v>
    <v>0</v>
    <v>1</v>
    <v>first-in-human, Phase 1</v>
    <v/>
    <v>0</v>
    <v>0</v>
  </rv>
  <rv s="0">
    <v>56 participants</v>
    <v>TetrisApp</v>
    <v>0</v>
    <v>1</v>
    <v>56 participants</v>
    <v>up to 28 participants</v>
    <v>1</v>
    <v>0.55000000000000004</v>
  </rv>
  <rv s="0">
    <v>up to 28 participants</v>
    <v>TetrisApp</v>
    <v>0</v>
    <v>1</v>
    <v>up to 28 participants</v>
    <v>56 participants</v>
    <v>1</v>
    <v>0.56999999999999995</v>
  </rv>
  <rv s="0">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v>TetrisApp</v>
    <v>0</v>
    <v>1</v>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v/>
    <v>0</v>
    <v>0</v>
  </rv>
  <rv s="0">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v>TetrisApp</v>
    <v>0</v>
    <v>1</v>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v/>
    <v>0</v>
    <v>0</v>
  </rv>
  <rv s="0">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v>TetrisApp</v>
    <v>0</v>
    <v>1</v>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v/>
    <v>0</v>
    <v>0</v>
  </rv>
  <rv s="0">
    <v>the single-dose part of the study</v>
    <v>TetrisApp</v>
    <v>0</v>
    <v>1</v>
    <v>the single-dose part of the study</v>
    <v/>
    <v>0</v>
    <v>0</v>
  </rv>
  <rv s="0">
    <v>5 week</v>
    <v>TetrisApp</v>
    <v>0</v>
    <v>1</v>
    <v>5 week</v>
    <v>2 to 4 weeks</v>
    <v>1</v>
    <v>0.59</v>
  </rv>
  <rv s="0">
    <v>2 to 4 weeks</v>
    <v>TetrisApp</v>
    <v>0</v>
    <v>1</v>
    <v>2 to 4 weeks</v>
    <v/>
    <v>0</v>
    <v>0</v>
  </rv>
  <rv s="0">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v>TetrisApp</v>
    <v>0</v>
    <v>1</v>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v/>
    <v>0</v>
    <v>0</v>
  </rv>
  <rv s="0">
    <v>shot under the skin</v>
    <v>TetrisApp</v>
    <v>0</v>
    <v>1</v>
    <v>shot under the skin</v>
    <v/>
    <v>0</v>
    <v>0</v>
  </rv>
  <rv s="0">
    <v>ABC-123</v>
    <v>TetrisApp</v>
    <v>0</v>
    <v>1</v>
    <v>ABC-123</v>
    <v/>
    <v>0</v>
    <v>0</v>
  </rv>
  <rv s="0">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TetrisApp</v>
    <v>0</v>
    <v>1</v>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
    <v>0</v>
    <v>0</v>
  </rv>
  <rv s="0">
    <v>Following Check-out from the CRU, all participants will return for Follow-up study visits up to 6 weeks post dosing in the first 3 cohorts and 10 weeks post dosing in the remaining cohorts as shown in the Schedule of Assessments</v>
    <v>TetrisApp</v>
    <v>0</v>
    <v>1</v>
    <v>Following Check-out from the CRU, all participants will return for Follow-up study visits up to 6 weeks post dosing in the first 3 cohorts and 10 weeks post dosing in the remaining cohorts as shown in the Schedule of Assessments</v>
    <v/>
    <v>0</v>
    <v>0</v>
  </rv>
  <rv s="0">
    <v>every other week for 3 doses over up to 6 weeks</v>
    <v>TetrisApp</v>
    <v>0</v>
    <v>1</v>
    <v>every other week for 3 doses over up to 6 weeks</v>
    <v/>
    <v>0</v>
    <v>0</v>
  </rv>
  <rv s="0">
    <v>Boneitis</v>
    <v>TetrisApp</v>
    <v>0</v>
    <v>1</v>
    <v>Boneitis</v>
    <v>boneitis</v>
    <v>1</v>
    <v>1</v>
  </rv>
  <rv s="0">
    <v>boneitis</v>
    <v>TetrisApp</v>
    <v>0</v>
    <v>1</v>
    <v>boneitis</v>
    <v>Boneitis</v>
    <v>1</v>
    <v>1</v>
  </rv>
  <rv s="0">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v>TetrisApp</v>
    <v>0</v>
    <v>1</v>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v/>
    <v>0</v>
    <v>0</v>
  </rv>
  <rv s="0">
    <v>3 cohorts of 56 participants</v>
    <v>TetrisApp</v>
    <v>0</v>
    <v>1</v>
    <v>3 cohorts of 56 participants</v>
    <v>6 cohorts of 8 participants</v>
    <v>1</v>
    <v>0.63</v>
  </rv>
  <rv s="0">
    <v>6 cohorts of 8 participants</v>
    <v>TetrisApp</v>
    <v>0</v>
    <v>1</v>
    <v>6 cohorts of 8 participants</v>
    <v>3 cohorts of 56 participants</v>
    <v>1</v>
    <v>0.63</v>
  </rv>
  <rv s="0">
    <v>Abc-123</v>
    <v>TetrisApp</v>
    <v>0</v>
    <v>1</v>
    <v>Abc-123</v>
    <v/>
    <v>0</v>
    <v>0</v>
  </rv>
  <rv s="0">
    <v>600 mg</v>
    <v>TetrisApp</v>
    <v>0</v>
    <v>1</v>
    <v>600 mg</v>
    <v/>
    <v>0</v>
    <v>0</v>
  </rv>
  <rv s="0">
    <v>318 fold</v>
    <v>TetrisApp</v>
    <v>0</v>
    <v>1</v>
    <v>318 fold</v>
    <v/>
    <v>0</v>
    <v>0</v>
  </rv>
  <rv s="0">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v>TetrisApp</v>
    <v>0</v>
    <v>1</v>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v/>
    <v>0</v>
    <v>0</v>
  </rv>
  <rv s="0">
    <v>The first group (Cohort 1) will include 8 participants, with 2 participants (called sentinels) receiving the study drug or placebo first to monitor safety. If no safety concerns are found after 48 hours, the remaining participants in the group will receive their doses.</v>
    <v>TetrisApp</v>
    <v>0</v>
    <v>1</v>
    <v>The first group (Cohort 1) will include 8 participants, with 2 participants (called sentinels) receiving the study drug or placebo first to monitor safety. If no safety concerns are found after 48 hours, the remaining participants in the group will receive their doses.</v>
    <v/>
    <v>0</v>
    <v>0</v>
  </rv>
  <rv s="0">
    <v>7 day</v>
    <v>TetrisApp</v>
    <v>0</v>
    <v>1</v>
    <v>7 day</v>
    <v>7 days post-dose</v>
    <v>1</v>
    <v>0.98</v>
  </rv>
  <rv s="0">
    <v>7 days post-dose</v>
    <v>TetrisApp</v>
    <v>0</v>
    <v>1</v>
    <v>7 days post-dose</v>
    <v/>
    <v>0</v>
    <v>0</v>
  </rv>
  <rv s="0">
    <v>3 cohorts of 56 participants</v>
    <v>TetrisApp</v>
    <v>0</v>
    <v>1</v>
    <v>3 cohorts of 56 participants</v>
    <v>1 cohort of 8 participants</v>
    <v>1</v>
    <v>0.57999999999999996</v>
  </rv>
  <rv s="0">
    <v>1 cohort of 8 participants</v>
    <v>TetrisApp</v>
    <v>0</v>
    <v>1</v>
    <v>1 cohort of 8 participants</v>
    <v>3 cohorts of 56 participants</v>
    <v>1</v>
    <v>0.56999999999999995</v>
  </rv>
  <rv s="0">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v>TetrisApp</v>
    <v>0</v>
    <v>1</v>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v/>
    <v>0</v>
    <v>0</v>
  </rv>
  <rv s="0">
    <v>was selected based on safety, tolerability, and PK data from the single ascending dose (SAD) portion of the study</v>
    <v>TetrisApp</v>
    <v>0</v>
    <v>1</v>
    <v>was selected based on safety, tolerability, and PK data from the single ascending dose (SAD) portion of the study</v>
    <v/>
    <v>0</v>
    <v>0</v>
  </rv>
  <rv s="0">
    <v>18 to 65 years</v>
    <v>TetrisApp</v>
    <v>0</v>
    <v>1</v>
    <v>18 to 65 years</v>
    <v>18 to 55 years</v>
    <v>1</v>
    <v>0.62</v>
  </rv>
  <rv s="0">
    <v>18 to 55 years</v>
    <v>TetrisApp</v>
    <v>0</v>
    <v>1</v>
    <v>18 to 55 years</v>
    <v>18 to 65 years</v>
    <v>1</v>
    <v>0.67</v>
  </rv>
  <rv s="0">
    <v>Cohorts 1-3</v>
    <v>TetrisApp</v>
    <v>0</v>
    <v>1</v>
    <v>Cohorts 1-3</v>
    <v/>
    <v>0</v>
    <v>0</v>
  </rv>
  <rv s="0">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v>TetrisApp</v>
    <v>0</v>
    <v>1</v>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v/>
    <v>0</v>
    <v>0</v>
  </rv>
  <rv s="0">
    <v>up to 5 weeks for screening, followed by repeat dosing every other week for 3 doses, and up to 15 weeks total from Screening to Follow-up</v>
    <v>TetrisApp</v>
    <v>0</v>
    <v>1</v>
    <v>up to 5 weeks for screening, followed by repeat dosing every other week for 3 doses, and up to 15 weeks total from Screening to Follow-up</v>
    <v/>
    <v>0</v>
    <v>0</v>
  </rv>
  <rv s="0">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v>TetrisApp</v>
    <v>0</v>
    <v>1</v>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v/>
    <v>0</v>
    <v>0</v>
  </rv>
  <rv s="0">
    <v>boneitis due to lurgi</v>
    <v>TetrisApp</v>
    <v>0</v>
    <v>1</v>
    <v>boneitis due to lurgi</v>
    <v/>
    <v>0</v>
    <v>0</v>
  </rv>
  <rv s="0">
    <v>up to 15 weeks, including up to 5 weeks for Screening, dosing every other week for 3 doses, and a Follow-up period</v>
    <v>TetrisApp</v>
    <v>0</v>
    <v>1</v>
    <v>up to 15 weeks, including up to 5 weeks for Screening, dosing every other week for 3 doses, and a Follow-up period</v>
    <v/>
    <v>0</v>
    <v>0</v>
  </rv>
  <rv s="0">
    <v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v>
    <v>TetrisApp</v>
    <v>0</v>
    <v>1</v>
    <v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v>
    <v/>
    <v>0</v>
    <v>0</v>
  </rv>
  <rv s="0">
    <v>&lt;ul&gt;&lt;li&gt;History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v>
    <v>TetrisApp</v>
    <v>0</v>
    <v>1</v>
    <v>&lt;ul&gt;&lt;li&gt;History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v>
    <v/>
    <v>0</v>
    <v>0</v>
  </rv>
  <rv s="0">
    <v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TetrisApp</v>
    <v>0</v>
    <v>1</v>
    <v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
    <v>0</v>
    <v>0</v>
  </rv>
  <rv s="0">
    <v>&lt;li&gt;Do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v>
    <v>TetrisApp</v>
    <v>0</v>
    <v>1</v>
    <v>&lt;li&gt;Do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v>
    <v/>
    <v>0</v>
    <v>0</v>
  </rv>
  <rv s="0">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v>TetrisApp</v>
    <v>0</v>
    <v>1</v>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v/>
    <v>0</v>
    <v>0</v>
  </rv>
  <rv s="0">
    <v>&lt;li&gt;Medical history review&lt;/li&gt;&lt;li&gt;Physical examination&lt;/li&gt;&lt;li&gt;12-lead ECG&lt;/li&gt;&lt;li&gt;Vital signs measurements&lt;/li&gt;&lt;li&gt;Blood and other laboratory tests&lt;/li&gt;</v>
    <v>TetrisApp</v>
    <v>0</v>
    <v>1</v>
    <v>&lt;li&gt;Medical history review&lt;/li&gt;&lt;li&gt;Physical examination&lt;/li&gt;&lt;li&gt;12-lead ECG&lt;/li&gt;&lt;li&gt;Vital signs measurements&lt;/li&gt;&lt;li&gt;Blood and other laboratory tests&lt;/li&gt;</v>
    <v/>
    <v>0</v>
    <v>0</v>
  </rv>
  <rv s="0">
    <v>35 days</v>
    <v>TetrisApp</v>
    <v>0</v>
    <v>1</v>
    <v>35 days</v>
    <v>35 days</v>
    <v>1</v>
    <v>1</v>
  </rv>
  <rv s="0">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v>TetrisApp</v>
    <v>0</v>
    <v>1</v>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v/>
    <v>0</v>
    <v>0</v>
  </rv>
  <rv s="0">
    <v>Blood pressure, pulse rate, respiratory rate, body temperature, blood tests, heart monitoring (ECG), physical examination, and mental health assessment.</v>
    <v>TetrisApp</v>
    <v>0</v>
    <v>1</v>
    <v>Blood pressure, pulse rate, respiratory rate, body temperature, blood tests, heart monitoring (ECG), physical examination, and mental health assessment.</v>
    <v/>
    <v>0</v>
    <v>0</v>
  </rv>
  <rv s="0">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v>
    <v>TetrisApp</v>
    <v>0</v>
    <v>1</v>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v>
    <v/>
    <v>0</v>
    <v>0</v>
  </rv>
  <rv s="0">
    <v>&lt;ul&gt;&lt;li&gt;Blood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v>
    <v>TetrisApp</v>
    <v>0</v>
    <v>1</v>
    <v>&lt;ul&gt;&lt;li&gt;Blood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v>
    <v/>
    <v>0</v>
    <v>0</v>
  </rv>
  <rv s="0">
    <v>6 weeks </v>
    <v>TetrisApp</v>
    <v>0</v>
    <v>1</v>
    <v>6 weeks </v>
    <v/>
    <v>0</v>
    <v>0</v>
  </rv>
  <rv s="0">
    <v>Check-out from the Clinical Research Unit (CRU)</v>
    <v>TetrisApp</v>
    <v>0</v>
    <v>1</v>
    <v>Check-out from the Clinical Research Unit (CRU)</v>
    <v/>
    <v>0</v>
    <v>0</v>
  </rv>
  <rv s="0">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TetrisApp</v>
    <v>0</v>
    <v>1</v>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
    <v>0</v>
    <v>0</v>
  </rv>
  <rv s="0">
    <v>&lt;li&gt;Physical examination&lt;/li&gt;&lt;li&gt;Blood collection&lt;/li&gt;&lt;li&gt;Medical assessments related to study procedures&lt;/li&gt;</v>
    <v>TetrisApp</v>
    <v>0</v>
    <v>1</v>
    <v>&lt;li&gt;Physical examination&lt;/li&gt;&lt;li&gt;Blood collection&lt;/li&gt;&lt;li&gt;Medical assessments related to study procedures&lt;/li&gt;</v>
    <v/>
    <v>0</v>
    <v>0</v>
  </rv>
  <rv s="0">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v>TetrisApp</v>
    <v>0</v>
    <v>1</v>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v/>
    <v>0</v>
    <v>0</v>
  </rv>
  <rv s="0">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v>TetrisApp</v>
    <v>0</v>
    <v>1</v>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v/>
    <v>0</v>
    <v>0</v>
  </rv>
  <rv s="0">
    <v>Blood pressure, pulse rate, respiratory rate, body temperature, ECG (heart tracing), blood tests, physical examination, mental health assessment.</v>
    <v>TetrisApp</v>
    <v>0</v>
    <v>1</v>
    <v>Blood pressure, pulse rate, respiratory rate, body temperature, ECG (heart tracing), blood tests, physical examination, mental health assessment.</v>
    <v/>
    <v>0</v>
    <v>0</v>
  </rv>
  <rv s="0">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v>
    <v>TetrisApp</v>
    <v>0</v>
    <v>1</v>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v>
    <v/>
    <v>0</v>
    <v>0</v>
  </rv>
  <rv s="0">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v>TetrisApp</v>
    <v>0</v>
    <v>1</v>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v/>
    <v>0</v>
    <v>0</v>
  </rv>
  <rv s="0">
    <v>Second Check-in/Day 2 to Day 8</v>
    <v>TetrisApp</v>
    <v>0</v>
    <v>1</v>
    <v>Second Check-in/Day 2 to Day 8</v>
    <v/>
    <v>0</v>
    <v>0</v>
  </rv>
  <rv s="0">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v>TetrisApp</v>
    <v>0</v>
    <v>1</v>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v/>
    <v>0</v>
    <v>0</v>
  </rv>
  <rv s="0">
    <v>blood tests, heart monitoring (ECG), checking vital signs (blood pressure, pulse, breathing rate, body temperature), physical exams, and mental health checks</v>
    <v>TetrisApp</v>
    <v>0</v>
    <v>1</v>
    <v>blood tests, heart monitoring (ECG), checking vital signs (blood pressure, pulse, breathing rate, body temperature), physical exams, and mental health checks</v>
    <v/>
    <v>0</v>
    <v>0</v>
  </rv>
  <rv s="0">
    <v>•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v>
    <v>TetrisApp</v>
    <v>0</v>
    <v>1</v>
    <v>•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v>
    <v/>
    <v>0</v>
    <v>0</v>
  </rv>
  <rv s="0">
    <v xml:space="preserve">Donation of blood is not permitted from 8 weeks (16 weeks for double red cell donation) prior to Screening until 90 days after the final Follow-up visit. </v>
    <v>TetrisApp</v>
    <v>0</v>
    <v>1</v>
    <v xml:space="preserve">Donation of blood is not permitted from 8 weeks (16 weeks for double red cell donation) prior to Screening until 90 days after the final Follow-up visit. </v>
    <v/>
    <v>0</v>
    <v>0</v>
  </rv>
  <rv s="0">
    <v>final Check-out/Day 8</v>
    <v>TetrisApp</v>
    <v>0</v>
    <v>1</v>
    <v>final Check-out/Day 8</v>
    <v/>
    <v>0</v>
    <v>0</v>
  </rv>
  <rv s="0">
    <v>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v>TetrisApp</v>
    <v>0</v>
    <v>1</v>
    <v>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v/>
    <v>0</v>
    <v>0</v>
  </rv>
  <rv s="0">
    <v>&lt;li&gt;Physical examination&lt;/li&gt;&lt;li&gt;Blood collection&lt;/li&gt;&lt;li&gt;Other medical evaluations and assessments associated with study procedures&lt;/li&gt;</v>
    <v>TetrisApp</v>
    <v>0</v>
    <v>1</v>
    <v>&lt;li&gt;Physical examination&lt;/li&gt;&lt;li&gt;Blood collection&lt;/li&gt;&lt;li&gt;Other medical evaluations and assessments associated with study procedures&lt;/li&gt;</v>
    <v/>
    <v>0</v>
    <v>0</v>
  </rv>
  <rv s="0">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v>TetrisApp</v>
    <v>0</v>
    <v>1</v>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v/>
    <v>0</v>
    <v>0</v>
  </rv>
  <rv s="0">
    <v>the part of the study where small groups of healthy volunteers (cohorts) receive single increasing doses of the study drug to see how safe it is</v>
    <v>TetrisApp</v>
    <v>0</v>
    <v>1</v>
    <v>the part of the study where small groups of healthy volunteers (cohorts) receive single increasing doses of the study drug to see how safe it is</v>
    <v/>
    <v>0</v>
    <v>0</v>
  </rv>
  <rv s="0">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TetrisApp</v>
    <v>0</v>
    <v>1</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
    <v>0</v>
    <v>0</v>
  </rv>
  <rv s="0">
    <v>local regulatory authority</v>
    <v>TetrisApp</v>
    <v>0</v>
    <v>1</v>
    <v>local regulatory authority</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1</v>
    <v>0.63</v>
  </rv>
  <rv s="0">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TetrisApp</v>
    <v>0</v>
    <v>1</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
    <v>0</v>
    <v>0</v>
  </rv>
  <rv s="0">
    <v>local regulatory authority</v>
    <v>TetrisApp</v>
    <v>0</v>
    <v>1</v>
    <v>local regulatory authority</v>
    <v/>
    <v>0</v>
    <v>0</v>
  </rv>
  <rv s="0">
    <v>2 years</v>
    <v>TetrisApp</v>
    <v>0</v>
    <v>1</v>
    <v>2 years</v>
    <v/>
    <v>0</v>
    <v>0</v>
  </rv>
  <rv s="0">
    <v>The Contract Research Organization (CRO) involved in this study will work under the oversight of the Sponsor, with certain actions delegated to them as appropriate.</v>
    <v>TetrisApp</v>
    <v>0</v>
    <v>1</v>
    <v>The Contract Research Organization (CRO) involved in this study will work under the oversight of the Sponsor, with certain actions delegated to them as appropriate.</v>
    <v/>
    <v>0</v>
    <v>0</v>
  </rv>
  <rv s="0">
    <v>Contract Research Organization (CRO)</v>
    <v>TetrisApp</v>
    <v>0</v>
    <v>1</v>
    <v>Contract Research Organization (CRO)</v>
    <v/>
    <v>0</v>
    <v>0</v>
  </rv>
  <rv s="0">
    <v>318-fold</v>
    <v>TetrisApp</v>
    <v>0</v>
    <v>1</v>
    <v>318-fold</v>
    <v>318-fold</v>
    <v>1</v>
    <v>1</v>
  </rv>
  <rv s="0">
    <v xml:space="preserve">Additional risks observed in clinical studies with blorp inductors include gastrointestinal adverse events (primarily nausea, diarrhea, and vomiting), asthenia/fatigue, hot flushes, and dizziness. </v>
    <v>TetrisApp</v>
    <v>0</v>
    <v>1</v>
    <v xml:space="preserve">Additional risks observed in clinical studies with blorp inductors include gastrointestinal adverse events (primarily nausea, diarrhea, and vomiting), asthenia/fatigue, hot flushes, and dizziness. </v>
    <v/>
    <v>0</v>
    <v>0</v>
  </rv>
  <rv s="0">
    <v>&lt;li&gt;Gastrointestinal adverse effects&lt;/li&gt;&lt;li&gt;Psychiatric effects (eg, amphibious jocularity, levitation, the crunge)&lt;/li&gt;&lt;li&gt;Neurological effects&lt;/li&gt;</v>
    <v>TetrisApp</v>
    <v>0</v>
    <v>1</v>
    <v>&lt;li&gt;Gastrointestinal adverse effects&lt;/li&gt;&lt;li&gt;Psychiatric effects (eg, amphibious jocularity, levitation, the crunge)&lt;/li&gt;&lt;li&gt;Neurological effects&lt;/li&gt;</v>
    <v/>
    <v>0</v>
    <v>0</v>
  </rv>
  <rv s="0">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v>TetrisApp</v>
    <v>0</v>
    <v>1</v>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v/>
    <v>0</v>
    <v>0</v>
  </rv>
  <rv s="0">
    <v>&lt;li&gt;Adverse psychiatric and neurological effects (eg, amphibious jocularity, levitation, and the crunge)&lt;/li&gt;&lt;li&gt;Gastrointestinal adverse effects&lt;/li&gt;</v>
    <v>TetrisApp</v>
    <v>0</v>
    <v>1</v>
    <v>&lt;li&gt;Adverse psychiatric and neurological effects (eg, amphibious jocularity, levitation, and the crunge)&lt;/li&gt;&lt;li&gt;Gastrointestinal adverse effects&lt;/li&gt;</v>
    <v/>
    <v>0</v>
    <v>0</v>
  </rv>
  <rv s="0">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v>TetrisApp</v>
    <v>0</v>
    <v>1</v>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v/>
    <v>0</v>
    <v>0</v>
  </rv>
  <rv s="0">
    <v xml:space="preserve">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v>TetrisApp</v>
    <v>0</v>
    <v>1</v>
    <v xml:space="preserve">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v/>
    <v>0</v>
    <v>0</v>
  </rv>
  <rv s="0">
    <v>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v>TetrisApp</v>
    <v>0</v>
    <v>1</v>
    <v>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v/>
    <v>0</v>
    <v>0</v>
  </rv>
  <rv s="0">
    <v>Male participants will agree to use contraception while on study intervention and for at least 6 months after the last dose of study intervention. </v>
    <v>TetrisApp</v>
    <v>0</v>
    <v>1</v>
    <v>Male participants will agree to use contraception while on study intervention and for at least 6 months after the last dose of study intervention. </v>
    <v/>
    <v>0</v>
    <v>0</v>
  </rv>
  <rv s="0">
    <v xml:space="preserve">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v>
    <v>TetrisApp</v>
    <v>0</v>
    <v>1</v>
    <v xml:space="preserve">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v>
    <v/>
    <v>0</v>
    <v>0</v>
  </rv>
  <rv s="0">
    <v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 </v>
    <v>TetrisApp</v>
    <v>0</v>
    <v>1</v>
    <v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 </v>
    <v/>
    <v>0</v>
    <v>0</v>
  </rv>
  <rv s="0">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v>
    <v>TetrisApp</v>
    <v>0</v>
    <v>1</v>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v>
    <v/>
    <v>0</v>
    <v>0</v>
  </rv>
  <rv s="0">
    <v>Institutional Review Board (IRB)</v>
    <v>TetrisApp</v>
    <v>0</v>
    <v>1</v>
    <v>Institutional Review Board (IRB)</v>
    <v>Institutional Review Board (IRB)</v>
    <v>1</v>
    <v>0.82</v>
  </rv>
  <rv s="1">
    <v>13</v>
    <v>3</v>
  </rv>
</rvData>
</file>

<file path=xl/richData/rdrichvaluestructure.xml><?xml version="1.0" encoding="utf-8"?>
<rvStructures xmlns="http://schemas.microsoft.com/office/spreadsheetml/2017/richdata" count="2">
  <s t="_entity">
    <k n="_DisplayString" t="s"/>
    <k n="_Icon" t="s"/>
    <k n="_Provider" t="spb"/>
    <k n="_SubLabel" t="spb"/>
    <k n="Lookup" t="s"/>
    <k n="Match" t="s"/>
    <k n="Row"/>
    <k n="Similarity"/>
  </s>
  <s t="_error">
    <k n="errorType" t="i"/>
    <k n="subType" t="i"/>
  </s>
</rvStructures>
</file>

<file path=xl/richData/rdsupportingpropertybag.xml><?xml version="1.0" encoding="utf-8"?>
<supportingPropertyBags xmlns="http://schemas.microsoft.com/office/spreadsheetml/2017/richdata2">
  <spbData count="2">
    <spb s="0">
      <v>Boardflare | Fuzzy Match for Excel</v>
    </spb>
    <spb s="1">
      <v>in lookup_array, 1-based</v>
      <v>from lookup_array</v>
      <v>0 (least) - 1 (most)</v>
    </spb>
  </spbData>
</supportingPropertyBags>
</file>

<file path=xl/richData/rdsupportingpropertybagstructure.xml><?xml version="1.0" encoding="utf-8"?>
<spbStructures xmlns="http://schemas.microsoft.com/office/spreadsheetml/2017/richdata2" count="2">
  <s>
    <k n="name" t="s"/>
  </s>
  <s>
    <k n="Row" t="s"/>
    <k n="Match" t="s"/>
    <k n="Similarity" t="s"/>
  </s>
</spb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9E44A-B36F-4EED-BA01-4AB10CFD8E8B}" name="Table5" displayName="Table5" ref="B17:E26" totalsRowShown="0" headerRowDxfId="55" dataDxfId="53" headerRowBorderDxfId="54" headerRowCellStyle="Normal" dataCellStyle="Normal">
  <autoFilter ref="B17:E26" xr:uid="{33A52213-A801-47DE-8C22-41E2317EB6CF}">
    <filterColumn colId="0" hiddenButton="1"/>
    <filterColumn colId="1" hiddenButton="1"/>
    <filterColumn colId="2" hiddenButton="1"/>
    <filterColumn colId="3" hiddenButton="1"/>
  </autoFilter>
  <tableColumns count="4">
    <tableColumn id="1" xr3:uid="{CD117C9C-C887-470F-A061-CA9173CBF4F9}" name="Column1" dataDxfId="52" dataCellStyle="Normal"/>
    <tableColumn id="2" xr3:uid="{E757292C-C084-4854-A08C-E9D0DF4E2C1B}" name="Column2" dataDxfId="51" dataCellStyle="Input"/>
    <tableColumn id="3" xr3:uid="{F269147F-FC3A-424A-8710-C771370E9458}" name="Column3" dataDxfId="50" dataCellStyle="Normal"/>
    <tableColumn id="4" xr3:uid="{31E2E428-84F1-479D-B359-64E6ADBA547D}" name="Column4" dataDxfId="49" dataCellStyle="Input"/>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B37EB5-B6AC-4DA6-9AB7-26C0FCCB06A8}" name="Table6" displayName="Table6" ref="B64:E68" totalsRowShown="0" headerRowDxfId="48" dataDxfId="47">
  <autoFilter ref="B64:E68" xr:uid="{329B791D-22C6-44C2-8A7E-F39161CF9DF4}">
    <filterColumn colId="0" hiddenButton="1"/>
    <filterColumn colId="1" hiddenButton="1"/>
    <filterColumn colId="2" hiddenButton="1"/>
    <filterColumn colId="3" hiddenButton="1"/>
  </autoFilter>
  <tableColumns count="4">
    <tableColumn id="1" xr3:uid="{476B6397-6D0F-4807-905E-B20A2CD4B19C}" name="Column1" dataDxfId="46" dataCellStyle="20% - Accent1"/>
    <tableColumn id="2" xr3:uid="{CB01D84B-AFB9-4EA0-A074-0487281D7ADC}" name="Column2" dataDxfId="45" dataCellStyle="20% - Accent1"/>
    <tableColumn id="3" xr3:uid="{7D4631CC-F098-49DA-BD37-2F9572073834}" name="Column3" dataDxfId="44" dataCellStyle="20% - Accent1"/>
    <tableColumn id="4" xr3:uid="{1396062D-7128-4DA8-AB4F-8206D669FB89}" name="Column4" dataDxfId="43" dataCellStyle="20% - Accent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811B79-6980-442F-A962-E2B1F0585EA0}" name="Table69" displayName="Table69" ref="B50:E54" totalsRowShown="0" headerRowDxfId="42" dataDxfId="41">
  <autoFilter ref="B50:E54" xr:uid="{A6811B79-6980-442F-A962-E2B1F0585EA0}"/>
  <tableColumns count="4">
    <tableColumn id="1" xr3:uid="{39E870D4-E0D9-4E71-AB1F-F0DF81749358}" name="Column1" dataDxfId="40" dataCellStyle="20% - Accent1"/>
    <tableColumn id="2" xr3:uid="{085C6308-5A9C-4751-919B-D0BFCE8E015E}" name="Column2" dataDxfId="39" dataCellStyle="20% - Accent1"/>
    <tableColumn id="3" xr3:uid="{36272BEE-4840-4FAC-B44A-942116AABBD0}" name="Column3" dataDxfId="38" dataCellStyle="20% - Accent1"/>
    <tableColumn id="4" xr3:uid="{3ADBE27E-BF40-4438-9FDC-64BB47D1A0E4}" name="Column4" dataDxfId="37" dataCellStyle="20% - Accent1"/>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BEC7B8C-9003-40FD-AFCD-FC6D4BEAD175}" name="Table68" displayName="Table68" ref="B29:E33" totalsRowShown="0" headerRowDxfId="36" dataDxfId="35">
  <autoFilter ref="B29:E33" xr:uid="{CBEC7B8C-9003-40FD-AFCD-FC6D4BEAD175}"/>
  <tableColumns count="4">
    <tableColumn id="1" xr3:uid="{2D724163-1682-4316-B750-15A796A79E11}" name="Column1" dataDxfId="34" dataCellStyle="20% - Accent1"/>
    <tableColumn id="2" xr3:uid="{5AB8C226-A476-4A8B-9F17-E614DB56B2CF}" name="Column2" dataDxfId="33" dataCellStyle="20% - Accent1"/>
    <tableColumn id="3" xr3:uid="{FFCF3F20-F97F-4E55-90EA-BEEF616C6F90}" name="Column3" dataDxfId="32" dataCellStyle="20% - Accent1"/>
    <tableColumn id="4" xr3:uid="{D78A0B94-89A4-43FF-93C0-630DCDE034BF}" name="Column4" dataDxfId="31" dataCellStyle="20% - Accent1"/>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86B80B-B025-4703-885F-51908EB7BCEE}" name="Table685" displayName="Table685" ref="B36:E40" totalsRowShown="0" headerRowDxfId="30" dataDxfId="29">
  <autoFilter ref="B36:E40" xr:uid="{6C86B80B-B025-4703-885F-51908EB7BCEE}"/>
  <tableColumns count="4">
    <tableColumn id="1" xr3:uid="{2139A6FE-30D5-4868-A583-1B3148C07D39}" name="Column1" dataDxfId="28" dataCellStyle="20% - Accent1"/>
    <tableColumn id="2" xr3:uid="{080CDD2F-F72E-4762-88C3-76A525239171}" name="Column2" dataDxfId="27" dataCellStyle="20% - Accent1"/>
    <tableColumn id="3" xr3:uid="{587B2EB8-34B2-491B-8700-C0175A4564F6}" name="Column3" dataDxfId="26" dataCellStyle="20% - Accent1"/>
    <tableColumn id="4" xr3:uid="{47EFD410-0E7B-4E09-AB46-EA6AC951E5AA}" name="Column4" dataDxfId="25" dataCellStyle="20% - Accent1"/>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009291-E24A-48E6-BB45-801D8A7B31CA}" name="Table687" displayName="Table687" ref="B43:E47" totalsRowShown="0" headerRowDxfId="24" dataDxfId="23">
  <autoFilter ref="B43:E47" xr:uid="{29009291-E24A-48E6-BB45-801D8A7B31CA}"/>
  <tableColumns count="4">
    <tableColumn id="1" xr3:uid="{C7F8AFC8-157B-4435-BE74-457E27D6EECF}" name="Column1" dataDxfId="22" dataCellStyle="20% - Accent1"/>
    <tableColumn id="2" xr3:uid="{D8FE8F1C-D2FC-42C4-9D7F-7BBC7F3E81EA}" name="Column2" dataDxfId="21" dataCellStyle="20% - Accent1"/>
    <tableColumn id="3" xr3:uid="{71A85058-1E46-48DE-9375-B58CC89DE233}" name="Column3" dataDxfId="20" dataCellStyle="20% - Accent1"/>
    <tableColumn id="4" xr3:uid="{53DB21A7-27AE-417A-9BBE-F4E0335824DF}" name="Column4" dataDxfId="19" dataCellStyle="20% - Accent1"/>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3A854-2B89-4BC4-A624-EF40ABB2BD12}" name="Table692" displayName="Table692" ref="B57:E61" totalsRowShown="0" headerRowDxfId="18" dataDxfId="17">
  <autoFilter ref="B57:E61" xr:uid="{33D3A854-2B89-4BC4-A624-EF40ABB2BD12}"/>
  <tableColumns count="4">
    <tableColumn id="1" xr3:uid="{E4667751-2F02-470A-AA30-5513900EDC07}" name="Column1" dataDxfId="16" dataCellStyle="20% - Accent1"/>
    <tableColumn id="2" xr3:uid="{DBD5D1C2-7D0A-484B-9E60-959BF601E4F5}" name="Column2" dataDxfId="15" dataCellStyle="20% - Accent1"/>
    <tableColumn id="3" xr3:uid="{AFF9650E-1950-4144-8406-E17612CAC8CC}" name="Column3" dataDxfId="14" dataCellStyle="20% - Accent1"/>
    <tableColumn id="4" xr3:uid="{614D6F72-6AD8-4D5A-8B56-553A4C441221}" name="Column4" dataDxfId="13" dataCellStyle="20% - Accent1"/>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42806D-87EB-4888-9CDA-84B35AEB9022}" name="Table113" displayName="Table113" ref="A2:K502" totalsRowShown="0" headerRowDxfId="12" dataDxfId="11">
  <autoFilter ref="A2:K502" xr:uid="{1142806D-87EB-4888-9CDA-84B35AEB9022}">
    <filterColumn colId="2">
      <filters>
        <filter val="Paragraph"/>
      </filters>
    </filterColumn>
  </autoFilter>
  <tableColumns count="11">
    <tableColumn id="1" xr3:uid="{E6D35F4B-64FD-4536-BCE3-2199B3803579}" name="Placeholder" dataDxfId="10"/>
    <tableColumn id="2" xr3:uid="{C1B1960E-846E-48A9-9F4E-A95FAA354D53}" name="Column1" dataDxfId="9"/>
    <tableColumn id="3" xr3:uid="{E6DB9135-7377-417B-AFD5-FCA9395E82D9}" name="Placeholder Type" dataDxfId="8"/>
    <tableColumn id="4" xr3:uid="{5B1890A3-9F23-4741-BBEE-48C3A1FFE401}" name="Expected Value" dataDxfId="7"/>
    <tableColumn id="5" xr3:uid="{44223256-BB79-4251-BD3E-E2E9A0D6A2CE}" name="Source Document" dataDxfId="6"/>
    <tableColumn id="6" xr3:uid="{672AD909-3650-489B-927F-4709D0BE38A9}" name="Writing instruction" dataDxfId="5"/>
    <tableColumn id="7" xr3:uid="{1B21D3FD-1BD5-45B6-93AA-C4307CE0F3D5}" name="AI Replaced Text" dataDxfId="4"/>
    <tableColumn id="8" xr3:uid="{91BAC8D0-8FC9-46F7-BDF6-2AB7DF2A67F2}" name="Ai detected Source " dataDxfId="3"/>
    <tableColumn id="9" xr3:uid="{B47B5C21-E8B2-4526-9E06-7048C01419AE}" name="Matching Accuracy" dataDxfId="2"/>
    <tableColumn id="10" xr3:uid="{E51313CD-A780-4970-B375-B4B683F1FD3B}" name="Similarity Score" dataDxfId="1"/>
    <tableColumn id="11" xr3:uid="{2F9AF073-81FC-44C2-958B-D05B43124258}" name="Source Mat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ar Rental 2">
      <a:dk1>
        <a:srgbClr val="000000"/>
      </a:dk1>
      <a:lt1>
        <a:srgbClr val="FFFFFF"/>
      </a:lt1>
      <a:dk2>
        <a:srgbClr val="579899"/>
      </a:dk2>
      <a:lt2>
        <a:srgbClr val="E7E6E6"/>
      </a:lt2>
      <a:accent1>
        <a:srgbClr val="7CB9B2"/>
      </a:accent1>
      <a:accent2>
        <a:srgbClr val="A9D4BE"/>
      </a:accent2>
      <a:accent3>
        <a:srgbClr val="D83A51"/>
      </a:accent3>
      <a:accent4>
        <a:srgbClr val="468181"/>
      </a:accent4>
      <a:accent5>
        <a:srgbClr val="F58220"/>
      </a:accent5>
      <a:accent6>
        <a:srgbClr val="974791"/>
      </a:accent6>
      <a:hlink>
        <a:srgbClr val="0563C1"/>
      </a:hlink>
      <a:folHlink>
        <a:srgbClr val="954F72"/>
      </a:folHlink>
    </a:clrScheme>
    <a:fontScheme name="Custom 1">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677054-994D-468C-A44E-E1DAF2F2F738}">
  <we:reference id="WA200006970" version="1.1.5.0" store="en-us"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_xldudf_BOARDFLARE_FMATCH</we:customFunctionIds>
        <we:customFunctionIds>_xldudf_BOARDFLARE_FLOOKUP</we:customFunctionIds>
      </we:customFunctionIdList>
    </a:ext>
    <a:ext xmlns:a="http://schemas.openxmlformats.org/drawingml/2006/main" uri="{0858819E-0033-43BF-8937-05EC82904868}">
      <we:backgroundApp state="0" runtimeId="BF.SharedRuntime.Url"/>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N78"/>
  <sheetViews>
    <sheetView showGridLines="0" tabSelected="1" zoomScaleNormal="100" workbookViewId="0">
      <selection activeCell="D5" sqref="D5"/>
    </sheetView>
  </sheetViews>
  <sheetFormatPr defaultColWidth="0" defaultRowHeight="0" customHeight="1" zeroHeight="1"/>
  <cols>
    <col min="1" max="1" width="2.5" style="1" customWidth="1"/>
    <col min="2" max="2" width="1.5" style="1" customWidth="1"/>
    <col min="3" max="3" width="32.7109375" style="1" customWidth="1"/>
    <col min="4" max="5" width="30.7109375" style="2" customWidth="1"/>
    <col min="6" max="11" width="10.7109375" style="1" customWidth="1"/>
    <col min="12" max="12" width="21.140625" style="1" customWidth="1"/>
    <col min="13" max="13" width="2.5" style="1" customWidth="1"/>
    <col min="14" max="14" width="9" style="1" customWidth="1"/>
    <col min="15" max="16384" width="0" style="1" hidden="1"/>
  </cols>
  <sheetData>
    <row r="1" spans="1:13" s="3" customFormat="1" ht="15" customHeight="1">
      <c r="A1" s="29"/>
      <c r="B1" s="30"/>
      <c r="C1" s="30"/>
      <c r="D1" s="31"/>
      <c r="E1" s="30"/>
      <c r="F1" s="30"/>
      <c r="G1" s="30"/>
      <c r="H1" s="30"/>
      <c r="I1" s="30"/>
      <c r="J1" s="30"/>
      <c r="K1" s="30"/>
      <c r="L1" s="30"/>
      <c r="M1" s="32"/>
    </row>
    <row r="2" spans="1:13" s="5" customFormat="1" ht="100.2" customHeight="1">
      <c r="A2" s="33"/>
      <c r="B2" s="158" t="s">
        <v>0</v>
      </c>
      <c r="C2" s="159"/>
      <c r="D2" s="159"/>
      <c r="E2" s="159"/>
      <c r="F2" s="159"/>
      <c r="G2" s="159"/>
      <c r="H2" s="159"/>
      <c r="I2" s="159"/>
      <c r="J2" s="159"/>
      <c r="K2" s="159"/>
      <c r="L2" s="159"/>
      <c r="M2" s="34"/>
    </row>
    <row r="3" spans="1:13" s="10" customFormat="1" ht="30" customHeight="1">
      <c r="A3" s="35"/>
      <c r="B3" s="11"/>
      <c r="C3" s="11"/>
      <c r="D3" s="11"/>
      <c r="E3" s="11"/>
      <c r="F3" s="11"/>
      <c r="G3" s="11"/>
      <c r="H3" s="11"/>
      <c r="I3" s="11"/>
      <c r="J3" s="11"/>
      <c r="K3" s="11"/>
      <c r="L3" s="11"/>
      <c r="M3" s="36"/>
    </row>
    <row r="4" spans="1:13" s="10" customFormat="1" ht="30" customHeight="1">
      <c r="A4" s="35"/>
      <c r="B4" s="11"/>
      <c r="C4" s="17" t="s">
        <v>1</v>
      </c>
      <c r="D4" s="20" t="s">
        <v>2</v>
      </c>
      <c r="E4" s="11"/>
      <c r="F4" s="11"/>
      <c r="G4" s="163" t="s">
        <v>3</v>
      </c>
      <c r="H4" s="163"/>
      <c r="I4" s="164"/>
      <c r="J4" s="165"/>
      <c r="K4" s="166"/>
      <c r="L4" s="166"/>
      <c r="M4" s="36"/>
    </row>
    <row r="5" spans="1:13" s="10" customFormat="1" ht="30" customHeight="1">
      <c r="A5" s="35"/>
      <c r="B5" s="11"/>
      <c r="C5" s="17" t="s">
        <v>4</v>
      </c>
      <c r="D5" s="19" t="s">
        <v>5</v>
      </c>
      <c r="E5" s="11"/>
      <c r="F5" s="11"/>
      <c r="G5" s="163" t="s">
        <v>6</v>
      </c>
      <c r="H5" s="163"/>
      <c r="I5" s="164"/>
      <c r="J5" s="161"/>
      <c r="K5" s="162"/>
      <c r="L5" s="162"/>
      <c r="M5" s="36"/>
    </row>
    <row r="6" spans="1:13" s="10" customFormat="1" ht="30" customHeight="1">
      <c r="A6" s="35"/>
      <c r="B6" s="11"/>
      <c r="C6" s="17" t="s">
        <v>7</v>
      </c>
      <c r="D6" s="18" t="s">
        <v>8</v>
      </c>
      <c r="E6" s="11"/>
      <c r="F6" s="11"/>
      <c r="G6" s="174" t="s">
        <v>9</v>
      </c>
      <c r="H6" s="174"/>
      <c r="I6" s="175"/>
      <c r="J6" s="160">
        <v>46120</v>
      </c>
      <c r="K6" s="160"/>
      <c r="L6" s="160"/>
      <c r="M6" s="36"/>
    </row>
    <row r="7" spans="1:13" s="10" customFormat="1" ht="30" customHeight="1">
      <c r="A7" s="35"/>
      <c r="B7" s="11"/>
      <c r="C7" s="11"/>
      <c r="D7" s="11"/>
      <c r="E7" s="11"/>
      <c r="F7" s="11"/>
      <c r="G7" s="174" t="s">
        <v>10</v>
      </c>
      <c r="H7" s="174"/>
      <c r="I7" s="175"/>
      <c r="J7" s="150"/>
      <c r="K7" s="150"/>
      <c r="L7" s="150"/>
      <c r="M7" s="36"/>
    </row>
    <row r="8" spans="1:13" s="10" customFormat="1" ht="30" customHeight="1">
      <c r="A8" s="35"/>
      <c r="B8" s="11"/>
      <c r="C8" s="142" t="s">
        <v>11</v>
      </c>
      <c r="D8" s="144"/>
      <c r="E8" s="144"/>
      <c r="F8" s="11"/>
      <c r="G8" s="175" t="s">
        <v>12</v>
      </c>
      <c r="H8" s="180"/>
      <c r="I8" s="181"/>
      <c r="J8" s="182"/>
      <c r="K8" s="182"/>
      <c r="L8" s="182"/>
      <c r="M8" s="36"/>
    </row>
    <row r="9" spans="1:13" s="10" customFormat="1" ht="30" customHeight="1">
      <c r="A9" s="35"/>
      <c r="B9" s="11"/>
      <c r="C9" s="143"/>
      <c r="D9" s="145"/>
      <c r="E9" s="145"/>
      <c r="F9" s="11"/>
      <c r="G9" s="71"/>
      <c r="H9" s="71"/>
      <c r="I9" s="71"/>
      <c r="J9" s="72"/>
      <c r="K9" s="72"/>
      <c r="L9" s="72"/>
      <c r="M9" s="36"/>
    </row>
    <row r="10" spans="1:13" s="10" customFormat="1" ht="30" customHeight="1">
      <c r="A10" s="35"/>
      <c r="B10" s="11"/>
      <c r="F10" s="11"/>
      <c r="G10" s="21"/>
      <c r="H10" s="22"/>
      <c r="I10" s="22"/>
      <c r="J10" s="22"/>
      <c r="K10" s="22"/>
      <c r="L10" s="22"/>
      <c r="M10" s="36"/>
    </row>
    <row r="11" spans="1:13" s="10" customFormat="1" ht="30" customHeight="1">
      <c r="A11" s="35"/>
      <c r="B11" s="11"/>
      <c r="C11" s="73" t="s">
        <v>13</v>
      </c>
      <c r="D11" s="68"/>
      <c r="E11" s="69" t="s">
        <v>14</v>
      </c>
      <c r="F11" s="11"/>
      <c r="G11" s="65"/>
      <c r="H11" s="66"/>
      <c r="I11" s="67"/>
      <c r="J11" s="67"/>
      <c r="K11" s="67"/>
      <c r="L11" s="67"/>
      <c r="M11" s="36"/>
    </row>
    <row r="12" spans="1:13" s="10" customFormat="1" ht="30" customHeight="1">
      <c r="A12" s="35"/>
      <c r="B12" s="11"/>
      <c r="C12" s="73" t="s">
        <v>15</v>
      </c>
      <c r="D12" s="90" t="s">
        <v>16</v>
      </c>
      <c r="E12" s="91"/>
      <c r="F12" s="89"/>
      <c r="G12" s="148"/>
      <c r="H12" s="149"/>
      <c r="I12" s="152"/>
      <c r="J12" s="149"/>
      <c r="K12" s="152"/>
      <c r="L12" s="149"/>
      <c r="M12" s="36"/>
    </row>
    <row r="13" spans="1:13" s="10" customFormat="1" ht="30" customHeight="1">
      <c r="A13" s="35"/>
      <c r="B13" s="11"/>
      <c r="C13" s="93" t="s">
        <v>17</v>
      </c>
      <c r="D13" s="94" t="s">
        <v>18</v>
      </c>
      <c r="E13" s="95" t="s">
        <v>18</v>
      </c>
      <c r="F13" s="88"/>
      <c r="G13" s="146" t="s">
        <v>19</v>
      </c>
      <c r="H13" s="147"/>
      <c r="I13" s="151"/>
      <c r="J13" s="147"/>
      <c r="K13" s="151"/>
      <c r="L13" s="147"/>
      <c r="M13" s="36"/>
    </row>
    <row r="14" spans="1:13" s="10" customFormat="1" ht="30" customHeight="1">
      <c r="A14" s="35"/>
      <c r="B14" s="11"/>
      <c r="C14" s="92" t="s">
        <v>10</v>
      </c>
      <c r="D14" s="69"/>
      <c r="E14" s="69"/>
      <c r="F14" s="11"/>
      <c r="G14" s="186"/>
      <c r="H14" s="187"/>
      <c r="I14" s="186"/>
      <c r="J14" s="187"/>
      <c r="K14" s="186"/>
      <c r="L14" s="187"/>
      <c r="M14" s="36"/>
    </row>
    <row r="15" spans="1:13" s="10" customFormat="1" ht="30" customHeight="1">
      <c r="A15" s="35"/>
      <c r="B15" s="11"/>
      <c r="C15" s="15"/>
      <c r="D15" s="16"/>
      <c r="E15" s="16"/>
      <c r="F15" s="11"/>
      <c r="G15" s="11"/>
      <c r="H15" s="11"/>
      <c r="I15" s="11"/>
      <c r="J15" s="11"/>
      <c r="K15" s="11"/>
      <c r="L15" s="11"/>
      <c r="M15" s="36"/>
    </row>
    <row r="16" spans="1:13" s="4" customFormat="1" ht="46.2" customHeight="1">
      <c r="A16" s="37"/>
      <c r="B16" s="167" t="s">
        <v>20</v>
      </c>
      <c r="C16" s="168"/>
      <c r="D16" s="168"/>
      <c r="E16" s="168"/>
      <c r="F16" s="38"/>
      <c r="G16" s="188" t="s">
        <v>21</v>
      </c>
      <c r="H16" s="188"/>
      <c r="I16" s="188"/>
      <c r="J16" s="188"/>
      <c r="K16" s="188"/>
      <c r="L16" s="188"/>
      <c r="M16" s="39"/>
    </row>
    <row r="17" spans="1:13" s="3" customFormat="1" ht="30" hidden="1" customHeight="1">
      <c r="A17" s="40"/>
      <c r="B17" s="9" t="s">
        <v>22</v>
      </c>
      <c r="C17" s="12" t="s">
        <v>23</v>
      </c>
      <c r="D17" s="13" t="s">
        <v>24</v>
      </c>
      <c r="E17" s="14" t="s">
        <v>25</v>
      </c>
      <c r="F17" s="41"/>
      <c r="G17" s="23"/>
      <c r="H17" s="24"/>
      <c r="I17" s="25"/>
      <c r="J17" s="26"/>
      <c r="K17" s="27"/>
      <c r="L17" s="41"/>
      <c r="M17" s="42"/>
    </row>
    <row r="18" spans="1:13" s="3" customFormat="1" ht="30" customHeight="1">
      <c r="A18" s="40"/>
      <c r="B18" s="7"/>
      <c r="C18" s="43"/>
      <c r="D18" s="44" t="s">
        <v>26</v>
      </c>
      <c r="E18" s="45" t="s">
        <v>27</v>
      </c>
      <c r="F18" s="41"/>
      <c r="G18" s="189"/>
      <c r="H18" s="190"/>
      <c r="I18" s="191"/>
      <c r="J18" s="169"/>
      <c r="K18" s="170"/>
      <c r="L18" s="28"/>
      <c r="M18" s="42"/>
    </row>
    <row r="19" spans="1:13" s="3" customFormat="1" ht="30" customHeight="1">
      <c r="A19" s="40"/>
      <c r="B19" s="7"/>
      <c r="C19" s="43" t="s">
        <v>28</v>
      </c>
      <c r="D19" s="46">
        <f>COUNTA(QA!A3:'QA'!A150)</f>
        <v>124</v>
      </c>
      <c r="E19" s="45">
        <f>COUNTA(QA!G3:'QA'!G148)</f>
        <v>83</v>
      </c>
      <c r="F19" s="41"/>
      <c r="G19" s="183"/>
      <c r="H19" s="184"/>
      <c r="I19" s="185"/>
      <c r="J19" s="169"/>
      <c r="K19" s="170"/>
      <c r="L19" s="28"/>
      <c r="M19" s="42"/>
    </row>
    <row r="20" spans="1:13" s="4" customFormat="1" ht="30" customHeight="1">
      <c r="A20" s="37"/>
      <c r="B20" s="7"/>
      <c r="C20" s="43" t="s">
        <v>29</v>
      </c>
      <c r="D20" s="46">
        <f>COUNTA(_xlfn.UNIQUE(QA!A3:'QA'!A149))</f>
        <v>70</v>
      </c>
      <c r="E20" s="45">
        <f>COUNTA(_xlfn.UNIQUE(QA!G3:'QA'!G149))</f>
        <v>58</v>
      </c>
      <c r="F20" s="38"/>
      <c r="G20" s="183"/>
      <c r="H20" s="184"/>
      <c r="I20" s="185"/>
      <c r="J20" s="169"/>
      <c r="K20" s="170"/>
      <c r="L20" s="28"/>
      <c r="M20" s="39"/>
    </row>
    <row r="21" spans="1:13" s="4" customFormat="1" ht="30" customHeight="1">
      <c r="A21" s="37"/>
      <c r="B21" s="47"/>
      <c r="C21" s="43" t="s">
        <v>30</v>
      </c>
      <c r="D21" s="46">
        <f>COUNTIF(QA!C3:'QA'!C149, "=Paragraph")</f>
        <v>45</v>
      </c>
      <c r="E21" s="45">
        <f>COUNTA(QA!G83:G124)</f>
        <v>28</v>
      </c>
      <c r="F21" s="38"/>
      <c r="G21" s="183"/>
      <c r="H21" s="184"/>
      <c r="I21" s="185"/>
      <c r="J21" s="169"/>
      <c r="K21" s="170"/>
      <c r="L21" s="28"/>
      <c r="M21" s="39"/>
    </row>
    <row r="22" spans="1:13" s="4" customFormat="1" ht="30" customHeight="1">
      <c r="A22" s="37"/>
      <c r="B22" s="47"/>
      <c r="C22" s="43" t="s">
        <v>31</v>
      </c>
      <c r="D22" s="132">
        <f>COUNTA(KeyValue!A3:A48)</f>
        <v>46</v>
      </c>
      <c r="E22" s="45">
        <f>COUNTA(KeyValue!M3:M48)</f>
        <v>24</v>
      </c>
      <c r="F22" s="38"/>
      <c r="G22" s="75"/>
      <c r="H22" s="76"/>
      <c r="I22" s="77"/>
      <c r="J22" s="81"/>
      <c r="K22" s="82"/>
      <c r="L22" s="28"/>
      <c r="M22" s="39"/>
    </row>
    <row r="23" spans="1:13" s="4" customFormat="1" ht="30" customHeight="1">
      <c r="A23" s="37"/>
      <c r="B23" s="47"/>
      <c r="C23" s="43" t="s">
        <v>32</v>
      </c>
      <c r="D23" s="46">
        <f>COUNTIF(QA!C3:'QA'!C149, "=List")</f>
        <v>20</v>
      </c>
      <c r="E23" s="45">
        <f>COUNTA(Lists!G3:G22)</f>
        <v>15</v>
      </c>
      <c r="F23" s="38"/>
      <c r="G23" s="75"/>
      <c r="H23" s="76"/>
      <c r="I23" s="77"/>
      <c r="J23" s="81"/>
      <c r="K23" s="82"/>
      <c r="L23" s="28"/>
      <c r="M23" s="39"/>
    </row>
    <row r="24" spans="1:13" s="3" customFormat="1" ht="30" customHeight="1">
      <c r="A24" s="40"/>
      <c r="B24" s="7"/>
      <c r="C24" s="8" t="s">
        <v>33</v>
      </c>
      <c r="D24" s="48">
        <f>COUNTIF(QA!C3:'QA'!C149, "=Table")</f>
        <v>6</v>
      </c>
      <c r="E24" s="49">
        <f>COUNTA(Table!G3:G8)</f>
        <v>6</v>
      </c>
      <c r="F24" s="41"/>
      <c r="G24" s="171"/>
      <c r="H24" s="172"/>
      <c r="I24" s="173"/>
      <c r="J24" s="169"/>
      <c r="K24" s="170"/>
      <c r="L24" s="28"/>
      <c r="M24" s="42"/>
    </row>
    <row r="25" spans="1:13" s="3" customFormat="1" ht="30" customHeight="1">
      <c r="A25" s="40"/>
      <c r="B25" s="47"/>
      <c r="C25" s="43" t="s">
        <v>34</v>
      </c>
      <c r="D25" s="46">
        <f>COUNTIF(QA!C3:'QA'!C49, "=MultiTable")</f>
        <v>0</v>
      </c>
      <c r="E25" s="45">
        <v>0</v>
      </c>
      <c r="F25" s="41"/>
      <c r="G25" s="78"/>
      <c r="H25" s="79"/>
      <c r="I25" s="80"/>
      <c r="J25" s="81"/>
      <c r="K25" s="82"/>
      <c r="L25" s="28"/>
      <c r="M25" s="42"/>
    </row>
    <row r="26" spans="1:13" s="3" customFormat="1" ht="30" customHeight="1">
      <c r="A26" s="40"/>
      <c r="B26" s="47"/>
      <c r="C26" s="43" t="s">
        <v>35</v>
      </c>
      <c r="D26" s="46">
        <f>COUNTIF(QA!C3:'QA'!C49, "=Figure")</f>
        <v>0</v>
      </c>
      <c r="E26" s="45">
        <v>0</v>
      </c>
      <c r="F26" s="41"/>
      <c r="G26" s="183"/>
      <c r="H26" s="184"/>
      <c r="I26" s="185"/>
      <c r="J26" s="169"/>
      <c r="K26" s="170"/>
      <c r="L26" s="28"/>
      <c r="M26" s="42"/>
    </row>
    <row r="27" spans="1:13" s="3" customFormat="1" ht="30" customHeight="1">
      <c r="A27" s="50"/>
      <c r="B27" s="41"/>
      <c r="C27" s="41"/>
      <c r="D27" s="51"/>
      <c r="E27" s="41"/>
      <c r="F27" s="41"/>
      <c r="G27" s="41"/>
      <c r="H27" s="41"/>
      <c r="I27" s="41"/>
      <c r="J27" s="41"/>
      <c r="K27" s="41"/>
      <c r="L27" s="41"/>
      <c r="M27" s="42"/>
    </row>
    <row r="28" spans="1:13" s="4" customFormat="1" ht="46.2" customHeight="1">
      <c r="A28" s="37"/>
      <c r="B28" s="141" t="s">
        <v>36</v>
      </c>
      <c r="C28" s="141"/>
      <c r="D28" s="141"/>
      <c r="E28" s="141"/>
      <c r="F28" s="38"/>
      <c r="G28" s="38"/>
      <c r="H28" s="38"/>
      <c r="I28" s="38"/>
      <c r="J28" s="38"/>
      <c r="K28" s="38"/>
      <c r="L28" s="38"/>
      <c r="M28" s="39"/>
    </row>
    <row r="29" spans="1:13" s="3" customFormat="1" ht="30" hidden="1" customHeight="1">
      <c r="A29" s="40"/>
      <c r="B29" s="52" t="s">
        <v>22</v>
      </c>
      <c r="C29" s="53" t="s">
        <v>23</v>
      </c>
      <c r="D29" s="6" t="s">
        <v>24</v>
      </c>
      <c r="E29" s="54" t="s">
        <v>25</v>
      </c>
      <c r="F29" s="41"/>
      <c r="G29" s="41"/>
      <c r="H29" s="41"/>
      <c r="I29" s="41"/>
      <c r="J29" s="41"/>
      <c r="K29" s="41"/>
      <c r="L29" s="41"/>
      <c r="M29" s="42"/>
    </row>
    <row r="30" spans="1:13" s="3" customFormat="1" ht="39.75" customHeight="1">
      <c r="A30" s="40"/>
      <c r="B30" s="55"/>
      <c r="C30" s="56" t="s">
        <v>37</v>
      </c>
      <c r="D30" s="57">
        <f>COUNTA(Lists!A3:A39)</f>
        <v>17</v>
      </c>
      <c r="E30" s="58" t="s">
        <v>38</v>
      </c>
      <c r="F30" s="41"/>
      <c r="G30" s="135" t="s">
        <v>11</v>
      </c>
      <c r="H30" s="138"/>
      <c r="I30" s="139"/>
      <c r="J30" s="139"/>
      <c r="K30" s="139"/>
      <c r="L30" s="140"/>
      <c r="M30" s="42"/>
    </row>
    <row r="31" spans="1:13" s="3" customFormat="1" ht="39.75" customHeight="1">
      <c r="A31" s="50"/>
      <c r="B31" s="55"/>
      <c r="C31" s="56" t="s">
        <v>39</v>
      </c>
      <c r="D31" s="57">
        <f>COUNTA(Lists!G9:G22)</f>
        <v>10</v>
      </c>
      <c r="E31" s="87">
        <f>D31/D30</f>
        <v>0.58823529411764708</v>
      </c>
      <c r="F31" s="41"/>
      <c r="G31" s="136"/>
      <c r="H31" s="138"/>
      <c r="I31" s="139"/>
      <c r="J31" s="139"/>
      <c r="K31" s="139"/>
      <c r="L31" s="140"/>
      <c r="M31" s="42"/>
    </row>
    <row r="32" spans="1:13" s="3" customFormat="1" ht="39.75" customHeight="1">
      <c r="A32" s="50"/>
      <c r="B32" s="55"/>
      <c r="C32" s="56" t="s">
        <v>40</v>
      </c>
      <c r="D32" s="57">
        <f>COUNTIF(QA!AH56:AH123, "Partial Match")</f>
        <v>4</v>
      </c>
      <c r="E32" s="87">
        <f>D32*100%/D31</f>
        <v>0.4</v>
      </c>
      <c r="F32" s="41"/>
      <c r="G32" s="136"/>
      <c r="H32" s="138"/>
      <c r="I32" s="139"/>
      <c r="J32" s="139"/>
      <c r="K32" s="139"/>
      <c r="L32" s="140"/>
      <c r="M32" s="42"/>
    </row>
    <row r="33" spans="1:14" s="3" customFormat="1" ht="39.75" customHeight="1">
      <c r="A33" s="40"/>
      <c r="B33" s="55"/>
      <c r="C33" s="56" t="s">
        <v>41</v>
      </c>
      <c r="D33" s="57">
        <f>D32</f>
        <v>4</v>
      </c>
      <c r="E33" s="87">
        <f>D33*100%/D32</f>
        <v>1</v>
      </c>
      <c r="F33" s="41"/>
      <c r="G33" s="137"/>
      <c r="H33" s="138"/>
      <c r="I33" s="139"/>
      <c r="J33" s="139"/>
      <c r="K33" s="139"/>
      <c r="L33" s="140"/>
      <c r="M33" s="42"/>
    </row>
    <row r="34" spans="1:14" s="3" customFormat="1" ht="39.75" customHeight="1">
      <c r="A34" s="40"/>
      <c r="B34" s="55"/>
      <c r="C34" s="56"/>
      <c r="D34" s="57"/>
      <c r="E34" s="58"/>
      <c r="F34" s="41"/>
      <c r="G34" s="86"/>
      <c r="H34" s="51"/>
      <c r="I34" s="51"/>
      <c r="J34" s="51"/>
      <c r="K34" s="51"/>
      <c r="L34" s="51"/>
      <c r="M34" s="42"/>
    </row>
    <row r="35" spans="1:14" s="3" customFormat="1" ht="39.75" customHeight="1">
      <c r="A35" s="37"/>
      <c r="B35" s="141" t="s">
        <v>42</v>
      </c>
      <c r="C35" s="141"/>
      <c r="D35" s="141"/>
      <c r="E35" s="141"/>
      <c r="F35" s="38"/>
      <c r="G35" s="38"/>
      <c r="H35" s="38"/>
      <c r="I35" s="38"/>
      <c r="J35" s="38"/>
      <c r="K35" s="38"/>
      <c r="L35" s="38"/>
      <c r="M35" s="39"/>
      <c r="N35" s="4"/>
    </row>
    <row r="36" spans="1:14" s="3" customFormat="1" ht="39.75" customHeight="1">
      <c r="A36" s="40"/>
      <c r="B36" s="52" t="s">
        <v>22</v>
      </c>
      <c r="C36" s="53" t="s">
        <v>23</v>
      </c>
      <c r="D36" s="6" t="s">
        <v>24</v>
      </c>
      <c r="E36" s="54" t="s">
        <v>25</v>
      </c>
      <c r="F36" s="41"/>
      <c r="G36" s="41"/>
      <c r="H36" s="41"/>
      <c r="I36" s="41"/>
      <c r="J36" s="41"/>
      <c r="K36" s="41"/>
      <c r="L36" s="41"/>
      <c r="M36" s="42"/>
    </row>
    <row r="37" spans="1:14" s="3" customFormat="1" ht="39.75" customHeight="1">
      <c r="A37" s="40"/>
      <c r="B37" s="55"/>
      <c r="C37" s="56" t="s">
        <v>43</v>
      </c>
      <c r="D37" s="57">
        <f>COUNTA(Paragraph!A3:'Paragraph'!A500)</f>
        <v>45</v>
      </c>
      <c r="E37" s="58" t="s">
        <v>38</v>
      </c>
      <c r="F37" s="41"/>
      <c r="G37" s="135" t="s">
        <v>11</v>
      </c>
      <c r="H37" s="138"/>
      <c r="I37" s="139"/>
      <c r="J37" s="139"/>
      <c r="K37" s="139"/>
      <c r="L37" s="140"/>
      <c r="M37" s="42"/>
    </row>
    <row r="38" spans="1:14" s="3" customFormat="1" ht="39.75" customHeight="1">
      <c r="A38" s="50"/>
      <c r="B38" s="55"/>
      <c r="C38" s="56" t="s">
        <v>44</v>
      </c>
      <c r="D38" s="57">
        <f>COUNTA(Paragraph!G3:'Paragraph'!G500)</f>
        <v>45</v>
      </c>
      <c r="E38" s="87">
        <f>Table685[[#This Row],[Column3]]/D37</f>
        <v>1</v>
      </c>
      <c r="F38" s="41"/>
      <c r="G38" s="136"/>
      <c r="H38" s="138"/>
      <c r="I38" s="139"/>
      <c r="J38" s="139"/>
      <c r="K38" s="139"/>
      <c r="L38" s="140"/>
      <c r="M38" s="42"/>
    </row>
    <row r="39" spans="1:14" s="3" customFormat="1" ht="39.75" customHeight="1">
      <c r="A39" s="50"/>
      <c r="B39" s="55"/>
      <c r="C39" s="56" t="s">
        <v>45</v>
      </c>
      <c r="D39" s="57">
        <f>COUNTIF(QA!AM4:AM124,"Partial Match")</f>
        <v>4</v>
      </c>
      <c r="E39" s="87">
        <f>Table685[[#This Row],[Column3]]/D38</f>
        <v>8.8888888888888892E-2</v>
      </c>
      <c r="F39" s="41"/>
      <c r="G39" s="136"/>
      <c r="H39" s="138"/>
      <c r="I39" s="139"/>
      <c r="J39" s="139"/>
      <c r="K39" s="139"/>
      <c r="L39" s="140"/>
      <c r="M39" s="42"/>
    </row>
    <row r="40" spans="1:14" s="3" customFormat="1" ht="39.75" customHeight="1">
      <c r="A40" s="40"/>
      <c r="B40" s="55"/>
      <c r="C40" s="56" t="s">
        <v>46</v>
      </c>
      <c r="D40" s="57">
        <f>D39</f>
        <v>4</v>
      </c>
      <c r="E40" s="87">
        <f>Table685[[#This Row],[Column3]]/D39</f>
        <v>1</v>
      </c>
      <c r="F40" s="41"/>
      <c r="G40" s="137"/>
      <c r="H40" s="138"/>
      <c r="I40" s="139"/>
      <c r="J40" s="139"/>
      <c r="K40" s="139"/>
      <c r="L40" s="140"/>
      <c r="M40" s="42"/>
    </row>
    <row r="41" spans="1:14" s="3" customFormat="1" ht="39.75" customHeight="1">
      <c r="A41" s="40"/>
      <c r="B41" s="55"/>
      <c r="C41" s="56"/>
      <c r="D41" s="57"/>
      <c r="E41" s="58"/>
      <c r="F41" s="41"/>
      <c r="G41" s="86"/>
      <c r="H41" s="51"/>
      <c r="I41" s="51"/>
      <c r="J41" s="51"/>
      <c r="K41" s="51"/>
      <c r="L41" s="51"/>
      <c r="M41" s="42"/>
    </row>
    <row r="42" spans="1:14" s="3" customFormat="1" ht="39.75" customHeight="1">
      <c r="A42" s="37"/>
      <c r="B42" s="141" t="s">
        <v>47</v>
      </c>
      <c r="C42" s="141"/>
      <c r="D42" s="141"/>
      <c r="E42" s="141"/>
      <c r="F42" s="38"/>
      <c r="G42" s="38"/>
      <c r="H42" s="38"/>
      <c r="I42" s="38"/>
      <c r="J42" s="38"/>
      <c r="K42" s="38"/>
      <c r="L42" s="38"/>
      <c r="M42" s="39"/>
      <c r="N42" s="4"/>
    </row>
    <row r="43" spans="1:14" s="3" customFormat="1" ht="39.75" customHeight="1">
      <c r="A43" s="40"/>
      <c r="B43" s="52" t="s">
        <v>22</v>
      </c>
      <c r="C43" s="53" t="s">
        <v>23</v>
      </c>
      <c r="D43" s="6" t="s">
        <v>24</v>
      </c>
      <c r="E43" s="54" t="s">
        <v>25</v>
      </c>
      <c r="F43" s="41"/>
      <c r="G43" s="41"/>
      <c r="H43" s="41"/>
      <c r="I43" s="41"/>
      <c r="J43" s="41"/>
      <c r="K43" s="41"/>
      <c r="L43" s="41"/>
      <c r="M43" s="42"/>
    </row>
    <row r="44" spans="1:14" s="3" customFormat="1" ht="39.75" customHeight="1">
      <c r="A44" s="40"/>
      <c r="B44" s="55"/>
      <c r="C44" s="56" t="s">
        <v>48</v>
      </c>
      <c r="D44" s="57">
        <f>COUNTA(KeyValue!A3:A48)</f>
        <v>46</v>
      </c>
      <c r="E44" s="58" t="s">
        <v>38</v>
      </c>
      <c r="F44" s="41"/>
      <c r="G44" s="135" t="s">
        <v>11</v>
      </c>
      <c r="H44" s="138"/>
      <c r="I44" s="139"/>
      <c r="J44" s="139"/>
      <c r="K44" s="139"/>
      <c r="L44" s="140"/>
      <c r="M44" s="42"/>
    </row>
    <row r="45" spans="1:14" s="3" customFormat="1" ht="39.75" customHeight="1">
      <c r="A45" s="50"/>
      <c r="B45" s="55"/>
      <c r="C45" s="56" t="s">
        <v>49</v>
      </c>
      <c r="D45" s="57">
        <f>COUNTA(KeyValue!G3:G48)</f>
        <v>46</v>
      </c>
      <c r="E45" s="87">
        <f>Table687[[#This Row],[Column3]]/D44</f>
        <v>1</v>
      </c>
      <c r="F45" s="41"/>
      <c r="G45" s="136"/>
      <c r="H45" s="138"/>
      <c r="I45" s="139"/>
      <c r="J45" s="139"/>
      <c r="K45" s="139"/>
      <c r="L45" s="140"/>
      <c r="M45" s="42"/>
    </row>
    <row r="46" spans="1:14" s="3" customFormat="1" ht="39.75" customHeight="1">
      <c r="A46" s="50"/>
      <c r="B46" s="55"/>
      <c r="C46" s="56" t="s">
        <v>50</v>
      </c>
      <c r="D46" s="57">
        <f>COUNTIF(QA!AP3:AP108, "Match")</f>
        <v>19</v>
      </c>
      <c r="E46" s="87">
        <f>Table687[[#This Row],[Column3]]/D45</f>
        <v>0.41304347826086957</v>
      </c>
      <c r="F46" s="41"/>
      <c r="G46" s="136"/>
      <c r="H46" s="138"/>
      <c r="I46" s="139"/>
      <c r="J46" s="139"/>
      <c r="K46" s="139"/>
      <c r="L46" s="140"/>
      <c r="M46" s="42"/>
    </row>
    <row r="47" spans="1:14" s="3" customFormat="1" ht="39.75" customHeight="1">
      <c r="A47" s="40"/>
      <c r="B47" s="55"/>
      <c r="C47" s="56" t="s">
        <v>51</v>
      </c>
      <c r="D47" s="57">
        <f>D46</f>
        <v>19</v>
      </c>
      <c r="E47" s="87">
        <f>Table687[[#This Row],[Column3]]/D46</f>
        <v>1</v>
      </c>
      <c r="F47" s="41"/>
      <c r="G47" s="137"/>
      <c r="H47" s="138"/>
      <c r="I47" s="139"/>
      <c r="J47" s="139"/>
      <c r="K47" s="139"/>
      <c r="L47" s="140"/>
      <c r="M47" s="42"/>
    </row>
    <row r="48" spans="1:14" s="3" customFormat="1" ht="30" customHeight="1">
      <c r="A48" s="50"/>
      <c r="B48" s="41"/>
      <c r="C48" s="41"/>
      <c r="D48" s="51"/>
      <c r="E48" s="41"/>
      <c r="F48" s="41"/>
      <c r="G48" s="41"/>
      <c r="H48" s="41"/>
      <c r="I48" s="41"/>
      <c r="J48" s="41"/>
      <c r="K48" s="41"/>
      <c r="L48" s="41"/>
      <c r="M48" s="42"/>
    </row>
    <row r="49" spans="1:14" s="4" customFormat="1" ht="46.2" customHeight="1">
      <c r="A49" s="37"/>
      <c r="B49" s="141" t="s">
        <v>52</v>
      </c>
      <c r="C49" s="141"/>
      <c r="D49" s="141"/>
      <c r="E49" s="141"/>
      <c r="F49" s="38"/>
      <c r="G49" s="38"/>
      <c r="H49" s="38"/>
      <c r="I49" s="38"/>
      <c r="J49" s="38"/>
      <c r="K49" s="38"/>
      <c r="L49" s="38"/>
      <c r="M49" s="39"/>
    </row>
    <row r="50" spans="1:14" s="3" customFormat="1" ht="30" hidden="1" customHeight="1">
      <c r="A50" s="40"/>
      <c r="B50" s="52" t="s">
        <v>22</v>
      </c>
      <c r="C50" s="53" t="s">
        <v>23</v>
      </c>
      <c r="D50" s="6" t="s">
        <v>24</v>
      </c>
      <c r="E50" s="54" t="s">
        <v>25</v>
      </c>
      <c r="F50" s="41"/>
      <c r="G50" s="41"/>
      <c r="H50" s="41"/>
      <c r="I50" s="41"/>
      <c r="J50" s="41"/>
      <c r="K50" s="41"/>
      <c r="L50" s="41"/>
      <c r="M50" s="42"/>
    </row>
    <row r="51" spans="1:14" s="3" customFormat="1" ht="39" customHeight="1">
      <c r="A51" s="40"/>
      <c r="B51" s="55"/>
      <c r="C51" s="56" t="s">
        <v>53</v>
      </c>
      <c r="D51" s="57">
        <f>COUNTA(Table!A3:'Table'!A500)</f>
        <v>6</v>
      </c>
      <c r="E51" s="58" t="s">
        <v>38</v>
      </c>
      <c r="F51" s="41"/>
      <c r="G51" s="156" t="s">
        <v>11</v>
      </c>
      <c r="H51" s="153"/>
      <c r="I51" s="153"/>
      <c r="J51" s="153"/>
      <c r="K51" s="153"/>
      <c r="L51" s="153"/>
      <c r="M51" s="42"/>
    </row>
    <row r="52" spans="1:14" s="3" customFormat="1" ht="39" customHeight="1">
      <c r="A52" s="50"/>
      <c r="B52" s="55"/>
      <c r="C52" s="56" t="s">
        <v>54</v>
      </c>
      <c r="D52" s="57">
        <f>COUNTA(Table!G3:'Table'!G500)</f>
        <v>6</v>
      </c>
      <c r="E52" s="87">
        <f>D52/D51</f>
        <v>1</v>
      </c>
      <c r="F52" s="41"/>
      <c r="G52" s="157"/>
      <c r="H52" s="176"/>
      <c r="I52" s="176"/>
      <c r="J52" s="176"/>
      <c r="K52" s="176"/>
      <c r="L52" s="177"/>
      <c r="M52" s="42"/>
    </row>
    <row r="53" spans="1:14" s="3" customFormat="1" ht="39" customHeight="1">
      <c r="A53" s="50"/>
      <c r="B53" s="55"/>
      <c r="C53" s="56" t="s">
        <v>55</v>
      </c>
      <c r="D53" s="57">
        <f>COUNTIF(QA!Z17:Z45, "Match")</f>
        <v>0</v>
      </c>
      <c r="E53" s="87">
        <f>D53/D52</f>
        <v>0</v>
      </c>
      <c r="F53" s="41"/>
      <c r="G53" s="157"/>
      <c r="H53" s="178"/>
      <c r="I53" s="178"/>
      <c r="J53" s="178"/>
      <c r="K53" s="178"/>
      <c r="L53" s="179"/>
      <c r="M53" s="42"/>
    </row>
    <row r="54" spans="1:14" s="3" customFormat="1" ht="39" customHeight="1">
      <c r="A54" s="40"/>
      <c r="B54" s="55"/>
      <c r="C54" s="56" t="s">
        <v>56</v>
      </c>
      <c r="D54" s="57">
        <f>D53</f>
        <v>0</v>
      </c>
      <c r="E54" s="87" t="e">
        <f>D54/D53</f>
        <v>#DIV/0!</v>
      </c>
      <c r="F54" s="41"/>
      <c r="G54" s="157"/>
      <c r="H54" s="178"/>
      <c r="I54" s="178"/>
      <c r="J54" s="178"/>
      <c r="K54" s="178"/>
      <c r="L54" s="179"/>
      <c r="M54" s="42"/>
    </row>
    <row r="55" spans="1:14" s="3" customFormat="1" ht="30" customHeight="1">
      <c r="A55" s="50"/>
      <c r="B55" s="41"/>
      <c r="C55" s="41"/>
      <c r="D55" s="51"/>
      <c r="E55" s="41"/>
      <c r="F55" s="41"/>
      <c r="G55" s="41"/>
      <c r="H55" s="41"/>
      <c r="I55" s="41"/>
      <c r="J55" s="41"/>
      <c r="K55" s="41"/>
      <c r="L55" s="41"/>
      <c r="M55" s="42"/>
    </row>
    <row r="56" spans="1:14" s="3" customFormat="1" ht="30" customHeight="1">
      <c r="A56" s="37"/>
      <c r="B56" s="141" t="s">
        <v>57</v>
      </c>
      <c r="C56" s="141"/>
      <c r="D56" s="141"/>
      <c r="E56" s="141"/>
      <c r="F56" s="38"/>
      <c r="G56" s="38"/>
      <c r="H56" s="38"/>
      <c r="I56" s="38"/>
      <c r="J56" s="38"/>
      <c r="K56" s="38"/>
      <c r="L56" s="38"/>
      <c r="M56" s="39"/>
      <c r="N56" s="4"/>
    </row>
    <row r="57" spans="1:14" s="3" customFormat="1" ht="30" customHeight="1">
      <c r="A57" s="40"/>
      <c r="B57" s="52" t="s">
        <v>22</v>
      </c>
      <c r="C57" s="53" t="s">
        <v>23</v>
      </c>
      <c r="D57" s="6" t="s">
        <v>24</v>
      </c>
      <c r="E57" s="54" t="s">
        <v>25</v>
      </c>
      <c r="F57" s="41"/>
      <c r="G57" s="41"/>
      <c r="H57" s="41"/>
      <c r="I57" s="41"/>
      <c r="J57" s="41"/>
      <c r="K57" s="41"/>
      <c r="L57" s="41"/>
      <c r="M57" s="42"/>
    </row>
    <row r="58" spans="1:14" s="3" customFormat="1" ht="30" customHeight="1">
      <c r="A58" s="40"/>
      <c r="B58" s="55"/>
      <c r="C58" s="56" t="s">
        <v>53</v>
      </c>
      <c r="D58" s="57">
        <v>0</v>
      </c>
      <c r="E58" s="58" t="s">
        <v>38</v>
      </c>
      <c r="F58" s="41"/>
      <c r="G58" s="156" t="s">
        <v>11</v>
      </c>
      <c r="H58" s="153"/>
      <c r="I58" s="153"/>
      <c r="J58" s="153"/>
      <c r="K58" s="153"/>
      <c r="L58" s="153"/>
      <c r="M58" s="42"/>
    </row>
    <row r="59" spans="1:14" s="3" customFormat="1" ht="30" customHeight="1">
      <c r="A59" s="50"/>
      <c r="B59" s="55"/>
      <c r="C59" s="56" t="s">
        <v>54</v>
      </c>
      <c r="D59" s="57">
        <v>0</v>
      </c>
      <c r="E59" s="58"/>
      <c r="F59" s="41"/>
      <c r="G59" s="157"/>
      <c r="H59" s="176"/>
      <c r="I59" s="176"/>
      <c r="J59" s="176"/>
      <c r="K59" s="176"/>
      <c r="L59" s="177"/>
      <c r="M59" s="42"/>
    </row>
    <row r="60" spans="1:14" s="3" customFormat="1" ht="30" customHeight="1">
      <c r="A60" s="50"/>
      <c r="B60" s="55"/>
      <c r="C60" s="56" t="s">
        <v>55</v>
      </c>
      <c r="D60" s="57">
        <v>0</v>
      </c>
      <c r="E60" s="58"/>
      <c r="F60" s="41"/>
      <c r="G60" s="157"/>
      <c r="H60" s="178"/>
      <c r="I60" s="178"/>
      <c r="J60" s="178"/>
      <c r="K60" s="178"/>
      <c r="L60" s="179"/>
      <c r="M60" s="42"/>
    </row>
    <row r="61" spans="1:14" s="3" customFormat="1" ht="30" customHeight="1">
      <c r="A61" s="40"/>
      <c r="B61" s="55"/>
      <c r="C61" s="56" t="s">
        <v>56</v>
      </c>
      <c r="D61" s="57">
        <v>0</v>
      </c>
      <c r="E61" s="58"/>
      <c r="F61" s="41"/>
      <c r="G61" s="157"/>
      <c r="H61" s="178"/>
      <c r="I61" s="178"/>
      <c r="J61" s="178"/>
      <c r="K61" s="178"/>
      <c r="L61" s="179"/>
      <c r="M61" s="42"/>
    </row>
    <row r="62" spans="1:14" s="3" customFormat="1" ht="30" customHeight="1">
      <c r="A62" s="50"/>
      <c r="B62" s="41"/>
      <c r="C62" s="41"/>
      <c r="D62" s="51"/>
      <c r="E62" s="41"/>
      <c r="F62" s="41"/>
      <c r="G62" s="41"/>
      <c r="H62" s="41"/>
      <c r="I62" s="41"/>
      <c r="J62" s="41"/>
      <c r="K62" s="41"/>
      <c r="L62" s="41"/>
      <c r="M62" s="42"/>
    </row>
    <row r="63" spans="1:14" s="4" customFormat="1" ht="46.2" customHeight="1">
      <c r="A63" s="37"/>
      <c r="B63" s="141" t="s">
        <v>58</v>
      </c>
      <c r="C63" s="141"/>
      <c r="D63" s="141"/>
      <c r="E63" s="141"/>
      <c r="F63" s="38"/>
      <c r="G63" s="38"/>
      <c r="H63" s="38"/>
      <c r="I63" s="38"/>
      <c r="J63" s="38"/>
      <c r="K63" s="38"/>
      <c r="L63" s="38"/>
      <c r="M63" s="39"/>
    </row>
    <row r="64" spans="1:14" s="3" customFormat="1" ht="30" hidden="1" customHeight="1">
      <c r="A64" s="40"/>
      <c r="B64" s="52" t="s">
        <v>22</v>
      </c>
      <c r="C64" s="53" t="s">
        <v>23</v>
      </c>
      <c r="D64" s="6" t="s">
        <v>24</v>
      </c>
      <c r="E64" s="54" t="s">
        <v>25</v>
      </c>
      <c r="F64" s="41"/>
      <c r="G64" s="41"/>
      <c r="H64" s="41"/>
      <c r="I64" s="41"/>
      <c r="J64" s="41"/>
      <c r="K64" s="41"/>
      <c r="L64" s="41"/>
      <c r="M64" s="42"/>
    </row>
    <row r="65" spans="1:13" s="3" customFormat="1" ht="34.5" customHeight="1">
      <c r="A65" s="40"/>
      <c r="B65" s="55"/>
      <c r="C65" s="56" t="s">
        <v>53</v>
      </c>
      <c r="D65" s="57">
        <v>0</v>
      </c>
      <c r="E65" s="58" t="s">
        <v>38</v>
      </c>
      <c r="F65" s="41"/>
      <c r="G65" s="156" t="s">
        <v>11</v>
      </c>
      <c r="H65" s="153"/>
      <c r="I65" s="153"/>
      <c r="J65" s="153"/>
      <c r="K65" s="153"/>
      <c r="L65" s="153"/>
      <c r="M65" s="42"/>
    </row>
    <row r="66" spans="1:13" s="3" customFormat="1" ht="34.5" customHeight="1">
      <c r="A66" s="50"/>
      <c r="B66" s="55"/>
      <c r="C66" s="56" t="s">
        <v>54</v>
      </c>
      <c r="D66" s="57">
        <v>0</v>
      </c>
      <c r="E66" s="58"/>
      <c r="F66" s="41"/>
      <c r="G66" s="157"/>
      <c r="H66" s="154"/>
      <c r="I66" s="155"/>
      <c r="J66" s="155"/>
      <c r="K66" s="155"/>
      <c r="L66" s="155"/>
      <c r="M66" s="42"/>
    </row>
    <row r="67" spans="1:13" s="3" customFormat="1" ht="34.5" customHeight="1">
      <c r="A67" s="50"/>
      <c r="B67" s="55"/>
      <c r="C67" s="56" t="s">
        <v>55</v>
      </c>
      <c r="D67" s="57">
        <v>0</v>
      </c>
      <c r="E67" s="58"/>
      <c r="F67" s="41"/>
      <c r="G67" s="157"/>
      <c r="H67" s="140"/>
      <c r="I67" s="153"/>
      <c r="J67" s="153"/>
      <c r="K67" s="153"/>
      <c r="L67" s="153"/>
      <c r="M67" s="42"/>
    </row>
    <row r="68" spans="1:13" s="3" customFormat="1" ht="34.5" customHeight="1">
      <c r="A68" s="40"/>
      <c r="B68" s="55"/>
      <c r="C68" s="56" t="s">
        <v>56</v>
      </c>
      <c r="D68" s="57">
        <v>0</v>
      </c>
      <c r="E68" s="58"/>
      <c r="F68" s="41"/>
      <c r="G68" s="157"/>
      <c r="H68" s="140"/>
      <c r="I68" s="153"/>
      <c r="J68" s="153"/>
      <c r="K68" s="153"/>
      <c r="L68" s="153"/>
      <c r="M68" s="42"/>
    </row>
    <row r="69" spans="1:13" ht="15">
      <c r="A69" s="50"/>
      <c r="B69" s="51"/>
      <c r="C69" s="51"/>
      <c r="D69" s="59"/>
      <c r="E69" s="59"/>
      <c r="F69" s="51"/>
      <c r="G69" s="51"/>
      <c r="H69" s="51"/>
      <c r="I69" s="51"/>
      <c r="J69" s="51"/>
      <c r="K69" s="51"/>
      <c r="L69" s="51"/>
      <c r="M69" s="60"/>
    </row>
    <row r="70" spans="1:13" ht="15">
      <c r="A70" s="61"/>
      <c r="B70" s="62"/>
      <c r="C70" s="62"/>
      <c r="D70" s="63"/>
      <c r="E70" s="63"/>
      <c r="F70" s="62"/>
      <c r="G70" s="62"/>
      <c r="H70" s="62"/>
      <c r="I70" s="62"/>
      <c r="J70" s="62"/>
      <c r="K70" s="62"/>
      <c r="L70" s="62"/>
      <c r="M70" s="64"/>
    </row>
    <row r="71" spans="1:13" ht="15"/>
    <row r="72" spans="1:13" ht="15"/>
    <row r="73" spans="1:13" ht="15"/>
    <row r="74" spans="1:13" ht="15"/>
    <row r="75" spans="1:13" ht="15"/>
    <row r="76" spans="1:13" ht="15"/>
    <row r="77" spans="1:13" ht="15"/>
    <row r="78" spans="1:13" ht="15"/>
  </sheetData>
  <mergeCells count="73">
    <mergeCell ref="G14:H14"/>
    <mergeCell ref="I14:J14"/>
    <mergeCell ref="K14:L14"/>
    <mergeCell ref="B56:E56"/>
    <mergeCell ref="G58:G61"/>
    <mergeCell ref="H58:L58"/>
    <mergeCell ref="H59:L59"/>
    <mergeCell ref="H60:L60"/>
    <mergeCell ref="H61:L61"/>
    <mergeCell ref="G16:L16"/>
    <mergeCell ref="G18:I18"/>
    <mergeCell ref="G19:I19"/>
    <mergeCell ref="G20:I20"/>
    <mergeCell ref="G21:I21"/>
    <mergeCell ref="B35:E35"/>
    <mergeCell ref="G37:G40"/>
    <mergeCell ref="B63:E63"/>
    <mergeCell ref="G7:I7"/>
    <mergeCell ref="G6:I6"/>
    <mergeCell ref="H52:L52"/>
    <mergeCell ref="H53:L53"/>
    <mergeCell ref="H54:L54"/>
    <mergeCell ref="G30:G33"/>
    <mergeCell ref="H30:L30"/>
    <mergeCell ref="G51:G54"/>
    <mergeCell ref="H51:L51"/>
    <mergeCell ref="J24:K24"/>
    <mergeCell ref="J26:K26"/>
    <mergeCell ref="H31:L31"/>
    <mergeCell ref="G8:I8"/>
    <mergeCell ref="J8:L8"/>
    <mergeCell ref="G26:I26"/>
    <mergeCell ref="B2:L2"/>
    <mergeCell ref="J6:L6"/>
    <mergeCell ref="J5:L5"/>
    <mergeCell ref="B28:E28"/>
    <mergeCell ref="B49:E49"/>
    <mergeCell ref="G4:I4"/>
    <mergeCell ref="J4:L4"/>
    <mergeCell ref="B16:E16"/>
    <mergeCell ref="J18:K18"/>
    <mergeCell ref="J19:K19"/>
    <mergeCell ref="J20:K20"/>
    <mergeCell ref="J21:K21"/>
    <mergeCell ref="G24:I24"/>
    <mergeCell ref="G5:I5"/>
    <mergeCell ref="H32:L32"/>
    <mergeCell ref="H33:L33"/>
    <mergeCell ref="H68:L68"/>
    <mergeCell ref="H67:L67"/>
    <mergeCell ref="H66:L66"/>
    <mergeCell ref="G65:G68"/>
    <mergeCell ref="H65:L65"/>
    <mergeCell ref="J7:L7"/>
    <mergeCell ref="I13:J13"/>
    <mergeCell ref="K13:L13"/>
    <mergeCell ref="K12:L12"/>
    <mergeCell ref="I12:J12"/>
    <mergeCell ref="C8:C9"/>
    <mergeCell ref="D8:E8"/>
    <mergeCell ref="D9:E9"/>
    <mergeCell ref="G13:H13"/>
    <mergeCell ref="G12:H12"/>
    <mergeCell ref="H37:L37"/>
    <mergeCell ref="H38:L38"/>
    <mergeCell ref="H39:L39"/>
    <mergeCell ref="H40:L40"/>
    <mergeCell ref="B42:E42"/>
    <mergeCell ref="G44:G47"/>
    <mergeCell ref="H44:L44"/>
    <mergeCell ref="H45:L45"/>
    <mergeCell ref="H46:L46"/>
    <mergeCell ref="H47:L47"/>
  </mergeCells>
  <dataValidations count="2">
    <dataValidation allowBlank="1" showInputMessage="1" showErrorMessage="1" prompt="Enter average travel data in cells C6 to E9." sqref="B16:E16 G16" xr:uid="{293336D8-1D56-4469-9A1C-FF10F5012F93}"/>
    <dataValidation allowBlank="1" showInputMessage="1" showErrorMessage="1" prompt="How much would you pay to save time?_x000a__x000a_Enter cost of your time in cell D13." sqref="B63:E63 B28:E28 B56:E56 B35:E35 B42:E42 B49:E49" xr:uid="{0A7A7055-A453-49F5-8BD7-5A8828B88BB6}"/>
  </dataValidations>
  <pageMargins left="0.7" right="0.7" top="0.75" bottom="0.75" header="0.3" footer="0.3"/>
  <pageSetup scale="86" orientation="landscape" horizontalDpi="4294967293" verticalDpi="0" r:id="rId1"/>
  <tableParts count="7">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10BF-2B65-4588-AB34-2675E68E1BE6}">
  <dimension ref="A1:AS503"/>
  <sheetViews>
    <sheetView topLeftCell="AD1" workbookViewId="0">
      <selection activeCell="AM4" sqref="AM4"/>
    </sheetView>
  </sheetViews>
  <sheetFormatPr defaultColWidth="9" defaultRowHeight="12.9"/>
  <cols>
    <col min="1" max="1" width="27" style="107" customWidth="1"/>
    <col min="2" max="2" width="19.2109375" style="107" customWidth="1"/>
    <col min="3" max="3" width="15.2109375" style="107" customWidth="1"/>
    <col min="4" max="4" width="55.2109375" style="107" customWidth="1"/>
    <col min="5" max="5" width="27" style="107" customWidth="1"/>
    <col min="6" max="6" width="27.140625" style="107" customWidth="1"/>
    <col min="7" max="7" width="53" style="106" customWidth="1"/>
    <col min="8" max="8" width="27.35546875" style="107" customWidth="1"/>
    <col min="9" max="9" width="27.85546875" style="107" customWidth="1"/>
    <col min="10" max="10" width="20.2109375" style="108" customWidth="1"/>
    <col min="11" max="11" width="14" style="109" customWidth="1"/>
    <col min="12" max="12" width="24.640625" style="97" customWidth="1"/>
    <col min="13" max="13" width="9" style="98" customWidth="1"/>
    <col min="14" max="14" width="9" style="97" customWidth="1"/>
    <col min="15" max="15" width="16" style="98" customWidth="1"/>
    <col min="16" max="17" width="9" style="96" customWidth="1"/>
    <col min="18" max="18" width="11.640625" style="131" customWidth="1"/>
    <col min="19" max="19" width="14.85546875" style="131" customWidth="1"/>
    <col min="20" max="20" width="20.640625" style="131" customWidth="1"/>
    <col min="21" max="21" width="14" style="131" customWidth="1"/>
    <col min="22" max="22" width="14.5" style="131" customWidth="1"/>
    <col min="23" max="23" width="14.640625" style="131" customWidth="1"/>
    <col min="24" max="28" width="13.5" style="131" customWidth="1"/>
    <col min="29" max="29" width="9" style="96" customWidth="1"/>
    <col min="30" max="30" width="15.140625" style="131" customWidth="1"/>
    <col min="31" max="32" width="13.2109375" style="131" customWidth="1"/>
    <col min="33" max="33" width="9" style="131" customWidth="1"/>
    <col min="34" max="34" width="9" style="96" customWidth="1"/>
    <col min="35" max="35" width="13" style="96" customWidth="1"/>
    <col min="36" max="36" width="15.640625" style="96" customWidth="1"/>
    <col min="37" max="37" width="14.85546875" style="131" customWidth="1"/>
    <col min="38" max="38" width="18.35546875" style="131" customWidth="1"/>
    <col min="39" max="39" width="18.2109375" style="131" customWidth="1"/>
    <col min="40" max="40" width="9" style="131"/>
    <col min="41" max="41" width="14.5" style="131" customWidth="1"/>
    <col min="42" max="45" width="9" style="131"/>
    <col min="46" max="16384" width="9" style="96"/>
  </cols>
  <sheetData>
    <row r="1" spans="1:45" s="116" customFormat="1" ht="12.75" customHeight="1">
      <c r="A1" s="110"/>
      <c r="B1" s="110"/>
      <c r="C1" s="111"/>
      <c r="D1" s="110"/>
      <c r="E1" s="110"/>
      <c r="F1" s="110"/>
      <c r="G1" s="101"/>
      <c r="H1" s="110"/>
      <c r="I1" s="110"/>
      <c r="J1" s="112"/>
      <c r="K1" s="113"/>
      <c r="L1" s="114"/>
      <c r="M1" s="115"/>
      <c r="N1" s="114"/>
      <c r="O1" s="115"/>
      <c r="R1" s="192" t="s">
        <v>59</v>
      </c>
      <c r="S1" s="192"/>
      <c r="T1" s="192"/>
      <c r="U1" s="192"/>
      <c r="V1" s="192"/>
      <c r="W1" s="192"/>
      <c r="X1" s="192"/>
      <c r="Y1" s="192"/>
      <c r="Z1" s="192"/>
      <c r="AA1" s="129"/>
      <c r="AB1" s="129"/>
      <c r="AD1" s="192" t="s">
        <v>60</v>
      </c>
      <c r="AE1" s="192"/>
      <c r="AF1" s="192"/>
      <c r="AG1" s="192"/>
      <c r="AI1" s="193" t="s">
        <v>61</v>
      </c>
      <c r="AJ1" s="193"/>
      <c r="AK1" s="193"/>
      <c r="AL1" s="193"/>
      <c r="AM1" s="193"/>
      <c r="AN1" s="129"/>
      <c r="AO1" s="192" t="s">
        <v>62</v>
      </c>
      <c r="AP1" s="192"/>
      <c r="AQ1" s="129"/>
      <c r="AR1" s="129"/>
      <c r="AS1" s="129"/>
    </row>
    <row r="2" spans="1:45" s="116" customFormat="1">
      <c r="A2" s="102" t="s">
        <v>63</v>
      </c>
      <c r="B2" s="102" t="s">
        <v>22</v>
      </c>
      <c r="C2" s="102" t="s">
        <v>64</v>
      </c>
      <c r="D2" s="102" t="s">
        <v>65</v>
      </c>
      <c r="E2" s="102" t="s">
        <v>66</v>
      </c>
      <c r="F2" s="102" t="s">
        <v>67</v>
      </c>
      <c r="G2" s="103" t="s">
        <v>68</v>
      </c>
      <c r="H2" s="102" t="s">
        <v>69</v>
      </c>
      <c r="I2" s="102" t="s">
        <v>70</v>
      </c>
      <c r="J2" s="102" t="s">
        <v>71</v>
      </c>
      <c r="K2" s="104" t="s">
        <v>72</v>
      </c>
      <c r="L2" s="114"/>
      <c r="M2" s="115"/>
      <c r="N2" s="114"/>
      <c r="O2" s="115"/>
      <c r="R2" s="129" t="s">
        <v>73</v>
      </c>
      <c r="S2" s="129" t="s">
        <v>74</v>
      </c>
      <c r="T2" s="130" t="s">
        <v>75</v>
      </c>
      <c r="U2" s="129" t="s">
        <v>76</v>
      </c>
      <c r="V2" s="129" t="s">
        <v>77</v>
      </c>
      <c r="W2" s="130" t="s">
        <v>78</v>
      </c>
      <c r="X2" s="129" t="s">
        <v>79</v>
      </c>
      <c r="Y2" s="129" t="s">
        <v>71</v>
      </c>
      <c r="Z2" s="129" t="s">
        <v>80</v>
      </c>
      <c r="AA2" s="129"/>
      <c r="AB2" s="129"/>
      <c r="AD2" s="129" t="s">
        <v>81</v>
      </c>
      <c r="AE2" s="129" t="s">
        <v>82</v>
      </c>
      <c r="AF2" s="129" t="s">
        <v>83</v>
      </c>
      <c r="AG2" s="129" t="s">
        <v>84</v>
      </c>
      <c r="AI2" s="116" t="s">
        <v>85</v>
      </c>
      <c r="AJ2" s="116" t="s">
        <v>86</v>
      </c>
      <c r="AK2" s="129" t="s">
        <v>87</v>
      </c>
      <c r="AL2" s="129" t="s">
        <v>88</v>
      </c>
      <c r="AM2" s="129" t="s">
        <v>80</v>
      </c>
      <c r="AN2" s="129"/>
      <c r="AO2" s="129" t="s">
        <v>71</v>
      </c>
      <c r="AP2" s="129" t="s">
        <v>80</v>
      </c>
      <c r="AQ2" s="129"/>
      <c r="AR2" s="129"/>
      <c r="AS2" s="129"/>
    </row>
    <row r="3" spans="1:45" ht="15.45" hidden="1">
      <c r="A3" s="117" t="s">
        <v>89</v>
      </c>
      <c r="B3" s="118"/>
      <c r="C3" s="120" t="s">
        <v>62</v>
      </c>
      <c r="D3" s="122" t="s">
        <v>90</v>
      </c>
      <c r="E3" s="118" t="s">
        <v>16</v>
      </c>
      <c r="F3" s="117" t="s">
        <v>91</v>
      </c>
      <c r="G3" s="117" t="s">
        <v>92</v>
      </c>
      <c r="H3" s="118"/>
      <c r="I3" s="118" t="e" cm="1" vm="1">
        <f t="array" ref="I3">_xldudf_BOARDFLARE_FMATCH(D3,G3)</f>
        <v>#VALUE!</v>
      </c>
      <c r="J3" s="105">
        <f t="shared" ref="J3:J34" si="0">IF(M3&gt;O3, M3,O3)</f>
        <v>0.99</v>
      </c>
      <c r="K3" s="104"/>
      <c r="L3" s="97" t="e" cm="1" vm="2">
        <f t="array" ref="L3">_xldudf_BOARDFLARE_FMATCH(G3,D3)</f>
        <v>#VALUE!</v>
      </c>
      <c r="M3" s="98" cm="1">
        <f t="array" ref="M3">_FV(L3,"Similarity",TRUE)</f>
        <v>0.99</v>
      </c>
      <c r="N3" s="97" t="e" cm="1" vm="1">
        <f t="array" ref="N3">_xldudf_BOARDFLARE_FMATCH(D3,G3)</f>
        <v>#VALUE!</v>
      </c>
      <c r="O3" s="98" cm="1">
        <f t="array" ref="O3">_FV(N3,"Similarity",TRUE)</f>
        <v>0.85</v>
      </c>
      <c r="P3" s="97"/>
      <c r="R3" s="96"/>
      <c r="S3" s="96"/>
      <c r="T3" s="96"/>
      <c r="U3" s="96"/>
      <c r="V3" s="96"/>
      <c r="W3" s="96"/>
      <c r="X3" s="96"/>
      <c r="Y3" s="96"/>
      <c r="Z3" s="96"/>
      <c r="AA3" s="96"/>
      <c r="AB3" s="96"/>
      <c r="AD3" s="96"/>
      <c r="AE3" s="96"/>
      <c r="AF3" s="96"/>
      <c r="AG3" s="96"/>
      <c r="AK3" s="96"/>
      <c r="AL3" s="96"/>
      <c r="AM3" s="96"/>
      <c r="AN3" s="96"/>
      <c r="AO3" s="131" cm="1">
        <f t="array" ref="AO3">MAX(
SUMPRODUCT(--ISNUMBER(MATCH(_xlfn.TEXTSPLIT(LOWER(D3)," "), _xlfn.TEXTSPLIT(LOWER(G3)," "),0))) / COUNTA(_xlfn.TEXTSPLIT(D3," ")),
SUMPRODUCT(--ISNUMBER(SEARCH(LEFT(_xlfn.TEXTSPLIT(LOWER(D3)," "),LEN(_xlfn.TEXTSPLIT(LOWER(D3)," "))-1), LOWER(G3)))) / COUNTA(_xlfn.TEXTSPLIT(D3," "))
)</f>
        <v>1</v>
      </c>
      <c r="AP3" s="131" t="str">
        <f>IF(AO3&gt;=0.8,"Match","No Match")</f>
        <v>Match</v>
      </c>
    </row>
    <row r="4" spans="1:45" ht="15.45">
      <c r="A4" s="117" t="s">
        <v>93</v>
      </c>
      <c r="B4" s="118"/>
      <c r="C4" s="117" t="s">
        <v>61</v>
      </c>
      <c r="D4" s="119" t="s">
        <v>94</v>
      </c>
      <c r="E4" s="118" t="s">
        <v>16</v>
      </c>
      <c r="F4" s="117" t="s">
        <v>95</v>
      </c>
      <c r="G4" s="117" t="s">
        <v>96</v>
      </c>
      <c r="H4" s="118"/>
      <c r="I4" s="118" t="e" cm="1" vm="3">
        <f t="array" ref="I4">_xldudf_BOARDFLARE_FMATCH(D4,G4)</f>
        <v>#VALUE!</v>
      </c>
      <c r="J4" s="105">
        <f t="shared" si="0"/>
        <v>0.61</v>
      </c>
      <c r="K4" s="104"/>
      <c r="L4" s="97" t="e" cm="1" vm="4">
        <f t="array" ref="L4">_xldudf_BOARDFLARE_FMATCH(G4,D4)</f>
        <v>#VALUE!</v>
      </c>
      <c r="M4" s="98" cm="1">
        <f t="array" ref="M4">_FV(L4,"Similarity",TRUE)</f>
        <v>0.61</v>
      </c>
      <c r="N4" s="97" t="e" cm="1" vm="3">
        <f t="array" ref="N4">_xldudf_BOARDFLARE_FMATCH(D4,G4)</f>
        <v>#VALUE!</v>
      </c>
      <c r="O4" s="98" cm="1">
        <f t="array" ref="O4">_FV(N4,"Similarity",TRUE)</f>
        <v>0.6</v>
      </c>
      <c r="P4" s="97"/>
      <c r="R4" s="96"/>
      <c r="S4" s="96"/>
      <c r="T4" s="96"/>
      <c r="U4" s="96"/>
      <c r="V4" s="96"/>
      <c r="W4" s="96"/>
      <c r="X4" s="96"/>
      <c r="Y4" s="96"/>
      <c r="Z4" s="96"/>
      <c r="AA4" s="96"/>
      <c r="AB4" s="96"/>
      <c r="AD4" s="96"/>
      <c r="AE4" s="96"/>
      <c r="AF4" s="96"/>
      <c r="AG4" s="96"/>
      <c r="AI4" s="118" t="s">
        <v>97</v>
      </c>
      <c r="AJ4" s="118" t="s">
        <v>97</v>
      </c>
      <c r="AK4" s="96" cm="1">
        <f t="array" ref="AK4">SUMPRODUCT(--ISNUMBER(SEARCH(_xlfn.TEXTSPLIT(D4," "), G4))) / COUNTA(_xlfn.TEXTSPLIT(D4," "))</f>
        <v>0.96969696969696972</v>
      </c>
      <c r="AL4" s="131">
        <f>AK4*100</f>
        <v>96.969696969696969</v>
      </c>
      <c r="AM4" s="131" t="str" cm="1">
        <f t="array" ref="AM4">IF(
   SUMPRODUCT(--ISNUMBER(SEARCH(_xlfn.TEXTSPLIT(D4," "), G4))) / COUNTA(_xlfn.TEXTSPLIT(D4," ")) = 1,
   "Full Match",
   IF(
      SUMPRODUCT(--ISNUMBER(SEARCH(_xlfn.TEXTSPLIT(D4," "), G4))) / COUNTA(_xlfn.TEXTSPLIT(D4," ")) &gt; 0.5,
      "Partial Match",
      "No Match"
   )
)</f>
        <v>Partial Match</v>
      </c>
      <c r="AS4" s="96"/>
    </row>
    <row r="5" spans="1:45" ht="22.5" hidden="1" customHeight="1">
      <c r="A5" s="117" t="s">
        <v>98</v>
      </c>
      <c r="B5" s="118"/>
      <c r="C5" s="120" t="s">
        <v>62</v>
      </c>
      <c r="D5" s="122" t="s">
        <v>99</v>
      </c>
      <c r="E5" s="118" t="s">
        <v>16</v>
      </c>
      <c r="F5" s="117" t="s">
        <v>100</v>
      </c>
      <c r="G5" s="117" t="s">
        <v>101</v>
      </c>
      <c r="H5" s="118"/>
      <c r="I5" s="118" t="e" cm="1" vm="5">
        <f t="array" ref="I5">_xldudf_BOARDFLARE_FMATCH(D5,G5)</f>
        <v>#VALUE!</v>
      </c>
      <c r="J5" s="105">
        <f t="shared" si="0"/>
        <v>1</v>
      </c>
      <c r="K5" s="104"/>
      <c r="L5" s="97" t="e" cm="1" vm="6">
        <f t="array" ref="L5">_xldudf_BOARDFLARE_FMATCH(G5,D5)</f>
        <v>#VALUE!</v>
      </c>
      <c r="M5" s="98" cm="1">
        <f t="array" ref="M5">_FV(L5,"Similarity",TRUE)</f>
        <v>1</v>
      </c>
      <c r="N5" s="97" t="e" cm="1" vm="5">
        <f t="array" ref="N5">_xldudf_BOARDFLARE_FMATCH(D5,G5)</f>
        <v>#VALUE!</v>
      </c>
      <c r="O5" s="98" cm="1">
        <f t="array" ref="O5">_FV(N5,"Similarity",TRUE)</f>
        <v>0.92</v>
      </c>
      <c r="P5" s="97"/>
      <c r="R5" s="96"/>
      <c r="S5" s="96"/>
      <c r="T5" s="96"/>
      <c r="U5" s="96"/>
      <c r="V5" s="96"/>
      <c r="W5" s="96"/>
      <c r="X5" s="96"/>
      <c r="Y5" s="96"/>
      <c r="Z5" s="96"/>
      <c r="AA5" s="96"/>
      <c r="AB5" s="96"/>
      <c r="AD5" s="96"/>
      <c r="AE5" s="96"/>
      <c r="AF5" s="96"/>
      <c r="AG5" s="96"/>
      <c r="AI5" s="118"/>
      <c r="AJ5" s="118"/>
      <c r="AK5" s="96"/>
      <c r="AL5" s="96"/>
      <c r="AM5" s="96"/>
      <c r="AN5" s="96"/>
      <c r="AO5" s="131" cm="1">
        <f t="array" ref="AO5">MAX(
SUMPRODUCT(--ISNUMBER(MATCH(_xlfn.TEXTSPLIT(LOWER(D5)," "), _xlfn.TEXTSPLIT(LOWER(G5)," "),0))) / COUNTA(_xlfn.TEXTSPLIT(D5," ")),
SUMPRODUCT(--ISNUMBER(SEARCH(LEFT(_xlfn.TEXTSPLIT(LOWER(D5)," "),LEN(_xlfn.TEXTSPLIT(LOWER(D5)," "))-1), LOWER(G5)))) / COUNTA(_xlfn.TEXTSPLIT(D5," "))
)</f>
        <v>1</v>
      </c>
      <c r="AP5" s="131" t="str">
        <f t="shared" ref="AP5:AP13" si="1">IF(AO5&gt;=0.8,"Match","No Match")</f>
        <v>Match</v>
      </c>
    </row>
    <row r="6" spans="1:45" ht="15.45" hidden="1">
      <c r="A6" s="117" t="s">
        <v>102</v>
      </c>
      <c r="B6" s="118"/>
      <c r="C6" s="120" t="s">
        <v>62</v>
      </c>
      <c r="D6" s="119" t="s">
        <v>103</v>
      </c>
      <c r="E6" s="118" t="s">
        <v>16</v>
      </c>
      <c r="F6" s="117"/>
      <c r="G6" s="117"/>
      <c r="H6" s="118"/>
      <c r="I6" s="118" t="e" cm="1" vm="7">
        <f t="array" ref="I6">_xldudf_BOARDFLARE_FMATCH(D6,G6)</f>
        <v>#VALUE!</v>
      </c>
      <c r="J6" s="105">
        <f t="shared" si="0"/>
        <v>0</v>
      </c>
      <c r="K6" s="104"/>
      <c r="L6" s="97" t="e" cm="1" vm="8">
        <f t="array" ref="L6">_xldudf_BOARDFLARE_FMATCH(G6,D6)</f>
        <v>#VALUE!</v>
      </c>
      <c r="M6" s="98" cm="1">
        <f t="array" ref="M6">_FV(L6,"Similarity",TRUE)</f>
        <v>0</v>
      </c>
      <c r="N6" s="97" t="e" cm="1" vm="7">
        <f t="array" ref="N6">_xldudf_BOARDFLARE_FMATCH(D6,G6)</f>
        <v>#VALUE!</v>
      </c>
      <c r="O6" s="98" cm="1">
        <f t="array" ref="O6">_FV(N6,"Similarity",TRUE)</f>
        <v>0</v>
      </c>
      <c r="P6" s="97"/>
      <c r="R6" s="96"/>
      <c r="S6" s="96"/>
      <c r="T6" s="96"/>
      <c r="U6" s="96"/>
      <c r="V6" s="96"/>
      <c r="W6" s="96"/>
      <c r="X6" s="96"/>
      <c r="Y6" s="96"/>
      <c r="Z6" s="96"/>
      <c r="AA6" s="96"/>
      <c r="AB6" s="96"/>
      <c r="AD6" s="96"/>
      <c r="AE6" s="96"/>
      <c r="AF6" s="96"/>
      <c r="AG6" s="96"/>
      <c r="AI6" s="118"/>
      <c r="AJ6" s="118"/>
      <c r="AK6" s="96"/>
      <c r="AL6" s="96"/>
      <c r="AM6" s="96"/>
      <c r="AN6" s="96"/>
      <c r="AO6" s="131" cm="1">
        <f t="array" ref="AO6">MAX(
SUMPRODUCT(--ISNUMBER(MATCH(_xlfn.TEXTSPLIT(LOWER(D6)," "), _xlfn.TEXTSPLIT(LOWER(G6)," "),0))) / COUNTA(_xlfn.TEXTSPLIT(D6," ")),
SUMPRODUCT(--ISNUMBER(SEARCH(LEFT(_xlfn.TEXTSPLIT(LOWER(D6)," "),LEN(_xlfn.TEXTSPLIT(LOWER(D6)," "))-1), LOWER(G6)))) / COUNTA(_xlfn.TEXTSPLIT(D6," "))
)</f>
        <v>0</v>
      </c>
      <c r="AP6" s="131" t="str">
        <f t="shared" si="1"/>
        <v>No Match</v>
      </c>
    </row>
    <row r="7" spans="1:45" ht="15.45" hidden="1">
      <c r="A7" s="117" t="s">
        <v>104</v>
      </c>
      <c r="B7" s="118"/>
      <c r="C7" s="120" t="s">
        <v>62</v>
      </c>
      <c r="D7" s="122" t="s">
        <v>105</v>
      </c>
      <c r="E7" s="118" t="s">
        <v>16</v>
      </c>
      <c r="F7" s="117" t="s">
        <v>106</v>
      </c>
      <c r="G7" s="117"/>
      <c r="H7" s="118"/>
      <c r="I7" s="118" t="e" cm="1" vm="9">
        <f t="array" ref="I7">_xldudf_BOARDFLARE_FMATCH(D7,G7)</f>
        <v>#VALUE!</v>
      </c>
      <c r="J7" s="105">
        <f t="shared" si="0"/>
        <v>0</v>
      </c>
      <c r="K7" s="104"/>
      <c r="L7" s="97" t="e" cm="1" vm="8">
        <f t="array" ref="L7">_xldudf_BOARDFLARE_FMATCH(G7,D7)</f>
        <v>#VALUE!</v>
      </c>
      <c r="M7" s="98" cm="1">
        <f t="array" ref="M7">_FV(L7,"Similarity",TRUE)</f>
        <v>0</v>
      </c>
      <c r="N7" s="97" t="e" cm="1" vm="9">
        <f t="array" ref="N7">_xldudf_BOARDFLARE_FMATCH(D7,G7)</f>
        <v>#VALUE!</v>
      </c>
      <c r="O7" s="98" cm="1">
        <f t="array" ref="O7">_FV(N7,"Similarity",TRUE)</f>
        <v>0</v>
      </c>
      <c r="P7" s="97"/>
      <c r="R7" s="96"/>
      <c r="S7" s="96"/>
      <c r="T7" s="96"/>
      <c r="U7" s="96"/>
      <c r="V7" s="96"/>
      <c r="W7" s="96"/>
      <c r="X7" s="96"/>
      <c r="Y7" s="96"/>
      <c r="Z7" s="96"/>
      <c r="AA7" s="96"/>
      <c r="AB7" s="96"/>
      <c r="AD7" s="96"/>
      <c r="AE7" s="96"/>
      <c r="AF7" s="96"/>
      <c r="AG7" s="96"/>
      <c r="AI7" s="118"/>
      <c r="AJ7" s="118"/>
      <c r="AK7" s="96"/>
      <c r="AL7" s="96"/>
      <c r="AM7" s="96"/>
      <c r="AN7" s="96"/>
      <c r="AO7" s="131" cm="1">
        <f t="array" ref="AO7">MAX(
SUMPRODUCT(--ISNUMBER(MATCH(_xlfn.TEXTSPLIT(LOWER(D7)," "), _xlfn.TEXTSPLIT(LOWER(G7)," "),0))) / COUNTA(_xlfn.TEXTSPLIT(D7," ")),
SUMPRODUCT(--ISNUMBER(SEARCH(LEFT(_xlfn.TEXTSPLIT(LOWER(D7)," "),LEN(_xlfn.TEXTSPLIT(LOWER(D7)," "))-1), LOWER(G7)))) / COUNTA(_xlfn.TEXTSPLIT(D7," "))
)</f>
        <v>0</v>
      </c>
      <c r="AP7" s="131" t="str">
        <f t="shared" si="1"/>
        <v>No Match</v>
      </c>
    </row>
    <row r="8" spans="1:45" ht="21" hidden="1" customHeight="1">
      <c r="A8" s="117" t="s">
        <v>107</v>
      </c>
      <c r="B8" s="118"/>
      <c r="C8" s="120" t="s">
        <v>62</v>
      </c>
      <c r="D8" s="123" t="s">
        <v>108</v>
      </c>
      <c r="E8" s="118" t="s">
        <v>16</v>
      </c>
      <c r="F8" s="117" t="s">
        <v>109</v>
      </c>
      <c r="G8" s="117" t="s">
        <v>110</v>
      </c>
      <c r="H8" s="118"/>
      <c r="I8" s="118" t="e" cm="1" vm="10">
        <f t="array" ref="I8">_xldudf_BOARDFLARE_FMATCH(D8,G8)</f>
        <v>#VALUE!</v>
      </c>
      <c r="J8" s="105">
        <f t="shared" si="0"/>
        <v>0.93</v>
      </c>
      <c r="K8" s="104"/>
      <c r="L8" s="97" t="e" cm="1" vm="11">
        <f t="array" ref="L8">_xldudf_BOARDFLARE_FMATCH(G8,D8)</f>
        <v>#VALUE!</v>
      </c>
      <c r="M8" s="98" cm="1">
        <f t="array" ref="M8">_FV(L8,"Similarity",TRUE)</f>
        <v>0.93</v>
      </c>
      <c r="N8" s="97" t="e" cm="1" vm="10">
        <f t="array" ref="N8">_xldudf_BOARDFLARE_FMATCH(D8,G8)</f>
        <v>#VALUE!</v>
      </c>
      <c r="O8" s="98" cm="1">
        <f t="array" ref="O8">_FV(N8,"Similarity",TRUE)</f>
        <v>0.79</v>
      </c>
      <c r="P8" s="97"/>
      <c r="R8" s="96"/>
      <c r="S8" s="96"/>
      <c r="T8" s="96"/>
      <c r="U8" s="96"/>
      <c r="V8" s="96"/>
      <c r="W8" s="96"/>
      <c r="X8" s="96"/>
      <c r="Y8" s="96"/>
      <c r="Z8" s="96"/>
      <c r="AA8" s="96"/>
      <c r="AB8" s="96"/>
      <c r="AD8" s="96"/>
      <c r="AE8" s="96"/>
      <c r="AF8" s="96"/>
      <c r="AG8" s="96"/>
      <c r="AI8" s="118"/>
      <c r="AJ8" s="118"/>
      <c r="AK8" s="118"/>
      <c r="AL8" s="118"/>
      <c r="AM8" s="96"/>
      <c r="AN8" s="96"/>
      <c r="AO8" s="131" cm="1">
        <f t="array" ref="AO8">MAX(
SUMPRODUCT(--ISNUMBER(MATCH(_xlfn.TEXTSPLIT(LOWER(D8)," "), _xlfn.TEXTSPLIT(LOWER(G8)," "),0))) / COUNTA(_xlfn.TEXTSPLIT(D8," ")),
SUMPRODUCT(--ISNUMBER(SEARCH(LEFT(_xlfn.TEXTSPLIT(LOWER(D8)," "),LEN(_xlfn.TEXTSPLIT(LOWER(D8)," "))-1), LOWER(G8)))) / COUNTA(_xlfn.TEXTSPLIT(D8," "))
)</f>
        <v>0.8571428571428571</v>
      </c>
      <c r="AP8" s="131" t="str">
        <f t="shared" si="1"/>
        <v>Match</v>
      </c>
    </row>
    <row r="9" spans="1:45" ht="15.45" hidden="1">
      <c r="A9" s="117" t="s">
        <v>111</v>
      </c>
      <c r="B9" s="118"/>
      <c r="C9" s="120" t="s">
        <v>62</v>
      </c>
      <c r="D9" s="122" t="s">
        <v>90</v>
      </c>
      <c r="E9" s="118" t="s">
        <v>16</v>
      </c>
      <c r="F9" s="117" t="s">
        <v>112</v>
      </c>
      <c r="G9" s="117" t="s">
        <v>92</v>
      </c>
      <c r="H9" s="118"/>
      <c r="I9" s="118" t="e" cm="1" vm="1">
        <f t="array" ref="I9">_xldudf_BOARDFLARE_FMATCH(D9,G9)</f>
        <v>#VALUE!</v>
      </c>
      <c r="J9" s="105">
        <f t="shared" si="0"/>
        <v>0.99</v>
      </c>
      <c r="K9" s="104"/>
      <c r="L9" s="97" t="e" cm="1" vm="2">
        <f t="array" ref="L9">_xldudf_BOARDFLARE_FMATCH(G9,D9)</f>
        <v>#VALUE!</v>
      </c>
      <c r="M9" s="98" cm="1">
        <f t="array" ref="M9">_FV(L9,"Similarity",TRUE)</f>
        <v>0.99</v>
      </c>
      <c r="N9" s="97" t="e" cm="1" vm="1">
        <f t="array" ref="N9">_xldudf_BOARDFLARE_FMATCH(D9,G9)</f>
        <v>#VALUE!</v>
      </c>
      <c r="O9" s="98" cm="1">
        <f t="array" ref="O9">_FV(N9,"Similarity",TRUE)</f>
        <v>0.85</v>
      </c>
      <c r="P9" s="97"/>
      <c r="R9" s="96"/>
      <c r="S9" s="96"/>
      <c r="T9" s="96"/>
      <c r="U9" s="96"/>
      <c r="V9" s="96"/>
      <c r="W9" s="96"/>
      <c r="X9" s="96"/>
      <c r="Y9" s="96"/>
      <c r="Z9" s="96"/>
      <c r="AA9" s="96"/>
      <c r="AB9" s="96"/>
      <c r="AD9" s="96"/>
      <c r="AE9" s="96"/>
      <c r="AF9" s="96"/>
      <c r="AG9" s="96"/>
      <c r="AI9" s="118"/>
      <c r="AJ9" s="118"/>
      <c r="AK9" s="118"/>
      <c r="AL9" s="118"/>
      <c r="AM9" s="96"/>
      <c r="AN9" s="96"/>
      <c r="AO9" s="131" cm="1">
        <f t="array" ref="AO9">MAX(
SUMPRODUCT(--ISNUMBER(MATCH(_xlfn.TEXTSPLIT(LOWER(D9)," "), _xlfn.TEXTSPLIT(LOWER(G9)," "),0))) / COUNTA(_xlfn.TEXTSPLIT(D9," ")),
SUMPRODUCT(--ISNUMBER(SEARCH(LEFT(_xlfn.TEXTSPLIT(LOWER(D9)," "),LEN(_xlfn.TEXTSPLIT(LOWER(D9)," "))-1), LOWER(G9)))) / COUNTA(_xlfn.TEXTSPLIT(D9," "))
)</f>
        <v>1</v>
      </c>
      <c r="AP9" s="131" t="str">
        <f t="shared" si="1"/>
        <v>Match</v>
      </c>
    </row>
    <row r="10" spans="1:45" ht="15.45" hidden="1">
      <c r="A10" s="117" t="s">
        <v>98</v>
      </c>
      <c r="B10" s="118"/>
      <c r="C10" s="120" t="s">
        <v>62</v>
      </c>
      <c r="D10" s="122" t="s">
        <v>99</v>
      </c>
      <c r="E10" s="118" t="s">
        <v>16</v>
      </c>
      <c r="F10" s="117" t="s">
        <v>100</v>
      </c>
      <c r="G10" s="117" t="s">
        <v>101</v>
      </c>
      <c r="H10" s="118"/>
      <c r="I10" s="118" t="e" cm="1" vm="5">
        <f t="array" ref="I10">_xldudf_BOARDFLARE_FMATCH(D10,G10)</f>
        <v>#VALUE!</v>
      </c>
      <c r="J10" s="105">
        <f t="shared" si="0"/>
        <v>1</v>
      </c>
      <c r="K10" s="104"/>
      <c r="L10" s="97" t="e" cm="1" vm="6">
        <f t="array" ref="L10">_xldudf_BOARDFLARE_FMATCH(G10,D10)</f>
        <v>#VALUE!</v>
      </c>
      <c r="M10" s="98" cm="1">
        <f t="array" ref="M10">_FV(L10,"Similarity",TRUE)</f>
        <v>1</v>
      </c>
      <c r="N10" s="97" t="e" cm="1" vm="5">
        <f t="array" ref="N10">_xldudf_BOARDFLARE_FMATCH(D10,G10)</f>
        <v>#VALUE!</v>
      </c>
      <c r="O10" s="98" cm="1">
        <f t="array" ref="O10">_FV(N10,"Similarity",TRUE)</f>
        <v>0.92</v>
      </c>
      <c r="P10" s="97"/>
      <c r="R10" s="96"/>
      <c r="S10" s="96"/>
      <c r="T10" s="96"/>
      <c r="U10" s="96"/>
      <c r="V10" s="96"/>
      <c r="W10" s="96"/>
      <c r="X10" s="96"/>
      <c r="Y10" s="96"/>
      <c r="Z10" s="96"/>
      <c r="AA10" s="96"/>
      <c r="AB10" s="96"/>
      <c r="AD10" s="96"/>
      <c r="AE10" s="96"/>
      <c r="AF10" s="96"/>
      <c r="AG10" s="96"/>
      <c r="AI10" s="118"/>
      <c r="AJ10" s="118"/>
      <c r="AK10" s="118"/>
      <c r="AL10" s="118"/>
      <c r="AM10" s="96"/>
      <c r="AN10" s="96"/>
      <c r="AO10" s="131" cm="1">
        <f t="array" ref="AO10">MAX(
SUMPRODUCT(--ISNUMBER(MATCH(_xlfn.TEXTSPLIT(LOWER(D10)," "), _xlfn.TEXTSPLIT(LOWER(G10)," "),0))) / COUNTA(_xlfn.TEXTSPLIT(D10," ")),
SUMPRODUCT(--ISNUMBER(SEARCH(LEFT(_xlfn.TEXTSPLIT(LOWER(D10)," "),LEN(_xlfn.TEXTSPLIT(LOWER(D10)," "))-1), LOWER(G10)))) / COUNTA(_xlfn.TEXTSPLIT(D10," "))
)</f>
        <v>1</v>
      </c>
      <c r="AP10" s="131" t="str">
        <f t="shared" si="1"/>
        <v>Match</v>
      </c>
    </row>
    <row r="11" spans="1:45" ht="15.45" hidden="1">
      <c r="A11" s="117" t="s">
        <v>102</v>
      </c>
      <c r="B11" s="118"/>
      <c r="C11" s="120" t="s">
        <v>62</v>
      </c>
      <c r="D11" s="119" t="s">
        <v>103</v>
      </c>
      <c r="E11" s="118" t="s">
        <v>16</v>
      </c>
      <c r="F11" s="117"/>
      <c r="G11" s="117"/>
      <c r="H11" s="118"/>
      <c r="I11" s="118" t="e" cm="1" vm="7">
        <f t="array" ref="I11">_xldudf_BOARDFLARE_FMATCH(D11,G11)</f>
        <v>#VALUE!</v>
      </c>
      <c r="J11" s="105">
        <f t="shared" si="0"/>
        <v>0</v>
      </c>
      <c r="K11" s="104"/>
      <c r="L11" s="97" t="e" cm="1" vm="8">
        <f t="array" ref="L11">_xldudf_BOARDFLARE_FMATCH(G11,D11)</f>
        <v>#VALUE!</v>
      </c>
      <c r="M11" s="98" cm="1">
        <f t="array" ref="M11">_FV(L11,"Similarity",TRUE)</f>
        <v>0</v>
      </c>
      <c r="N11" s="97" t="e" cm="1" vm="7">
        <f t="array" ref="N11">_xldudf_BOARDFLARE_FMATCH(D11,G11)</f>
        <v>#VALUE!</v>
      </c>
      <c r="O11" s="98" cm="1">
        <f t="array" ref="O11">_FV(N11,"Similarity",TRUE)</f>
        <v>0</v>
      </c>
      <c r="P11" s="97"/>
      <c r="R11" s="96"/>
      <c r="S11" s="96"/>
      <c r="T11" s="96"/>
      <c r="U11" s="96"/>
      <c r="V11" s="96"/>
      <c r="W11" s="96"/>
      <c r="X11" s="96"/>
      <c r="Y11" s="96"/>
      <c r="Z11" s="96"/>
      <c r="AA11" s="96"/>
      <c r="AB11" s="96"/>
      <c r="AD11" s="96"/>
      <c r="AE11" s="96"/>
      <c r="AF11" s="96"/>
      <c r="AG11" s="96"/>
      <c r="AI11" s="118"/>
      <c r="AJ11" s="118"/>
      <c r="AK11" s="118"/>
      <c r="AL11" s="118"/>
      <c r="AM11" s="96"/>
      <c r="AN11" s="96"/>
      <c r="AO11" s="131" cm="1">
        <f t="array" ref="AO11">MAX(
SUMPRODUCT(--ISNUMBER(MATCH(_xlfn.TEXTSPLIT(LOWER(D11)," "), _xlfn.TEXTSPLIT(LOWER(G11)," "),0))) / COUNTA(_xlfn.TEXTSPLIT(D11," ")),
SUMPRODUCT(--ISNUMBER(SEARCH(LEFT(_xlfn.TEXTSPLIT(LOWER(D11)," "),LEN(_xlfn.TEXTSPLIT(LOWER(D11)," "))-1), LOWER(G11)))) / COUNTA(_xlfn.TEXTSPLIT(D11," "))
)</f>
        <v>0</v>
      </c>
      <c r="AP11" s="131" t="str">
        <f t="shared" si="1"/>
        <v>No Match</v>
      </c>
    </row>
    <row r="12" spans="1:45" ht="15.45" hidden="1">
      <c r="A12" s="117" t="s">
        <v>113</v>
      </c>
      <c r="B12" s="118"/>
      <c r="C12" s="120" t="s">
        <v>62</v>
      </c>
      <c r="D12" s="122" t="s">
        <v>90</v>
      </c>
      <c r="E12" s="118" t="s">
        <v>16</v>
      </c>
      <c r="F12" s="117" t="s">
        <v>114</v>
      </c>
      <c r="G12" s="117" t="s">
        <v>92</v>
      </c>
      <c r="H12" s="118"/>
      <c r="I12" s="118" t="e" cm="1" vm="1">
        <f t="array" ref="I12">_xldudf_BOARDFLARE_FMATCH(D12,G12)</f>
        <v>#VALUE!</v>
      </c>
      <c r="J12" s="105">
        <f t="shared" si="0"/>
        <v>0.99</v>
      </c>
      <c r="K12" s="104"/>
      <c r="L12" s="97" t="e" cm="1" vm="2">
        <f t="array" ref="L12">_xldudf_BOARDFLARE_FMATCH(G12,D12)</f>
        <v>#VALUE!</v>
      </c>
      <c r="M12" s="98" cm="1">
        <f t="array" ref="M12">_FV(L12,"Similarity",TRUE)</f>
        <v>0.99</v>
      </c>
      <c r="N12" s="97" t="e" cm="1" vm="1">
        <f t="array" ref="N12">_xldudf_BOARDFLARE_FMATCH(D12,G12)</f>
        <v>#VALUE!</v>
      </c>
      <c r="O12" s="98" cm="1">
        <f t="array" ref="O12">_FV(N12,"Similarity",TRUE)</f>
        <v>0.85</v>
      </c>
      <c r="P12" s="97"/>
      <c r="R12" s="96"/>
      <c r="S12" s="96"/>
      <c r="T12" s="96"/>
      <c r="U12" s="96"/>
      <c r="V12" s="96"/>
      <c r="W12" s="96"/>
      <c r="X12" s="96"/>
      <c r="Y12" s="96"/>
      <c r="Z12" s="96"/>
      <c r="AA12" s="96"/>
      <c r="AB12" s="96"/>
      <c r="AD12" s="96"/>
      <c r="AE12" s="96"/>
      <c r="AF12" s="96"/>
      <c r="AG12" s="96"/>
      <c r="AI12" s="118"/>
      <c r="AJ12" s="118"/>
      <c r="AK12" s="118"/>
      <c r="AL12" s="118"/>
      <c r="AM12" s="96"/>
      <c r="AN12" s="96"/>
      <c r="AO12" s="131" cm="1">
        <f t="array" ref="AO12">MAX(
SUMPRODUCT(--ISNUMBER(MATCH(_xlfn.TEXTSPLIT(LOWER(D12)," "), _xlfn.TEXTSPLIT(LOWER(G12)," "),0))) / COUNTA(_xlfn.TEXTSPLIT(D12," ")),
SUMPRODUCT(--ISNUMBER(SEARCH(LEFT(_xlfn.TEXTSPLIT(LOWER(D12)," "),LEN(_xlfn.TEXTSPLIT(LOWER(D12)," "))-1), LOWER(G12)))) / COUNTA(_xlfn.TEXTSPLIT(D12," "))
)</f>
        <v>1</v>
      </c>
      <c r="AP12" s="131" t="str">
        <f t="shared" si="1"/>
        <v>Match</v>
      </c>
    </row>
    <row r="13" spans="1:45" ht="15.45" hidden="1">
      <c r="A13" s="117" t="s">
        <v>115</v>
      </c>
      <c r="B13" s="118"/>
      <c r="C13" s="120" t="s">
        <v>62</v>
      </c>
      <c r="D13" s="121" t="s">
        <v>116</v>
      </c>
      <c r="E13" s="118" t="s">
        <v>16</v>
      </c>
      <c r="F13" s="117"/>
      <c r="G13" s="117"/>
      <c r="H13" s="118"/>
      <c r="I13" s="118" t="e" cm="1" vm="12">
        <f t="array" ref="I13">_xldudf_BOARDFLARE_FMATCH(D13,G13)</f>
        <v>#VALUE!</v>
      </c>
      <c r="J13" s="105">
        <f t="shared" si="0"/>
        <v>0</v>
      </c>
      <c r="K13" s="104"/>
      <c r="L13" s="97" t="e" cm="1" vm="8">
        <f t="array" ref="L13">_xldudf_BOARDFLARE_FMATCH(G13,D13)</f>
        <v>#VALUE!</v>
      </c>
      <c r="M13" s="98" cm="1">
        <f t="array" ref="M13">_FV(L13,"Similarity",TRUE)</f>
        <v>0</v>
      </c>
      <c r="N13" s="97" t="e" cm="1" vm="12">
        <f t="array" ref="N13">_xldudf_BOARDFLARE_FMATCH(D13,G13)</f>
        <v>#VALUE!</v>
      </c>
      <c r="O13" s="98" cm="1">
        <f t="array" ref="O13">_FV(N13,"Similarity",TRUE)</f>
        <v>0</v>
      </c>
      <c r="P13" s="97"/>
      <c r="R13" s="96"/>
      <c r="S13" s="96"/>
      <c r="T13" s="96"/>
      <c r="U13" s="96"/>
      <c r="V13" s="96"/>
      <c r="W13" s="96"/>
      <c r="X13" s="96"/>
      <c r="Y13" s="96"/>
      <c r="Z13" s="96"/>
      <c r="AA13" s="96"/>
      <c r="AB13" s="96"/>
      <c r="AD13" s="96"/>
      <c r="AE13" s="96"/>
      <c r="AF13" s="96"/>
      <c r="AG13" s="96"/>
      <c r="AI13" s="118"/>
      <c r="AJ13" s="118"/>
      <c r="AK13" s="118"/>
      <c r="AL13" s="118"/>
      <c r="AM13" s="96"/>
      <c r="AN13" s="96"/>
      <c r="AO13" s="131" cm="1">
        <f t="array" ref="AO13">MAX(
SUMPRODUCT(--ISNUMBER(MATCH(_xlfn.TEXTSPLIT(LOWER(D13)," "), _xlfn.TEXTSPLIT(LOWER(G13)," "),0))) / COUNTA(_xlfn.TEXTSPLIT(D13," ")),
SUMPRODUCT(--ISNUMBER(SEARCH(LEFT(_xlfn.TEXTSPLIT(LOWER(D13)," "),LEN(_xlfn.TEXTSPLIT(LOWER(D13)," "))-1), LOWER(G13)))) / COUNTA(_xlfn.TEXTSPLIT(D13," "))
)</f>
        <v>0</v>
      </c>
      <c r="AP13" s="131" t="str">
        <f t="shared" si="1"/>
        <v>No Match</v>
      </c>
    </row>
    <row r="14" spans="1:45" ht="14.6">
      <c r="A14" s="117" t="s">
        <v>117</v>
      </c>
      <c r="B14" s="118"/>
      <c r="C14" s="117" t="s">
        <v>61</v>
      </c>
      <c r="D14" s="118" t="s">
        <v>118</v>
      </c>
      <c r="E14" s="118" t="s">
        <v>16</v>
      </c>
      <c r="F14" s="117" t="s">
        <v>119</v>
      </c>
      <c r="G14" s="117" t="s">
        <v>120</v>
      </c>
      <c r="H14" s="118"/>
      <c r="I14" s="118" t="e" cm="1" vm="13">
        <f t="array" ref="I14">_xldudf_BOARDFLARE_FMATCH(D14,G14)</f>
        <v>#VALUE!</v>
      </c>
      <c r="J14" s="105">
        <f t="shared" si="0"/>
        <v>0.79</v>
      </c>
      <c r="K14" s="104"/>
      <c r="L14" s="97" t="e" cm="1" vm="14">
        <f t="array" ref="L14">_xldudf_BOARDFLARE_FMATCH(G14,D14)</f>
        <v>#VALUE!</v>
      </c>
      <c r="M14" s="98" cm="1">
        <f t="array" ref="M14">_FV(L14,"Similarity",TRUE)</f>
        <v>0.79</v>
      </c>
      <c r="N14" s="97" t="e" cm="1" vm="13">
        <f t="array" ref="N14">_xldudf_BOARDFLARE_FMATCH(D14,G14)</f>
        <v>#VALUE!</v>
      </c>
      <c r="O14" s="98" cm="1">
        <f t="array" ref="O14">_FV(N14,"Similarity",TRUE)</f>
        <v>0</v>
      </c>
      <c r="P14" s="97"/>
      <c r="R14" s="96"/>
      <c r="S14" s="96"/>
      <c r="T14" s="96"/>
      <c r="U14" s="96"/>
      <c r="V14" s="96"/>
      <c r="W14" s="96"/>
      <c r="X14" s="96"/>
      <c r="Y14" s="96"/>
      <c r="Z14" s="96"/>
      <c r="AA14" s="96"/>
      <c r="AB14" s="96"/>
      <c r="AD14" s="96"/>
      <c r="AE14" s="96"/>
      <c r="AF14" s="96"/>
      <c r="AG14" s="96"/>
      <c r="AI14" s="118" t="s">
        <v>97</v>
      </c>
      <c r="AJ14" s="118" t="s">
        <v>97</v>
      </c>
      <c r="AK14" s="131" cm="1">
        <f t="array" ref="AK14">SUMPRODUCT(--ISNUMBER(SEARCH(_xlfn.TEXTSPLIT(D14," "), G14))) / COUNTA(_xlfn.TEXTSPLIT(D14," "))</f>
        <v>0.57894736842105265</v>
      </c>
      <c r="AL14" s="131">
        <f t="shared" ref="AL14:AL15" si="2">AK14*100</f>
        <v>57.894736842105267</v>
      </c>
      <c r="AM14" s="131" t="str" cm="1">
        <f t="array" ref="AM14">IF(
   SUMPRODUCT(--ISNUMBER(SEARCH(_xlfn.TEXTSPLIT(D14," "), G14))) / COUNTA(_xlfn.TEXTSPLIT(D14," ")) = 1,
   "Full Match",
   IF(
      SUMPRODUCT(--ISNUMBER(SEARCH(_xlfn.TEXTSPLIT(D14," "), G14))) / COUNTA(_xlfn.TEXTSPLIT(D14," ")) &gt; 0.5,
      "Partial Match",
      "No Match"
   )
)</f>
        <v>Partial Match</v>
      </c>
      <c r="AS14" s="96"/>
    </row>
    <row r="15" spans="1:45" ht="15.45">
      <c r="A15" s="117" t="s">
        <v>121</v>
      </c>
      <c r="B15" s="118"/>
      <c r="C15" s="117" t="s">
        <v>61</v>
      </c>
      <c r="D15" s="119" t="s">
        <v>122</v>
      </c>
      <c r="E15" s="118" t="s">
        <v>16</v>
      </c>
      <c r="F15" s="117" t="s">
        <v>123</v>
      </c>
      <c r="G15" s="117" t="s">
        <v>124</v>
      </c>
      <c r="H15" s="118"/>
      <c r="I15" s="118" t="e" cm="1" vm="15">
        <f t="array" ref="I15">_xldudf_BOARDFLARE_FMATCH(D15,G15)</f>
        <v>#VALUE!</v>
      </c>
      <c r="J15" s="105">
        <f t="shared" si="0"/>
        <v>0</v>
      </c>
      <c r="K15" s="104"/>
      <c r="L15" s="97" t="e" cm="1" vm="16">
        <f t="array" ref="L15">_xldudf_BOARDFLARE_FMATCH(G15,D15)</f>
        <v>#VALUE!</v>
      </c>
      <c r="M15" s="98" cm="1">
        <f t="array" ref="M15">_FV(L15,"Similarity",TRUE)</f>
        <v>0</v>
      </c>
      <c r="N15" s="97" t="e" cm="1" vm="15">
        <f t="array" ref="N15">_xldudf_BOARDFLARE_FMATCH(D15,G15)</f>
        <v>#VALUE!</v>
      </c>
      <c r="O15" s="98" cm="1">
        <f t="array" ref="O15">_FV(N15,"Similarity",TRUE)</f>
        <v>0</v>
      </c>
      <c r="P15" s="97"/>
      <c r="R15" s="96"/>
      <c r="S15" s="96"/>
      <c r="T15" s="96"/>
      <c r="U15" s="96"/>
      <c r="V15" s="96"/>
      <c r="W15" s="96"/>
      <c r="X15" s="96"/>
      <c r="Y15" s="96"/>
      <c r="Z15" s="96"/>
      <c r="AA15" s="96"/>
      <c r="AB15" s="96"/>
      <c r="AD15" s="96"/>
      <c r="AE15" s="96"/>
      <c r="AF15" s="96"/>
      <c r="AG15" s="96"/>
      <c r="AI15" s="118" t="s">
        <v>97</v>
      </c>
      <c r="AJ15" s="118" t="s">
        <v>125</v>
      </c>
      <c r="AK15" s="131" cm="1">
        <f t="array" ref="AK15">SUMPRODUCT(--ISNUMBER(SEARCH(_xlfn.TEXTSPLIT(D15," "), G15))) / COUNTA(_xlfn.TEXTSPLIT(D15," "))</f>
        <v>0.16279069767441862</v>
      </c>
      <c r="AL15" s="131">
        <f t="shared" si="2"/>
        <v>16.279069767441861</v>
      </c>
      <c r="AM15" s="131" t="str" cm="1">
        <f t="array" ref="AM15">IF(
   SUMPRODUCT(--ISNUMBER(SEARCH(_xlfn.TEXTSPLIT(D15," "), G15))) / COUNTA(_xlfn.TEXTSPLIT(D15," ")) = 1,
   "Full Match",
   IF(
      SUMPRODUCT(--ISNUMBER(SEARCH(_xlfn.TEXTSPLIT(D15," "), G15))) / COUNTA(_xlfn.TEXTSPLIT(D15," ")) &gt; 0.5,
      "Partial Match",
      "No Match"
   )
)</f>
        <v>No Match</v>
      </c>
      <c r="AS15" s="96"/>
    </row>
    <row r="16" spans="1:45" ht="14.25" hidden="1" customHeight="1">
      <c r="A16" s="117" t="s">
        <v>126</v>
      </c>
      <c r="B16" s="118"/>
      <c r="C16" s="120" t="s">
        <v>62</v>
      </c>
      <c r="D16" s="119" t="s">
        <v>127</v>
      </c>
      <c r="E16" s="118" t="s">
        <v>16</v>
      </c>
      <c r="F16" s="117" t="s">
        <v>128</v>
      </c>
      <c r="G16" s="117" t="s">
        <v>129</v>
      </c>
      <c r="H16" s="118"/>
      <c r="I16" s="118" t="e" cm="1" vm="17">
        <f t="array" ref="I16">_xldudf_BOARDFLARE_FMATCH(D16,G16)</f>
        <v>#VALUE!</v>
      </c>
      <c r="J16" s="105">
        <f t="shared" si="0"/>
        <v>0.56999999999999995</v>
      </c>
      <c r="K16" s="104"/>
      <c r="L16" s="97" t="e" cm="1" vm="18">
        <f t="array" ref="L16">_xldudf_BOARDFLARE_FMATCH(G16,D16)</f>
        <v>#VALUE!</v>
      </c>
      <c r="M16" s="98" cm="1">
        <f t="array" ref="M16">_FV(L16,"Similarity",TRUE)</f>
        <v>0.56999999999999995</v>
      </c>
      <c r="N16" s="97" t="e" cm="1" vm="17">
        <f t="array" ref="N16">_xldudf_BOARDFLARE_FMATCH(D16,G16)</f>
        <v>#VALUE!</v>
      </c>
      <c r="O16" s="98" cm="1">
        <f t="array" ref="O16">_FV(N16,"Similarity",TRUE)</f>
        <v>0.55000000000000004</v>
      </c>
      <c r="P16" s="97"/>
      <c r="R16" s="96"/>
      <c r="S16" s="96"/>
      <c r="T16" s="96"/>
      <c r="U16" s="96"/>
      <c r="V16" s="96"/>
      <c r="W16" s="96"/>
      <c r="X16" s="96"/>
      <c r="Y16" s="96"/>
      <c r="Z16" s="96"/>
      <c r="AA16" s="96"/>
      <c r="AB16" s="96"/>
      <c r="AD16" s="96"/>
      <c r="AE16" s="96"/>
      <c r="AF16" s="96"/>
      <c r="AG16" s="96"/>
      <c r="AI16" s="118" t="s">
        <v>97</v>
      </c>
      <c r="AJ16" s="118"/>
      <c r="AK16" s="118"/>
      <c r="AL16" s="118"/>
      <c r="AM16" s="96"/>
      <c r="AN16" s="96"/>
      <c r="AO16" s="131" cm="1">
        <f t="array" ref="AO16">MAX(
SUMPRODUCT(--ISNUMBER(MATCH(_xlfn.TEXTSPLIT(LOWER(D16)," "), _xlfn.TEXTSPLIT(LOWER(G16)," "),0))) / COUNTA(_xlfn.TEXTSPLIT(D16," ")),
SUMPRODUCT(--ISNUMBER(SEARCH(LEFT(_xlfn.TEXTSPLIT(LOWER(D16)," "),LEN(_xlfn.TEXTSPLIT(LOWER(D16)," "))-1), LOWER(G16)))) / COUNTA(_xlfn.TEXTSPLIT(D16," "))
)</f>
        <v>0</v>
      </c>
      <c r="AP16" s="131" t="str">
        <f>IF(AO16&gt;=0.8,"Match","No Match")</f>
        <v>No Match</v>
      </c>
    </row>
    <row r="17" spans="1:45" ht="409.6" hidden="1">
      <c r="A17" s="117" t="s">
        <v>130</v>
      </c>
      <c r="B17" s="118"/>
      <c r="C17" s="117" t="s">
        <v>59</v>
      </c>
      <c r="D17" s="126" t="s">
        <v>131</v>
      </c>
      <c r="E17" s="118" t="s">
        <v>16</v>
      </c>
      <c r="F17" s="117" t="s">
        <v>132</v>
      </c>
      <c r="G17" s="117" t="s">
        <v>133</v>
      </c>
      <c r="H17" s="118"/>
      <c r="I17" s="118" t="e" cm="1" vm="19">
        <f t="array" ref="I17">_xldudf_BOARDFLARE_FMATCH(D17,G17)</f>
        <v>#VALUE!</v>
      </c>
      <c r="J17" s="105">
        <f t="shared" si="0"/>
        <v>0</v>
      </c>
      <c r="K17" s="104"/>
      <c r="L17" s="97" t="e" cm="1" vm="20">
        <f t="array" ref="L17">_xldudf_BOARDFLARE_FMATCH(G17,D17)</f>
        <v>#VALUE!</v>
      </c>
      <c r="M17" s="98" cm="1">
        <f t="array" ref="M17">_FV(L17,"Similarity",TRUE)</f>
        <v>0</v>
      </c>
      <c r="N17" s="97" t="e" cm="1" vm="19">
        <f t="array" ref="N17">_xldudf_BOARDFLARE_FMATCH(D17,G17)</f>
        <v>#VALUE!</v>
      </c>
      <c r="O17" s="98" cm="1">
        <f t="array" ref="O17">_FV(N17,"Similarity",TRUE)</f>
        <v>0</v>
      </c>
      <c r="P17" s="97"/>
      <c r="R17" s="127">
        <v>16</v>
      </c>
      <c r="S17" s="127">
        <v>2</v>
      </c>
      <c r="T17" s="127" t="s">
        <v>134</v>
      </c>
      <c r="U17" s="127" t="s">
        <v>135</v>
      </c>
      <c r="V17" s="127" t="s">
        <v>135</v>
      </c>
      <c r="W17" s="127" t="s">
        <v>135</v>
      </c>
      <c r="X17" s="127" t="s">
        <v>125</v>
      </c>
      <c r="Y17" s="127" cm="1">
        <f t="array" ref="Y17">SUMPRODUCT(--ISNUMBER(SEARCH(_xlfn.TEXTSPLIT(D17," "), G17))) / COUNTA(_xlfn.TEXTSPLIT(D17," "))</f>
        <v>0.37666666666666665</v>
      </c>
      <c r="Z17" s="127" t="str" cm="1">
        <f t="array" ref="Z17">IF(
   SUMPRODUCT(--ISNUMBER(SEARCH(_xlfn.TEXTSPLIT(D17," "), G17))) / COUNTA(_xlfn.TEXTSPLIT(D17," ")) = 1,
   "Full Match",
   IF(
      SUMPRODUCT(--ISNUMBER(SEARCH(_xlfn.TEXTSPLIT(D17," "), G8))) / COUNTA(_xlfn.TEXTSPLIT(D17," ")) &gt; 0.5,
      "Partial Match",
      "No Match"
   )
)</f>
        <v>No Match</v>
      </c>
      <c r="AA17" s="127"/>
      <c r="AB17" s="127"/>
      <c r="AC17" s="118"/>
      <c r="AD17" s="118"/>
      <c r="AE17" s="96"/>
      <c r="AF17" s="96"/>
      <c r="AG17" s="96"/>
      <c r="AI17" s="118" t="s">
        <v>97</v>
      </c>
      <c r="AJ17" s="118"/>
      <c r="AK17" s="118"/>
      <c r="AL17" s="118"/>
      <c r="AM17" s="96"/>
      <c r="AN17" s="96"/>
      <c r="AO17" s="96"/>
      <c r="AP17" s="96"/>
      <c r="AQ17" s="96"/>
      <c r="AR17" s="96"/>
      <c r="AS17" s="96"/>
    </row>
    <row r="18" spans="1:45" ht="15.45">
      <c r="A18" s="117" t="s">
        <v>136</v>
      </c>
      <c r="B18" s="118"/>
      <c r="C18" s="117" t="s">
        <v>61</v>
      </c>
      <c r="D18" s="119" t="s">
        <v>137</v>
      </c>
      <c r="E18" s="118" t="s">
        <v>16</v>
      </c>
      <c r="F18" s="117" t="s">
        <v>138</v>
      </c>
      <c r="G18" s="117" t="s">
        <v>139</v>
      </c>
      <c r="H18" s="118"/>
      <c r="I18" s="118" t="e" cm="1" vm="21">
        <f t="array" ref="I18">_xldudf_BOARDFLARE_FMATCH(D18,G18)</f>
        <v>#VALUE!</v>
      </c>
      <c r="J18" s="105">
        <f t="shared" si="0"/>
        <v>0</v>
      </c>
      <c r="K18" s="104"/>
      <c r="L18" s="97" t="e" cm="1" vm="22">
        <f t="array" ref="L18">_xldudf_BOARDFLARE_FMATCH(G18,D18)</f>
        <v>#VALUE!</v>
      </c>
      <c r="M18" s="98" cm="1">
        <f t="array" ref="M18">_FV(L18,"Similarity",TRUE)</f>
        <v>0</v>
      </c>
      <c r="N18" s="97" t="e" cm="1" vm="21">
        <f t="array" ref="N18">_xldudf_BOARDFLARE_FMATCH(D18,G18)</f>
        <v>#VALUE!</v>
      </c>
      <c r="O18" s="98" cm="1">
        <f t="array" ref="O18">_FV(N18,"Similarity",TRUE)</f>
        <v>0</v>
      </c>
      <c r="P18" s="97"/>
      <c r="R18" s="118"/>
      <c r="S18" s="118"/>
      <c r="T18" s="118"/>
      <c r="U18" s="118"/>
      <c r="V18" s="118"/>
      <c r="W18" s="118"/>
      <c r="X18" s="118"/>
      <c r="Y18" s="118"/>
      <c r="Z18" s="118"/>
      <c r="AA18" s="118"/>
      <c r="AB18" s="118"/>
      <c r="AC18" s="118"/>
      <c r="AD18" s="118" t="s">
        <v>97</v>
      </c>
      <c r="AE18" s="96"/>
      <c r="AF18" s="96"/>
      <c r="AG18" s="96"/>
      <c r="AI18" s="118" t="s">
        <v>97</v>
      </c>
      <c r="AJ18" s="118" t="s">
        <v>125</v>
      </c>
      <c r="AK18" s="131" cm="1">
        <f t="array" ref="AK18">SUMPRODUCT(--ISNUMBER(SEARCH(_xlfn.TEXTSPLIT(D18," "), G18))) / COUNTA(_xlfn.TEXTSPLIT(D18," "))</f>
        <v>0.2</v>
      </c>
      <c r="AL18" s="131">
        <f>AK18*100</f>
        <v>20</v>
      </c>
      <c r="AM18" s="131" t="str" cm="1">
        <f t="array" ref="AM18">IF(
   SUMPRODUCT(--ISNUMBER(SEARCH(_xlfn.TEXTSPLIT(D18," "), G18))) / COUNTA(_xlfn.TEXTSPLIT(D18," ")) = 1,
   "Full Match",
   IF(
      SUMPRODUCT(--ISNUMBER(SEARCH(_xlfn.TEXTSPLIT(D18," "), G18))) / COUNTA(_xlfn.TEXTSPLIT(D18," ")) &gt; 0.5,
      "Partial Match",
      "No Match"
   )
)</f>
        <v>No Match</v>
      </c>
      <c r="AS18" s="96"/>
    </row>
    <row r="19" spans="1:45" ht="14.6" hidden="1">
      <c r="A19" s="117" t="s">
        <v>140</v>
      </c>
      <c r="B19" s="118"/>
      <c r="C19" s="120" t="s">
        <v>62</v>
      </c>
      <c r="D19" s="118" t="s">
        <v>141</v>
      </c>
      <c r="E19" s="118" t="s">
        <v>16</v>
      </c>
      <c r="F19" s="117" t="s">
        <v>142</v>
      </c>
      <c r="G19" s="117" t="s">
        <v>143</v>
      </c>
      <c r="H19" s="118"/>
      <c r="I19" s="118" t="e" cm="1" vm="23">
        <f t="array" ref="I19">_xldudf_BOARDFLARE_FMATCH(D19,G19)</f>
        <v>#VALUE!</v>
      </c>
      <c r="J19" s="105">
        <f t="shared" si="0"/>
        <v>0.59</v>
      </c>
      <c r="K19" s="104"/>
      <c r="L19" s="97" t="e" cm="1" vm="24">
        <f t="array" ref="L19">_xldudf_BOARDFLARE_FMATCH(G19,D19)</f>
        <v>#VALUE!</v>
      </c>
      <c r="M19" s="98" cm="1">
        <f t="array" ref="M19">_FV(L19,"Similarity",TRUE)</f>
        <v>0</v>
      </c>
      <c r="N19" s="97" t="e" cm="1" vm="23">
        <f t="array" ref="N19">_xldudf_BOARDFLARE_FMATCH(D19,G19)</f>
        <v>#VALUE!</v>
      </c>
      <c r="O19" s="98" cm="1">
        <f t="array" ref="O19">_FV(N19,"Similarity",TRUE)</f>
        <v>0.59</v>
      </c>
      <c r="P19" s="97"/>
      <c r="R19" s="118"/>
      <c r="S19" s="118"/>
      <c r="T19" s="118"/>
      <c r="U19" s="118"/>
      <c r="V19" s="118"/>
      <c r="W19" s="118"/>
      <c r="X19" s="118"/>
      <c r="Y19" s="118"/>
      <c r="Z19" s="118"/>
      <c r="AA19" s="118"/>
      <c r="AB19" s="118"/>
      <c r="AC19" s="118"/>
      <c r="AD19" s="118" t="s">
        <v>97</v>
      </c>
      <c r="AE19" s="96"/>
      <c r="AF19" s="96"/>
      <c r="AG19" s="96"/>
      <c r="AI19" s="118" t="s">
        <v>97</v>
      </c>
      <c r="AJ19" s="118"/>
      <c r="AK19" s="118"/>
      <c r="AL19" s="118"/>
      <c r="AM19" s="96"/>
      <c r="AN19" s="96"/>
      <c r="AO19" s="131" cm="1">
        <f t="array" ref="AO19">MAX(
SUMPRODUCT(--ISNUMBER(MATCH(_xlfn.TEXTSPLIT(LOWER(D19)," "), _xlfn.TEXTSPLIT(LOWER(G19)," "),0))) / COUNTA(_xlfn.TEXTSPLIT(D19," ")),
SUMPRODUCT(--ISNUMBER(SEARCH(LEFT(_xlfn.TEXTSPLIT(LOWER(D19)," "),LEN(_xlfn.TEXTSPLIT(LOWER(D19)," "))-1), LOWER(G19)))) / COUNTA(_xlfn.TEXTSPLIT(D19," "))
)</f>
        <v>1</v>
      </c>
      <c r="AP19" s="131" t="str">
        <f>IF(AO19&gt;=0.8,"Match","No Match")</f>
        <v>Match</v>
      </c>
    </row>
    <row r="20" spans="1:45" ht="409.6" hidden="1">
      <c r="A20" s="117" t="s">
        <v>144</v>
      </c>
      <c r="B20" s="118"/>
      <c r="C20" s="117" t="s">
        <v>59</v>
      </c>
      <c r="D20" s="126" t="s">
        <v>145</v>
      </c>
      <c r="E20" s="118" t="s">
        <v>16</v>
      </c>
      <c r="F20" s="117" t="s">
        <v>146</v>
      </c>
      <c r="G20" s="117" t="s">
        <v>147</v>
      </c>
      <c r="H20" s="118"/>
      <c r="I20" s="118" t="e" cm="1" vm="25">
        <f t="array" ref="I20">_xldudf_BOARDFLARE_FMATCH(D20,G20)</f>
        <v>#VALUE!</v>
      </c>
      <c r="J20" s="105">
        <f t="shared" si="0"/>
        <v>0</v>
      </c>
      <c r="K20" s="104"/>
      <c r="L20" s="97" t="e" cm="1" vm="26">
        <f t="array" ref="L20">_xldudf_BOARDFLARE_FMATCH(G20,D20)</f>
        <v>#VALUE!</v>
      </c>
      <c r="M20" s="98" cm="1">
        <f t="array" ref="M20">_FV(L20,"Similarity",TRUE)</f>
        <v>0</v>
      </c>
      <c r="N20" s="97" t="e" cm="1" vm="25">
        <f t="array" ref="N20">_xldudf_BOARDFLARE_FMATCH(D20,G20)</f>
        <v>#VALUE!</v>
      </c>
      <c r="O20" s="98" cm="1">
        <f t="array" ref="O20">_FV(N20,"Similarity",TRUE)</f>
        <v>0</v>
      </c>
      <c r="P20" s="97"/>
      <c r="R20" s="127">
        <v>13</v>
      </c>
      <c r="S20" s="127">
        <v>3</v>
      </c>
      <c r="T20" s="127" t="s">
        <v>148</v>
      </c>
      <c r="U20" s="127" t="s">
        <v>135</v>
      </c>
      <c r="V20" s="127" t="s">
        <v>135</v>
      </c>
      <c r="W20" s="127" t="s">
        <v>135</v>
      </c>
      <c r="X20" s="127" t="s">
        <v>125</v>
      </c>
      <c r="Y20" s="127" cm="1">
        <f t="array" ref="Y20">SUMPRODUCT(--ISNUMBER(SEARCH(_xlfn.TEXTSPLIT(D20," "), G20))) / COUNTA(_xlfn.TEXTSPLIT(D20," "))</f>
        <v>3.3613445378151259E-2</v>
      </c>
      <c r="Z20" s="127" t="str" cm="1">
        <f t="array" ref="Z20">IF(
   SUMPRODUCT(--ISNUMBER(SEARCH(_xlfn.TEXTSPLIT(D20," "), G20))) / COUNTA(_xlfn.TEXTSPLIT(D20," ")) = 1,
   "Full Match",
   IF(
      SUMPRODUCT(--ISNUMBER(SEARCH(_xlfn.TEXTSPLIT(D20," "), G11))) / COUNTA(_xlfn.TEXTSPLIT(D20," ")) &gt; 0.5,
      "Partial Match",
      "No Match"
   )
)</f>
        <v>No Match</v>
      </c>
      <c r="AA20" s="127"/>
      <c r="AB20" s="127"/>
      <c r="AC20" s="118"/>
      <c r="AD20" s="118"/>
      <c r="AE20" s="96"/>
      <c r="AF20" s="96"/>
      <c r="AG20" s="96"/>
      <c r="AI20" s="118" t="s">
        <v>97</v>
      </c>
      <c r="AJ20" s="118"/>
      <c r="AK20" s="118"/>
      <c r="AL20" s="118"/>
      <c r="AM20" s="96"/>
      <c r="AN20" s="96"/>
      <c r="AO20" s="96"/>
      <c r="AP20" s="96"/>
      <c r="AQ20" s="96"/>
      <c r="AR20" s="96"/>
      <c r="AS20" s="96"/>
    </row>
    <row r="21" spans="1:45" ht="14.6" hidden="1">
      <c r="A21" s="117" t="s">
        <v>149</v>
      </c>
      <c r="B21" s="118"/>
      <c r="C21" s="120" t="s">
        <v>62</v>
      </c>
      <c r="D21" s="118" t="s">
        <v>150</v>
      </c>
      <c r="E21" s="118" t="s">
        <v>16</v>
      </c>
      <c r="F21" s="117"/>
      <c r="G21" s="117"/>
      <c r="H21" s="118"/>
      <c r="I21" s="118" t="e" cm="1" vm="27">
        <f t="array" ref="I21">_xldudf_BOARDFLARE_FMATCH(D21,G21)</f>
        <v>#VALUE!</v>
      </c>
      <c r="J21" s="105">
        <f t="shared" si="0"/>
        <v>0</v>
      </c>
      <c r="K21" s="104"/>
      <c r="L21" s="97" t="e" cm="1" vm="8">
        <f t="array" ref="L21">_xldudf_BOARDFLARE_FMATCH(G21,D21)</f>
        <v>#VALUE!</v>
      </c>
      <c r="M21" s="98" cm="1">
        <f t="array" ref="M21">_FV(L21,"Similarity",TRUE)</f>
        <v>0</v>
      </c>
      <c r="N21" s="97" t="e" cm="1" vm="27">
        <f t="array" ref="N21">_xldudf_BOARDFLARE_FMATCH(D21,G21)</f>
        <v>#VALUE!</v>
      </c>
      <c r="O21" s="98" cm="1">
        <f t="array" ref="O21">_FV(N21,"Similarity",TRUE)</f>
        <v>0</v>
      </c>
      <c r="P21" s="97"/>
      <c r="R21" s="118"/>
      <c r="S21" s="118"/>
      <c r="T21" s="118"/>
      <c r="U21" s="118"/>
      <c r="V21" s="118"/>
      <c r="W21" s="118"/>
      <c r="X21" s="118"/>
      <c r="Y21" s="118"/>
      <c r="Z21" s="118"/>
      <c r="AA21" s="118"/>
      <c r="AB21" s="118"/>
      <c r="AC21" s="118"/>
      <c r="AD21" s="118" t="s">
        <v>97</v>
      </c>
      <c r="AE21" s="96"/>
      <c r="AF21" s="96"/>
      <c r="AG21" s="96"/>
      <c r="AI21" s="118" t="s">
        <v>97</v>
      </c>
      <c r="AJ21" s="118"/>
      <c r="AK21" s="118"/>
      <c r="AL21" s="118"/>
      <c r="AM21" s="96"/>
      <c r="AN21" s="96"/>
      <c r="AO21" s="131" cm="1">
        <f t="array" ref="AO21">MAX(
SUMPRODUCT(--ISNUMBER(MATCH(_xlfn.TEXTSPLIT(LOWER(D21)," "), _xlfn.TEXTSPLIT(LOWER(G21)," "),0))) / COUNTA(_xlfn.TEXTSPLIT(D21," ")),
SUMPRODUCT(--ISNUMBER(SEARCH(LEFT(_xlfn.TEXTSPLIT(LOWER(D21)," "),LEN(_xlfn.TEXTSPLIT(LOWER(D21)," "))-1), LOWER(G21)))) / COUNTA(_xlfn.TEXTSPLIT(D21," "))
)</f>
        <v>0</v>
      </c>
      <c r="AP21" s="131" t="str">
        <f>IF(AO21&gt;=0.8,"Match","No Match")</f>
        <v>No Match</v>
      </c>
    </row>
    <row r="22" spans="1:45" ht="15.45">
      <c r="A22" s="117" t="s">
        <v>151</v>
      </c>
      <c r="B22" s="118"/>
      <c r="C22" s="117" t="s">
        <v>61</v>
      </c>
      <c r="D22" s="119" t="s">
        <v>152</v>
      </c>
      <c r="E22" s="118" t="s">
        <v>16</v>
      </c>
      <c r="F22" s="117"/>
      <c r="G22" s="117"/>
      <c r="H22" s="118"/>
      <c r="I22" s="118" t="e" cm="1" vm="28">
        <f t="array" ref="I22">_xldudf_BOARDFLARE_FMATCH(D22,G22)</f>
        <v>#VALUE!</v>
      </c>
      <c r="J22" s="105">
        <f t="shared" si="0"/>
        <v>0</v>
      </c>
      <c r="K22" s="104"/>
      <c r="L22" s="97" t="e" cm="1" vm="8">
        <f t="array" ref="L22">_xldudf_BOARDFLARE_FMATCH(G22,D22)</f>
        <v>#VALUE!</v>
      </c>
      <c r="M22" s="98" cm="1">
        <f t="array" ref="M22">_FV(L22,"Similarity",TRUE)</f>
        <v>0</v>
      </c>
      <c r="N22" s="97" t="e" cm="1" vm="28">
        <f t="array" ref="N22">_xldudf_BOARDFLARE_FMATCH(D22,G22)</f>
        <v>#VALUE!</v>
      </c>
      <c r="O22" s="98" cm="1">
        <f t="array" ref="O22">_FV(N22,"Similarity",TRUE)</f>
        <v>0</v>
      </c>
      <c r="P22" s="97"/>
      <c r="R22" s="118"/>
      <c r="S22" s="118"/>
      <c r="T22" s="118"/>
      <c r="U22" s="118"/>
      <c r="V22" s="118"/>
      <c r="W22" s="118"/>
      <c r="X22" s="118"/>
      <c r="Y22" s="118"/>
      <c r="Z22" s="118"/>
      <c r="AA22" s="118"/>
      <c r="AB22" s="118"/>
      <c r="AC22" s="118"/>
      <c r="AD22" s="118" t="s">
        <v>97</v>
      </c>
      <c r="AE22" s="96"/>
      <c r="AF22" s="96"/>
      <c r="AG22" s="96"/>
      <c r="AI22" s="118" t="s">
        <v>97</v>
      </c>
      <c r="AJ22" s="118" t="s">
        <v>125</v>
      </c>
      <c r="AK22" s="131" cm="1">
        <f t="array" ref="AK22">SUMPRODUCT(--ISNUMBER(SEARCH(_xlfn.TEXTSPLIT(D22," "), G22))) / COUNTA(_xlfn.TEXTSPLIT(D22," "))</f>
        <v>0</v>
      </c>
      <c r="AL22" s="131">
        <f>AK22*100</f>
        <v>0</v>
      </c>
      <c r="AM22" s="131" t="str" cm="1">
        <f t="array" ref="AM22">IF(
   SUMPRODUCT(--ISNUMBER(SEARCH(_xlfn.TEXTSPLIT(D22," "), G22))) / COUNTA(_xlfn.TEXTSPLIT(D22," ")) = 1,
   "Full Match",
   IF(
      SUMPRODUCT(--ISNUMBER(SEARCH(_xlfn.TEXTSPLIT(D22," "), G22))) / COUNTA(_xlfn.TEXTSPLIT(D22," ")) &gt; 0.5,
      "Partial Match",
      "No Match"
   )
)</f>
        <v>No Match</v>
      </c>
      <c r="AS22" s="96"/>
    </row>
    <row r="23" spans="1:45" ht="14.6" hidden="1">
      <c r="A23" s="117" t="s">
        <v>140</v>
      </c>
      <c r="B23" s="118"/>
      <c r="C23" s="120" t="s">
        <v>62</v>
      </c>
      <c r="D23" s="118" t="s">
        <v>141</v>
      </c>
      <c r="E23" s="118" t="s">
        <v>16</v>
      </c>
      <c r="F23" s="117" t="s">
        <v>142</v>
      </c>
      <c r="G23" s="117" t="s">
        <v>143</v>
      </c>
      <c r="H23" s="118"/>
      <c r="I23" s="118" t="e" cm="1" vm="23">
        <f t="array" ref="I23">_xldudf_BOARDFLARE_FMATCH(D23,G23)</f>
        <v>#VALUE!</v>
      </c>
      <c r="J23" s="105">
        <f t="shared" si="0"/>
        <v>0.59</v>
      </c>
      <c r="K23" s="104"/>
      <c r="L23" s="97" t="e" cm="1" vm="24">
        <f t="array" ref="L23">_xldudf_BOARDFLARE_FMATCH(G23,D23)</f>
        <v>#VALUE!</v>
      </c>
      <c r="M23" s="98" cm="1">
        <f t="array" ref="M23">_FV(L23,"Similarity",TRUE)</f>
        <v>0</v>
      </c>
      <c r="N23" s="97" t="e" cm="1" vm="23">
        <f t="array" ref="N23">_xldudf_BOARDFLARE_FMATCH(D23,G23)</f>
        <v>#VALUE!</v>
      </c>
      <c r="O23" s="98" cm="1">
        <f t="array" ref="O23">_FV(N23,"Similarity",TRUE)</f>
        <v>0.59</v>
      </c>
      <c r="P23" s="97"/>
      <c r="R23" s="118"/>
      <c r="S23" s="118"/>
      <c r="T23" s="118"/>
      <c r="U23" s="118"/>
      <c r="V23" s="118"/>
      <c r="W23" s="118"/>
      <c r="X23" s="118"/>
      <c r="Y23" s="118"/>
      <c r="Z23" s="118"/>
      <c r="AA23" s="118"/>
      <c r="AB23" s="118"/>
      <c r="AC23" s="118"/>
      <c r="AD23" s="118" t="s">
        <v>97</v>
      </c>
      <c r="AE23" s="96"/>
      <c r="AF23" s="96"/>
      <c r="AG23" s="96"/>
      <c r="AI23" s="118" t="s">
        <v>97</v>
      </c>
      <c r="AJ23" s="118"/>
      <c r="AK23" s="118"/>
      <c r="AL23" s="118"/>
      <c r="AM23" s="96"/>
      <c r="AN23" s="96"/>
      <c r="AO23" s="131" cm="1">
        <f t="array" ref="AO23">MAX(
SUMPRODUCT(--ISNUMBER(MATCH(_xlfn.TEXTSPLIT(LOWER(D23)," "), _xlfn.TEXTSPLIT(LOWER(G23)," "),0))) / COUNTA(_xlfn.TEXTSPLIT(D23," ")),
SUMPRODUCT(--ISNUMBER(SEARCH(LEFT(_xlfn.TEXTSPLIT(LOWER(D23)," "),LEN(_xlfn.TEXTSPLIT(LOWER(D23)," "))-1), LOWER(G23)))) / COUNTA(_xlfn.TEXTSPLIT(D23," "))
)</f>
        <v>1</v>
      </c>
      <c r="AP23" s="131" t="str">
        <f>IF(AO23&gt;=0.8,"Match","No Match")</f>
        <v>Match</v>
      </c>
    </row>
    <row r="24" spans="1:45" ht="409.6" hidden="1">
      <c r="A24" s="117" t="s">
        <v>144</v>
      </c>
      <c r="B24" s="118"/>
      <c r="C24" s="117" t="s">
        <v>59</v>
      </c>
      <c r="D24" s="126" t="s">
        <v>145</v>
      </c>
      <c r="E24" s="118" t="s">
        <v>16</v>
      </c>
      <c r="F24" s="117" t="s">
        <v>146</v>
      </c>
      <c r="G24" s="117" t="s">
        <v>147</v>
      </c>
      <c r="H24" s="118"/>
      <c r="I24" s="118" t="e" cm="1" vm="25">
        <f t="array" ref="I24">_xldudf_BOARDFLARE_FMATCH(D24,G24)</f>
        <v>#VALUE!</v>
      </c>
      <c r="J24" s="105">
        <f t="shared" si="0"/>
        <v>0</v>
      </c>
      <c r="K24" s="104"/>
      <c r="L24" s="97" t="e" cm="1" vm="26">
        <f t="array" ref="L24">_xldudf_BOARDFLARE_FMATCH(G24,D24)</f>
        <v>#VALUE!</v>
      </c>
      <c r="M24" s="98" cm="1">
        <f t="array" ref="M24">_FV(L24,"Similarity",TRUE)</f>
        <v>0</v>
      </c>
      <c r="N24" s="97" t="e" cm="1" vm="25">
        <f t="array" ref="N24">_xldudf_BOARDFLARE_FMATCH(D24,G24)</f>
        <v>#VALUE!</v>
      </c>
      <c r="O24" s="98" cm="1">
        <f t="array" ref="O24">_FV(N24,"Similarity",TRUE)</f>
        <v>0</v>
      </c>
      <c r="P24" s="97"/>
      <c r="R24" s="127">
        <v>13</v>
      </c>
      <c r="S24" s="127">
        <v>3</v>
      </c>
      <c r="T24" s="127" t="s">
        <v>148</v>
      </c>
      <c r="U24" s="127" t="s">
        <v>135</v>
      </c>
      <c r="V24" s="127" t="s">
        <v>135</v>
      </c>
      <c r="W24" s="127" t="s">
        <v>135</v>
      </c>
      <c r="X24" s="127" t="s">
        <v>125</v>
      </c>
      <c r="Y24" s="127" cm="1">
        <f t="array" ref="Y24">SUMPRODUCT(--ISNUMBER(SEARCH(_xlfn.TEXTSPLIT(D24," "), G24))) / COUNTA(_xlfn.TEXTSPLIT(D24," "))</f>
        <v>3.3613445378151259E-2</v>
      </c>
      <c r="Z24" s="127" t="str" cm="1">
        <f t="array" ref="Z24">IF(
   SUMPRODUCT(--ISNUMBER(SEARCH(_xlfn.TEXTSPLIT(D24," "), G24))) / COUNTA(_xlfn.TEXTSPLIT(D24," ")) = 1,
   "Full Match",
   IF(
      SUMPRODUCT(--ISNUMBER(SEARCH(_xlfn.TEXTSPLIT(D24," "), G15))) / COUNTA(_xlfn.TEXTSPLIT(D24," ")) &gt; 0.5,
      "Partial Match",
      "No Match"
   )
)</f>
        <v>No Match</v>
      </c>
      <c r="AA24" s="127"/>
      <c r="AB24" s="127"/>
      <c r="AC24" s="118"/>
      <c r="AD24" s="118"/>
      <c r="AE24" s="96"/>
      <c r="AF24" s="96"/>
      <c r="AG24" s="96"/>
      <c r="AI24" s="118" t="s">
        <v>97</v>
      </c>
      <c r="AJ24" s="118"/>
      <c r="AK24" s="118"/>
      <c r="AL24" s="118"/>
      <c r="AM24" s="96"/>
      <c r="AN24" s="96"/>
      <c r="AO24" s="96"/>
      <c r="AP24" s="96"/>
      <c r="AQ24" s="96"/>
      <c r="AR24" s="96"/>
      <c r="AS24" s="96"/>
    </row>
    <row r="25" spans="1:45" ht="14.6" hidden="1">
      <c r="A25" s="117" t="s">
        <v>149</v>
      </c>
      <c r="B25" s="118"/>
      <c r="C25" s="120" t="s">
        <v>62</v>
      </c>
      <c r="D25" s="118" t="s">
        <v>150</v>
      </c>
      <c r="E25" s="118" t="s">
        <v>16</v>
      </c>
      <c r="F25" s="117"/>
      <c r="G25" s="117"/>
      <c r="H25" s="118"/>
      <c r="I25" s="118" t="e" cm="1" vm="27">
        <f t="array" ref="I25">_xldudf_BOARDFLARE_FMATCH(D25,G25)</f>
        <v>#VALUE!</v>
      </c>
      <c r="J25" s="105">
        <f t="shared" si="0"/>
        <v>0</v>
      </c>
      <c r="K25" s="104"/>
      <c r="L25" s="97" t="e" cm="1" vm="8">
        <f t="array" ref="L25">_xldudf_BOARDFLARE_FMATCH(G25,D25)</f>
        <v>#VALUE!</v>
      </c>
      <c r="M25" s="98" cm="1">
        <f t="array" ref="M25">_FV(L25,"Similarity",TRUE)</f>
        <v>0</v>
      </c>
      <c r="N25" s="97" t="e" cm="1" vm="27">
        <f t="array" ref="N25">_xldudf_BOARDFLARE_FMATCH(D25,G25)</f>
        <v>#VALUE!</v>
      </c>
      <c r="O25" s="98" cm="1">
        <f t="array" ref="O25">_FV(N25,"Similarity",TRUE)</f>
        <v>0</v>
      </c>
      <c r="P25" s="97"/>
      <c r="R25" s="118"/>
      <c r="S25" s="118"/>
      <c r="T25" s="118"/>
      <c r="U25" s="118"/>
      <c r="V25" s="118"/>
      <c r="W25" s="118"/>
      <c r="X25" s="118"/>
      <c r="Y25" s="118"/>
      <c r="Z25" s="118"/>
      <c r="AA25" s="118"/>
      <c r="AB25" s="118"/>
      <c r="AC25" s="118"/>
      <c r="AD25" s="118" t="s">
        <v>97</v>
      </c>
      <c r="AE25" s="96"/>
      <c r="AF25" s="96"/>
      <c r="AG25" s="96"/>
      <c r="AI25" s="118" t="s">
        <v>97</v>
      </c>
      <c r="AJ25" s="118"/>
      <c r="AK25" s="118"/>
      <c r="AL25" s="118"/>
      <c r="AM25" s="96"/>
      <c r="AN25" s="96"/>
      <c r="AO25" s="131" cm="1">
        <f t="array" ref="AO25">MAX(
SUMPRODUCT(--ISNUMBER(MATCH(_xlfn.TEXTSPLIT(LOWER(D25)," "), _xlfn.TEXTSPLIT(LOWER(G25)," "),0))) / COUNTA(_xlfn.TEXTSPLIT(D25," ")),
SUMPRODUCT(--ISNUMBER(SEARCH(LEFT(_xlfn.TEXTSPLIT(LOWER(D25)," "),LEN(_xlfn.TEXTSPLIT(LOWER(D25)," "))-1), LOWER(G25)))) / COUNTA(_xlfn.TEXTSPLIT(D25," "))
)</f>
        <v>0</v>
      </c>
      <c r="AP25" s="131" t="str">
        <f>IF(AO25&gt;=0.8,"Match","No Match")</f>
        <v>No Match</v>
      </c>
    </row>
    <row r="26" spans="1:45" ht="15.45">
      <c r="A26" s="117" t="s">
        <v>153</v>
      </c>
      <c r="B26" s="118"/>
      <c r="C26" s="117" t="s">
        <v>61</v>
      </c>
      <c r="D26" s="119" t="s">
        <v>154</v>
      </c>
      <c r="E26" s="118" t="s">
        <v>16</v>
      </c>
      <c r="F26" s="117" t="s">
        <v>155</v>
      </c>
      <c r="G26" s="117" t="s">
        <v>156</v>
      </c>
      <c r="H26" s="118"/>
      <c r="I26" s="118" t="e" cm="1" vm="29">
        <f t="array" ref="I26">_xldudf_BOARDFLARE_FMATCH(D26,G26)</f>
        <v>#VALUE!</v>
      </c>
      <c r="J26" s="105">
        <f t="shared" si="0"/>
        <v>0</v>
      </c>
      <c r="K26" s="104"/>
      <c r="L26" s="97" t="e" cm="1" vm="30">
        <f t="array" ref="L26">_xldudf_BOARDFLARE_FMATCH(G26,D26)</f>
        <v>#VALUE!</v>
      </c>
      <c r="M26" s="98" cm="1">
        <f t="array" ref="M26">_FV(L26,"Similarity",TRUE)</f>
        <v>0</v>
      </c>
      <c r="N26" s="97" t="e" cm="1" vm="29">
        <f t="array" ref="N26">_xldudf_BOARDFLARE_FMATCH(D26,G26)</f>
        <v>#VALUE!</v>
      </c>
      <c r="O26" s="98" cm="1">
        <f t="array" ref="O26">_FV(N26,"Similarity",TRUE)</f>
        <v>0</v>
      </c>
      <c r="P26" s="97"/>
      <c r="R26" s="118"/>
      <c r="S26" s="118"/>
      <c r="T26" s="118"/>
      <c r="U26" s="118"/>
      <c r="V26" s="118"/>
      <c r="W26" s="118"/>
      <c r="X26" s="118"/>
      <c r="Y26" s="118"/>
      <c r="Z26" s="118"/>
      <c r="AA26" s="118"/>
      <c r="AB26" s="118"/>
      <c r="AC26" s="118"/>
      <c r="AD26" s="118" t="s">
        <v>97</v>
      </c>
      <c r="AE26" s="96"/>
      <c r="AF26" s="96"/>
      <c r="AG26" s="96"/>
      <c r="AI26" s="118" t="s">
        <v>97</v>
      </c>
      <c r="AJ26" s="118" t="s">
        <v>97</v>
      </c>
      <c r="AK26" s="131" cm="1">
        <f t="array" ref="AK26">SUMPRODUCT(--ISNUMBER(SEARCH(_xlfn.TEXTSPLIT(D26," "), G26))) / COUNTA(_xlfn.TEXTSPLIT(D26," "))</f>
        <v>0.25</v>
      </c>
      <c r="AL26" s="131">
        <f>AK26*100</f>
        <v>25</v>
      </c>
      <c r="AM26" s="131" t="str" cm="1">
        <f t="array" ref="AM26">IF(
   SUMPRODUCT(--ISNUMBER(SEARCH(_xlfn.TEXTSPLIT(D26," "), G26))) / COUNTA(_xlfn.TEXTSPLIT(D26," ")) = 1,
   "Full Match",
   IF(
      SUMPRODUCT(--ISNUMBER(SEARCH(_xlfn.TEXTSPLIT(D26," "), G26))) / COUNTA(_xlfn.TEXTSPLIT(D26," ")) &gt; 0.5,
      "Partial Match",
      "No Match"
   )
)</f>
        <v>No Match</v>
      </c>
      <c r="AS26" s="96"/>
    </row>
    <row r="27" spans="1:45" ht="14.6" hidden="1">
      <c r="A27" s="117" t="s">
        <v>157</v>
      </c>
      <c r="B27" s="118"/>
      <c r="C27" s="117"/>
      <c r="D27" s="118"/>
      <c r="E27" s="118" t="s">
        <v>16</v>
      </c>
      <c r="F27" s="117"/>
      <c r="G27" s="117"/>
      <c r="H27" s="118"/>
      <c r="I27" s="118" t="e" cm="1" vm="8">
        <f t="array" ref="I27">_xldudf_BOARDFLARE_FMATCH(D27,G27)</f>
        <v>#VALUE!</v>
      </c>
      <c r="J27" s="105">
        <f t="shared" si="0"/>
        <v>0</v>
      </c>
      <c r="K27" s="104"/>
      <c r="L27" s="97" t="e" cm="1" vm="8">
        <f t="array" ref="L27">_xldudf_BOARDFLARE_FMATCH(G27,D27)</f>
        <v>#VALUE!</v>
      </c>
      <c r="M27" s="98" cm="1">
        <f t="array" ref="M27">_FV(L27,"Similarity",TRUE)</f>
        <v>0</v>
      </c>
      <c r="N27" s="97" t="e" cm="1" vm="8">
        <f t="array" ref="N27">_xldudf_BOARDFLARE_FMATCH(D27,G27)</f>
        <v>#VALUE!</v>
      </c>
      <c r="O27" s="98" cm="1">
        <f t="array" ref="O27">_FV(N27,"Similarity",TRUE)</f>
        <v>0</v>
      </c>
      <c r="P27" s="97"/>
      <c r="R27" s="118"/>
      <c r="S27" s="118"/>
      <c r="T27" s="118"/>
      <c r="U27" s="118"/>
      <c r="V27" s="118"/>
      <c r="W27" s="118"/>
      <c r="X27" s="118"/>
      <c r="Y27" s="118"/>
      <c r="Z27" s="118"/>
      <c r="AA27" s="118"/>
      <c r="AB27" s="118"/>
      <c r="AC27" s="118"/>
      <c r="AD27" s="118" t="s">
        <v>97</v>
      </c>
      <c r="AE27" s="96"/>
      <c r="AF27" s="96"/>
      <c r="AG27" s="96"/>
      <c r="AI27" s="118" t="s">
        <v>97</v>
      </c>
      <c r="AJ27" s="118"/>
      <c r="AK27" s="118"/>
      <c r="AL27" s="118"/>
      <c r="AM27" s="96"/>
      <c r="AN27" s="96"/>
      <c r="AO27" s="96"/>
      <c r="AP27" s="96"/>
      <c r="AQ27" s="96"/>
      <c r="AR27" s="96"/>
      <c r="AS27" s="96"/>
    </row>
    <row r="28" spans="1:45" ht="15.45" hidden="1">
      <c r="A28" s="117" t="s">
        <v>111</v>
      </c>
      <c r="B28" s="118"/>
      <c r="C28" s="120" t="s">
        <v>62</v>
      </c>
      <c r="D28" s="122" t="s">
        <v>90</v>
      </c>
      <c r="E28" s="118" t="s">
        <v>16</v>
      </c>
      <c r="F28" s="117" t="s">
        <v>112</v>
      </c>
      <c r="G28" s="117" t="s">
        <v>92</v>
      </c>
      <c r="H28" s="118"/>
      <c r="I28" s="118" t="e" cm="1" vm="1">
        <f t="array" ref="I28">_xldudf_BOARDFLARE_FMATCH(D28,G28)</f>
        <v>#VALUE!</v>
      </c>
      <c r="J28" s="105">
        <f t="shared" si="0"/>
        <v>0.99</v>
      </c>
      <c r="K28" s="104"/>
      <c r="L28" s="97" t="e" cm="1" vm="2">
        <f t="array" ref="L28">_xldudf_BOARDFLARE_FMATCH(G28,D28)</f>
        <v>#VALUE!</v>
      </c>
      <c r="M28" s="98" cm="1">
        <f t="array" ref="M28">_FV(L28,"Similarity",TRUE)</f>
        <v>0.99</v>
      </c>
      <c r="N28" s="97" t="e" cm="1" vm="1">
        <f t="array" ref="N28">_xldudf_BOARDFLARE_FMATCH(D28,G28)</f>
        <v>#VALUE!</v>
      </c>
      <c r="O28" s="98" cm="1">
        <f t="array" ref="O28">_FV(N28,"Similarity",TRUE)</f>
        <v>0.85</v>
      </c>
      <c r="R28" s="118"/>
      <c r="S28" s="118"/>
      <c r="T28" s="118"/>
      <c r="U28" s="118"/>
      <c r="V28" s="118"/>
      <c r="W28" s="118"/>
      <c r="X28" s="118"/>
      <c r="Y28" s="118"/>
      <c r="Z28" s="118"/>
      <c r="AA28" s="118"/>
      <c r="AB28" s="118"/>
      <c r="AC28" s="118"/>
      <c r="AD28" s="118" t="s">
        <v>97</v>
      </c>
      <c r="AE28" s="96"/>
      <c r="AF28" s="96"/>
      <c r="AG28" s="96"/>
      <c r="AI28" s="118" t="s">
        <v>97</v>
      </c>
      <c r="AJ28" s="118"/>
      <c r="AK28" s="118"/>
      <c r="AL28" s="118"/>
      <c r="AM28" s="96"/>
      <c r="AN28" s="96"/>
      <c r="AO28" s="131" cm="1">
        <f t="array" ref="AO28">MAX(
SUMPRODUCT(--ISNUMBER(MATCH(_xlfn.TEXTSPLIT(LOWER(D28)," "), _xlfn.TEXTSPLIT(LOWER(G28)," "),0))) / COUNTA(_xlfn.TEXTSPLIT(D28," ")),
SUMPRODUCT(--ISNUMBER(SEARCH(LEFT(_xlfn.TEXTSPLIT(LOWER(D28)," "),LEN(_xlfn.TEXTSPLIT(LOWER(D28)," "))-1), LOWER(G28)))) / COUNTA(_xlfn.TEXTSPLIT(D28," "))
)</f>
        <v>1</v>
      </c>
      <c r="AP28" s="131" t="str">
        <f t="shared" ref="AP28:AP32" si="3">IF(AO28&gt;=0.8,"Match","No Match")</f>
        <v>Match</v>
      </c>
    </row>
    <row r="29" spans="1:45" ht="15.45" hidden="1">
      <c r="A29" s="117" t="s">
        <v>98</v>
      </c>
      <c r="B29" s="118"/>
      <c r="C29" s="120" t="s">
        <v>62</v>
      </c>
      <c r="D29" s="122" t="s">
        <v>99</v>
      </c>
      <c r="E29" s="118" t="s">
        <v>16</v>
      </c>
      <c r="F29" s="117" t="s">
        <v>100</v>
      </c>
      <c r="G29" s="117" t="s">
        <v>101</v>
      </c>
      <c r="H29" s="118"/>
      <c r="I29" s="118" t="e" cm="1" vm="5">
        <f t="array" ref="I29">_xldudf_BOARDFLARE_FMATCH(D29,G29)</f>
        <v>#VALUE!</v>
      </c>
      <c r="J29" s="105">
        <f t="shared" si="0"/>
        <v>1</v>
      </c>
      <c r="K29" s="104"/>
      <c r="L29" s="97" t="e" cm="1" vm="6">
        <f t="array" ref="L29">_xldudf_BOARDFLARE_FMATCH(G29,D29)</f>
        <v>#VALUE!</v>
      </c>
      <c r="M29" s="98" cm="1">
        <f t="array" ref="M29">_FV(L29,"Similarity",TRUE)</f>
        <v>1</v>
      </c>
      <c r="N29" s="97" t="e" cm="1" vm="5">
        <f t="array" ref="N29">_xldudf_BOARDFLARE_FMATCH(D29,G29)</f>
        <v>#VALUE!</v>
      </c>
      <c r="O29" s="98" cm="1">
        <f t="array" ref="O29">_FV(N29,"Similarity",TRUE)</f>
        <v>0.92</v>
      </c>
      <c r="R29" s="118"/>
      <c r="S29" s="118"/>
      <c r="T29" s="118"/>
      <c r="U29" s="118"/>
      <c r="V29" s="118"/>
      <c r="W29" s="118"/>
      <c r="X29" s="118"/>
      <c r="Y29" s="118"/>
      <c r="Z29" s="118"/>
      <c r="AA29" s="118"/>
      <c r="AB29" s="118"/>
      <c r="AC29" s="118"/>
      <c r="AD29" s="118" t="s">
        <v>97</v>
      </c>
      <c r="AE29" s="96"/>
      <c r="AF29" s="96"/>
      <c r="AG29" s="96"/>
      <c r="AI29" s="118" t="s">
        <v>97</v>
      </c>
      <c r="AJ29" s="118"/>
      <c r="AK29" s="118"/>
      <c r="AL29" s="118"/>
      <c r="AM29" s="96"/>
      <c r="AN29" s="96"/>
      <c r="AO29" s="131" cm="1">
        <f t="array" ref="AO29">MAX(
SUMPRODUCT(--ISNUMBER(MATCH(_xlfn.TEXTSPLIT(LOWER(D29)," "), _xlfn.TEXTSPLIT(LOWER(G29)," "),0))) / COUNTA(_xlfn.TEXTSPLIT(D29," ")),
SUMPRODUCT(--ISNUMBER(SEARCH(LEFT(_xlfn.TEXTSPLIT(LOWER(D29)," "),LEN(_xlfn.TEXTSPLIT(LOWER(D29)," "))-1), LOWER(G29)))) / COUNTA(_xlfn.TEXTSPLIT(D29," "))
)</f>
        <v>1</v>
      </c>
      <c r="AP29" s="131" t="str">
        <f t="shared" si="3"/>
        <v>Match</v>
      </c>
    </row>
    <row r="30" spans="1:45" ht="15.45" hidden="1">
      <c r="A30" s="117" t="s">
        <v>102</v>
      </c>
      <c r="B30" s="118"/>
      <c r="C30" s="120" t="s">
        <v>62</v>
      </c>
      <c r="D30" s="119" t="s">
        <v>103</v>
      </c>
      <c r="E30" s="118" t="s">
        <v>16</v>
      </c>
      <c r="F30" s="117"/>
      <c r="G30" s="117"/>
      <c r="H30" s="118"/>
      <c r="I30" s="118" t="e" cm="1" vm="7">
        <f t="array" ref="I30">_xldudf_BOARDFLARE_FMATCH(D30,G30)</f>
        <v>#VALUE!</v>
      </c>
      <c r="J30" s="105">
        <f t="shared" si="0"/>
        <v>0</v>
      </c>
      <c r="K30" s="104"/>
      <c r="L30" s="97" t="e" cm="1" vm="8">
        <f t="array" ref="L30">_xldudf_BOARDFLARE_FMATCH(G30,D30)</f>
        <v>#VALUE!</v>
      </c>
      <c r="M30" s="98" cm="1">
        <f t="array" ref="M30">_FV(L30,"Similarity",TRUE)</f>
        <v>0</v>
      </c>
      <c r="N30" s="97" t="e" cm="1" vm="7">
        <f t="array" ref="N30">_xldudf_BOARDFLARE_FMATCH(D30,G30)</f>
        <v>#VALUE!</v>
      </c>
      <c r="O30" s="98" cm="1">
        <f t="array" ref="O30">_FV(N30,"Similarity",TRUE)</f>
        <v>0</v>
      </c>
      <c r="R30" s="118"/>
      <c r="S30" s="118"/>
      <c r="T30" s="118"/>
      <c r="U30" s="118"/>
      <c r="V30" s="118"/>
      <c r="W30" s="118"/>
      <c r="X30" s="118"/>
      <c r="Y30" s="118"/>
      <c r="Z30" s="118"/>
      <c r="AA30" s="118"/>
      <c r="AB30" s="118"/>
      <c r="AC30" s="118"/>
      <c r="AD30" s="118" t="s">
        <v>97</v>
      </c>
      <c r="AE30" s="96"/>
      <c r="AF30" s="96"/>
      <c r="AG30" s="96"/>
      <c r="AI30" s="118" t="s">
        <v>97</v>
      </c>
      <c r="AJ30" s="118"/>
      <c r="AK30" s="118"/>
      <c r="AL30" s="118"/>
      <c r="AM30" s="96"/>
      <c r="AN30" s="96"/>
      <c r="AO30" s="131" cm="1">
        <f t="array" ref="AO30">MAX(
SUMPRODUCT(--ISNUMBER(MATCH(_xlfn.TEXTSPLIT(LOWER(D30)," "), _xlfn.TEXTSPLIT(LOWER(G30)," "),0))) / COUNTA(_xlfn.TEXTSPLIT(D30," ")),
SUMPRODUCT(--ISNUMBER(SEARCH(LEFT(_xlfn.TEXTSPLIT(LOWER(D30)," "),LEN(_xlfn.TEXTSPLIT(LOWER(D30)," "))-1), LOWER(G30)))) / COUNTA(_xlfn.TEXTSPLIT(D30," "))
)</f>
        <v>0</v>
      </c>
      <c r="AP30" s="131" t="str">
        <f t="shared" si="3"/>
        <v>No Match</v>
      </c>
    </row>
    <row r="31" spans="1:45" ht="15.45" hidden="1">
      <c r="A31" s="117" t="s">
        <v>113</v>
      </c>
      <c r="B31" s="118"/>
      <c r="C31" s="120" t="s">
        <v>62</v>
      </c>
      <c r="D31" s="122" t="s">
        <v>90</v>
      </c>
      <c r="E31" s="118" t="s">
        <v>16</v>
      </c>
      <c r="F31" s="117" t="s">
        <v>114</v>
      </c>
      <c r="G31" s="117" t="s">
        <v>92</v>
      </c>
      <c r="H31" s="118"/>
      <c r="I31" s="118" t="e" cm="1" vm="1">
        <f t="array" ref="I31">_xldudf_BOARDFLARE_FMATCH(D31,G31)</f>
        <v>#VALUE!</v>
      </c>
      <c r="J31" s="105">
        <f t="shared" si="0"/>
        <v>0.99</v>
      </c>
      <c r="K31" s="104"/>
      <c r="L31" s="97" t="e" cm="1" vm="2">
        <f t="array" ref="L31">_xldudf_BOARDFLARE_FMATCH(G31,D31)</f>
        <v>#VALUE!</v>
      </c>
      <c r="M31" s="98" cm="1">
        <f t="array" ref="M31">_FV(L31,"Similarity",TRUE)</f>
        <v>0.99</v>
      </c>
      <c r="N31" s="97" t="e" cm="1" vm="1">
        <f t="array" ref="N31">_xldudf_BOARDFLARE_FMATCH(D31,G31)</f>
        <v>#VALUE!</v>
      </c>
      <c r="O31" s="98" cm="1">
        <f t="array" ref="O31">_FV(N31,"Similarity",TRUE)</f>
        <v>0.85</v>
      </c>
      <c r="R31" s="118"/>
      <c r="S31" s="118"/>
      <c r="T31" s="118"/>
      <c r="U31" s="118"/>
      <c r="V31" s="118"/>
      <c r="W31" s="118"/>
      <c r="X31" s="118"/>
      <c r="Y31" s="118"/>
      <c r="Z31" s="118"/>
      <c r="AA31" s="118"/>
      <c r="AB31" s="118"/>
      <c r="AC31" s="118"/>
      <c r="AD31" s="118" t="s">
        <v>97</v>
      </c>
      <c r="AE31" s="96"/>
      <c r="AF31" s="96"/>
      <c r="AG31" s="96"/>
      <c r="AI31" s="118" t="s">
        <v>97</v>
      </c>
      <c r="AJ31" s="118"/>
      <c r="AK31" s="118"/>
      <c r="AL31" s="118"/>
      <c r="AM31" s="96"/>
      <c r="AN31" s="96"/>
      <c r="AO31" s="131" cm="1">
        <f t="array" ref="AO31">MAX(
SUMPRODUCT(--ISNUMBER(MATCH(_xlfn.TEXTSPLIT(LOWER(D31)," "), _xlfn.TEXTSPLIT(LOWER(G31)," "),0))) / COUNTA(_xlfn.TEXTSPLIT(D31," ")),
SUMPRODUCT(--ISNUMBER(SEARCH(LEFT(_xlfn.TEXTSPLIT(LOWER(D31)," "),LEN(_xlfn.TEXTSPLIT(LOWER(D31)," "))-1), LOWER(G31)))) / COUNTA(_xlfn.TEXTSPLIT(D31," "))
)</f>
        <v>1</v>
      </c>
      <c r="AP31" s="131" t="str">
        <f t="shared" si="3"/>
        <v>Match</v>
      </c>
    </row>
    <row r="32" spans="1:45" ht="15.45" hidden="1">
      <c r="A32" s="117" t="s">
        <v>115</v>
      </c>
      <c r="B32" s="118"/>
      <c r="C32" s="120" t="s">
        <v>62</v>
      </c>
      <c r="D32" s="121" t="s">
        <v>116</v>
      </c>
      <c r="E32" s="118" t="s">
        <v>16</v>
      </c>
      <c r="F32" s="117" t="s">
        <v>158</v>
      </c>
      <c r="G32" s="117" t="s">
        <v>159</v>
      </c>
      <c r="H32" s="118"/>
      <c r="I32" s="118" t="e" cm="1" vm="31">
        <f t="array" ref="I32">_xldudf_BOARDFLARE_FMATCH(D32,G32)</f>
        <v>#VALUE!</v>
      </c>
      <c r="J32" s="105">
        <f t="shared" si="0"/>
        <v>1</v>
      </c>
      <c r="K32" s="104"/>
      <c r="L32" s="97" t="e" cm="1" vm="32">
        <f t="array" ref="L32">_xldudf_BOARDFLARE_FMATCH(G32,D32)</f>
        <v>#VALUE!</v>
      </c>
      <c r="M32" s="98" cm="1">
        <f t="array" ref="M32">_FV(L32,"Similarity",TRUE)</f>
        <v>1</v>
      </c>
      <c r="N32" s="97" t="e" cm="1" vm="31">
        <f t="array" ref="N32">_xldudf_BOARDFLARE_FMATCH(D32,G32)</f>
        <v>#VALUE!</v>
      </c>
      <c r="O32" s="98" cm="1">
        <f t="array" ref="O32">_FV(N32,"Similarity",TRUE)</f>
        <v>1</v>
      </c>
      <c r="R32" s="118"/>
      <c r="S32" s="118"/>
      <c r="T32" s="118"/>
      <c r="U32" s="118"/>
      <c r="V32" s="118"/>
      <c r="W32" s="118"/>
      <c r="X32" s="118"/>
      <c r="Y32" s="118"/>
      <c r="Z32" s="118"/>
      <c r="AA32" s="118"/>
      <c r="AB32" s="118"/>
      <c r="AC32" s="118"/>
      <c r="AD32" s="118" t="s">
        <v>97</v>
      </c>
      <c r="AE32" s="96"/>
      <c r="AF32" s="96"/>
      <c r="AG32" s="96"/>
      <c r="AI32" s="118" t="s">
        <v>97</v>
      </c>
      <c r="AJ32" s="118"/>
      <c r="AK32" s="118"/>
      <c r="AL32" s="118"/>
      <c r="AM32" s="96"/>
      <c r="AN32" s="96"/>
      <c r="AO32" s="131" cm="1">
        <f t="array" ref="AO32">MAX(
SUMPRODUCT(--ISNUMBER(MATCH(_xlfn.TEXTSPLIT(LOWER(D32)," "), _xlfn.TEXTSPLIT(LOWER(G32)," "),0))) / COUNTA(_xlfn.TEXTSPLIT(D32," ")),
SUMPRODUCT(--ISNUMBER(SEARCH(LEFT(_xlfn.TEXTSPLIT(LOWER(D32)," "),LEN(_xlfn.TEXTSPLIT(LOWER(D32)," "))-1), LOWER(G32)))) / COUNTA(_xlfn.TEXTSPLIT(D32," "))
)</f>
        <v>1</v>
      </c>
      <c r="AP32" s="131" t="str">
        <f t="shared" si="3"/>
        <v>Match</v>
      </c>
    </row>
    <row r="33" spans="1:45" ht="14.6">
      <c r="A33" s="117" t="s">
        <v>117</v>
      </c>
      <c r="B33" s="118"/>
      <c r="C33" s="117" t="s">
        <v>61</v>
      </c>
      <c r="D33" s="118" t="s">
        <v>118</v>
      </c>
      <c r="E33" s="118" t="s">
        <v>16</v>
      </c>
      <c r="F33" s="117" t="s">
        <v>119</v>
      </c>
      <c r="G33" s="117" t="s">
        <v>120</v>
      </c>
      <c r="H33" s="118"/>
      <c r="I33" s="118" t="e" cm="1" vm="13">
        <f t="array" ref="I33">_xldudf_BOARDFLARE_FMATCH(D33,G33)</f>
        <v>#VALUE!</v>
      </c>
      <c r="J33" s="105">
        <f t="shared" si="0"/>
        <v>0.79</v>
      </c>
      <c r="K33" s="104"/>
      <c r="L33" s="97" t="e" cm="1" vm="14">
        <f t="array" ref="L33">_xldudf_BOARDFLARE_FMATCH(G33,D33)</f>
        <v>#VALUE!</v>
      </c>
      <c r="M33" s="98" cm="1">
        <f t="array" ref="M33">_FV(L33,"Similarity",TRUE)</f>
        <v>0.79</v>
      </c>
      <c r="N33" s="97" t="e" cm="1" vm="13">
        <f t="array" ref="N33">_xldudf_BOARDFLARE_FMATCH(D33,G33)</f>
        <v>#VALUE!</v>
      </c>
      <c r="O33" s="98" cm="1">
        <f t="array" ref="O33">_FV(N33,"Similarity",TRUE)</f>
        <v>0</v>
      </c>
      <c r="R33" s="118"/>
      <c r="S33" s="118"/>
      <c r="T33" s="118"/>
      <c r="U33" s="118"/>
      <c r="V33" s="118"/>
      <c r="W33" s="118"/>
      <c r="X33" s="118"/>
      <c r="Y33" s="118"/>
      <c r="Z33" s="118"/>
      <c r="AA33" s="118"/>
      <c r="AB33" s="118"/>
      <c r="AC33" s="118"/>
      <c r="AD33" s="118" t="s">
        <v>97</v>
      </c>
      <c r="AE33" s="96"/>
      <c r="AF33" s="96"/>
      <c r="AG33" s="96"/>
      <c r="AI33" s="118" t="s">
        <v>97</v>
      </c>
      <c r="AJ33" s="118" t="s">
        <v>97</v>
      </c>
      <c r="AK33" s="131" cm="1">
        <f t="array" ref="AK33">SUMPRODUCT(--ISNUMBER(SEARCH(_xlfn.TEXTSPLIT(D33," "), G33))) / COUNTA(_xlfn.TEXTSPLIT(D33," "))</f>
        <v>0.57894736842105265</v>
      </c>
      <c r="AL33" s="131">
        <f>AK33*100</f>
        <v>57.894736842105267</v>
      </c>
      <c r="AM33" s="131" t="str" cm="1">
        <f t="array" ref="AM33">IF(
   SUMPRODUCT(--ISNUMBER(SEARCH(_xlfn.TEXTSPLIT(D33," "), G33))) / COUNTA(_xlfn.TEXTSPLIT(D33," ")) = 1,
   "Full Match",
   IF(
      SUMPRODUCT(--ISNUMBER(SEARCH(_xlfn.TEXTSPLIT(D33," "), G33))) / COUNTA(_xlfn.TEXTSPLIT(D33," ")) &gt; 0.5,
      "Partial Match",
      "No Match"
   )
)</f>
        <v>Partial Match</v>
      </c>
      <c r="AS33" s="96"/>
    </row>
    <row r="34" spans="1:45" ht="409.6" hidden="1">
      <c r="A34" s="117" t="s">
        <v>130</v>
      </c>
      <c r="B34" s="118"/>
      <c r="C34" s="117" t="s">
        <v>59</v>
      </c>
      <c r="D34" s="126" t="s">
        <v>131</v>
      </c>
      <c r="E34" s="118" t="s">
        <v>16</v>
      </c>
      <c r="F34" s="117" t="s">
        <v>160</v>
      </c>
      <c r="G34" s="117" t="s">
        <v>161</v>
      </c>
      <c r="H34" s="118"/>
      <c r="I34" s="118" t="e" cm="1" vm="19">
        <f t="array" ref="I34">_xldudf_BOARDFLARE_FMATCH(D34,G34)</f>
        <v>#VALUE!</v>
      </c>
      <c r="J34" s="105">
        <f t="shared" si="0"/>
        <v>0</v>
      </c>
      <c r="K34" s="104"/>
      <c r="L34" s="97" t="e" cm="1" vm="33">
        <f t="array" ref="L34">_xldudf_BOARDFLARE_FMATCH(G34,D34)</f>
        <v>#VALUE!</v>
      </c>
      <c r="M34" s="98" cm="1">
        <f t="array" ref="M34">_FV(L34,"Similarity",TRUE)</f>
        <v>0</v>
      </c>
      <c r="N34" s="97" t="e" cm="1" vm="19">
        <f t="array" ref="N34">_xldudf_BOARDFLARE_FMATCH(D34,G34)</f>
        <v>#VALUE!</v>
      </c>
      <c r="O34" s="98" cm="1">
        <f t="array" ref="O34">_FV(N34,"Similarity",TRUE)</f>
        <v>0</v>
      </c>
      <c r="R34" s="127">
        <v>16</v>
      </c>
      <c r="S34" s="127">
        <v>2</v>
      </c>
      <c r="T34" s="127" t="s">
        <v>134</v>
      </c>
      <c r="U34" s="127" t="s">
        <v>135</v>
      </c>
      <c r="V34" s="127" t="s">
        <v>135</v>
      </c>
      <c r="W34" s="127" t="s">
        <v>135</v>
      </c>
      <c r="X34" s="127" t="s">
        <v>125</v>
      </c>
      <c r="Y34" s="127" cm="1">
        <f t="array" ref="Y34">SUMPRODUCT(--ISNUMBER(SEARCH(_xlfn.TEXTSPLIT(D34," "), G34))) / COUNTA(_xlfn.TEXTSPLIT(D34," "))</f>
        <v>0.34</v>
      </c>
      <c r="Z34" s="127" t="str" cm="1">
        <f t="array" ref="Z34">IF(
   SUMPRODUCT(--ISNUMBER(SEARCH(_xlfn.TEXTSPLIT(D34," "), G34))) / COUNTA(_xlfn.TEXTSPLIT(D34," ")) = 1,
   "Full Match",
   IF(
      SUMPRODUCT(--ISNUMBER(SEARCH(_xlfn.TEXTSPLIT(D34," "), G25))) / COUNTA(_xlfn.TEXTSPLIT(D34," ")) &gt; 0.5,
      "Partial Match",
      "No Match"
   )
)</f>
        <v>No Match</v>
      </c>
      <c r="AA34" s="127"/>
      <c r="AB34" s="127"/>
      <c r="AC34" s="118"/>
      <c r="AD34" s="118"/>
      <c r="AE34" s="96"/>
      <c r="AF34" s="96"/>
      <c r="AG34" s="96"/>
      <c r="AI34" s="118" t="s">
        <v>97</v>
      </c>
      <c r="AJ34" s="118"/>
      <c r="AK34" s="118"/>
      <c r="AL34" s="118"/>
      <c r="AM34" s="96"/>
      <c r="AN34" s="96"/>
      <c r="AO34" s="96"/>
      <c r="AP34" s="96"/>
      <c r="AQ34" s="96"/>
      <c r="AR34" s="96"/>
      <c r="AS34" s="96"/>
    </row>
    <row r="35" spans="1:45" ht="15.45">
      <c r="A35" s="117" t="s">
        <v>136</v>
      </c>
      <c r="B35" s="118"/>
      <c r="C35" s="117" t="s">
        <v>61</v>
      </c>
      <c r="D35" s="119" t="s">
        <v>137</v>
      </c>
      <c r="E35" s="118" t="s">
        <v>16</v>
      </c>
      <c r="F35" s="117" t="s">
        <v>138</v>
      </c>
      <c r="G35" s="117" t="s">
        <v>139</v>
      </c>
      <c r="H35" s="118"/>
      <c r="I35" s="118" t="e" cm="1" vm="21">
        <f t="array" ref="I35">_xldudf_BOARDFLARE_FMATCH(D35,G35)</f>
        <v>#VALUE!</v>
      </c>
      <c r="J35" s="105">
        <f t="shared" ref="J35:J66" si="4">IF(M35&gt;O35, M35,O35)</f>
        <v>0</v>
      </c>
      <c r="K35" s="104"/>
      <c r="L35" s="97" t="e" cm="1" vm="22">
        <f t="array" ref="L35">_xldudf_BOARDFLARE_FMATCH(G35,D35)</f>
        <v>#VALUE!</v>
      </c>
      <c r="M35" s="98" cm="1">
        <f t="array" ref="M35">_FV(L35,"Similarity",TRUE)</f>
        <v>0</v>
      </c>
      <c r="N35" s="97" t="e" cm="1" vm="21">
        <f t="array" ref="N35">_xldudf_BOARDFLARE_FMATCH(D35,G35)</f>
        <v>#VALUE!</v>
      </c>
      <c r="O35" s="98" cm="1">
        <f t="array" ref="O35">_FV(N35,"Similarity",TRUE)</f>
        <v>0</v>
      </c>
      <c r="R35" s="118"/>
      <c r="S35" s="118"/>
      <c r="T35" s="118"/>
      <c r="U35" s="118"/>
      <c r="V35" s="118"/>
      <c r="W35" s="118"/>
      <c r="X35" s="118"/>
      <c r="Y35" s="118"/>
      <c r="Z35" s="118"/>
      <c r="AA35" s="118"/>
      <c r="AB35" s="118"/>
      <c r="AC35" s="118"/>
      <c r="AD35" s="118" t="s">
        <v>97</v>
      </c>
      <c r="AE35" s="96"/>
      <c r="AF35" s="96"/>
      <c r="AG35" s="96"/>
      <c r="AI35" s="118" t="s">
        <v>97</v>
      </c>
      <c r="AJ35" s="118" t="s">
        <v>97</v>
      </c>
      <c r="AK35" s="131" cm="1">
        <f t="array" ref="AK35">SUMPRODUCT(--ISNUMBER(SEARCH(_xlfn.TEXTSPLIT(D35," "), G35))) / COUNTA(_xlfn.TEXTSPLIT(D35," "))</f>
        <v>0.2</v>
      </c>
      <c r="AL35" s="131">
        <f>AK35*100</f>
        <v>20</v>
      </c>
      <c r="AM35" s="131" t="str" cm="1">
        <f t="array" ref="AM35">IF(
   SUMPRODUCT(--ISNUMBER(SEARCH(_xlfn.TEXTSPLIT(D35," "), G35))) / COUNTA(_xlfn.TEXTSPLIT(D35," ")) = 1,
   "Full Match",
   IF(
      SUMPRODUCT(--ISNUMBER(SEARCH(_xlfn.TEXTSPLIT(D35," "), G35))) / COUNTA(_xlfn.TEXTSPLIT(D35," ")) &gt; 0.5,
      "Partial Match",
      "No Match"
   )
)</f>
        <v>No Match</v>
      </c>
      <c r="AS35" s="96"/>
    </row>
    <row r="36" spans="1:45" ht="14.6" hidden="1">
      <c r="A36" s="117" t="s">
        <v>162</v>
      </c>
      <c r="B36" s="118"/>
      <c r="C36" s="120" t="s">
        <v>62</v>
      </c>
      <c r="D36" s="117" t="s">
        <v>163</v>
      </c>
      <c r="E36" s="118" t="s">
        <v>16</v>
      </c>
      <c r="F36" s="117" t="s">
        <v>164</v>
      </c>
      <c r="G36" s="117" t="s">
        <v>165</v>
      </c>
      <c r="H36" s="118"/>
      <c r="I36" s="118" t="e" cm="1" vm="34">
        <f t="array" ref="I36">_xldudf_BOARDFLARE_FMATCH(D36,G36)</f>
        <v>#VALUE!</v>
      </c>
      <c r="J36" s="105">
        <f t="shared" si="4"/>
        <v>0.63</v>
      </c>
      <c r="K36" s="104"/>
      <c r="L36" s="97" t="e" cm="1" vm="35">
        <f t="array" ref="L36">_xldudf_BOARDFLARE_FMATCH(G36,D36)</f>
        <v>#VALUE!</v>
      </c>
      <c r="M36" s="98" cm="1">
        <f t="array" ref="M36">_FV(L36,"Similarity",TRUE)</f>
        <v>0.63</v>
      </c>
      <c r="N36" s="97" t="e" cm="1" vm="34">
        <f t="array" ref="N36">_xldudf_BOARDFLARE_FMATCH(D36,G36)</f>
        <v>#VALUE!</v>
      </c>
      <c r="O36" s="98" cm="1">
        <f t="array" ref="O36">_FV(N36,"Similarity",TRUE)</f>
        <v>0.63</v>
      </c>
      <c r="R36" s="118"/>
      <c r="S36" s="118"/>
      <c r="T36" s="118"/>
      <c r="U36" s="118"/>
      <c r="V36" s="118"/>
      <c r="W36" s="118"/>
      <c r="X36" s="118"/>
      <c r="Y36" s="118"/>
      <c r="Z36" s="118"/>
      <c r="AA36" s="118"/>
      <c r="AB36" s="118"/>
      <c r="AC36" s="118"/>
      <c r="AD36" s="118" t="s">
        <v>97</v>
      </c>
      <c r="AE36" s="96"/>
      <c r="AF36" s="96"/>
      <c r="AG36" s="96"/>
      <c r="AI36" s="118" t="s">
        <v>97</v>
      </c>
      <c r="AJ36" s="118"/>
      <c r="AK36" s="118"/>
      <c r="AL36" s="118"/>
      <c r="AM36" s="96"/>
      <c r="AN36" s="96"/>
      <c r="AO36" s="131" cm="1">
        <f t="array" ref="AO36">MAX(
SUMPRODUCT(--ISNUMBER(MATCH(_xlfn.TEXTSPLIT(LOWER(D36)," "), _xlfn.TEXTSPLIT(LOWER(G36)," "),0))) / COUNTA(_xlfn.TEXTSPLIT(D36," ")),
SUMPRODUCT(--ISNUMBER(SEARCH(LEFT(_xlfn.TEXTSPLIT(LOWER(D36)," "),LEN(_xlfn.TEXTSPLIT(LOWER(D36)," "))-1), LOWER(G36)))) / COUNTA(_xlfn.TEXTSPLIT(D36," "))
)</f>
        <v>0.8</v>
      </c>
      <c r="AP36" s="131" t="str">
        <f>IF(AO36&gt;=0.8,"Match","No Match")</f>
        <v>Match</v>
      </c>
    </row>
    <row r="37" spans="1:45" ht="409.6" hidden="1">
      <c r="A37" s="117" t="s">
        <v>144</v>
      </c>
      <c r="B37" s="118"/>
      <c r="C37" s="117" t="s">
        <v>59</v>
      </c>
      <c r="D37" s="126" t="s">
        <v>145</v>
      </c>
      <c r="E37" s="118" t="s">
        <v>16</v>
      </c>
      <c r="F37" s="117" t="s">
        <v>146</v>
      </c>
      <c r="G37" s="117" t="s">
        <v>147</v>
      </c>
      <c r="H37" s="118"/>
      <c r="I37" s="118" t="e" cm="1" vm="25">
        <f t="array" ref="I37">_xldudf_BOARDFLARE_FMATCH(D37,G37)</f>
        <v>#VALUE!</v>
      </c>
      <c r="J37" s="105">
        <f t="shared" si="4"/>
        <v>0</v>
      </c>
      <c r="K37" s="104"/>
      <c r="L37" s="97" t="e" cm="1" vm="26">
        <f t="array" ref="L37">_xldudf_BOARDFLARE_FMATCH(G37,D37)</f>
        <v>#VALUE!</v>
      </c>
      <c r="M37" s="98" cm="1">
        <f t="array" ref="M37">_FV(L37,"Similarity",TRUE)</f>
        <v>0</v>
      </c>
      <c r="N37" s="97" t="e" cm="1" vm="25">
        <f t="array" ref="N37">_xldudf_BOARDFLARE_FMATCH(D37,G37)</f>
        <v>#VALUE!</v>
      </c>
      <c r="O37" s="98" cm="1">
        <f t="array" ref="O37">_FV(N37,"Similarity",TRUE)</f>
        <v>0</v>
      </c>
      <c r="R37" s="127">
        <v>13</v>
      </c>
      <c r="S37" s="127">
        <v>3</v>
      </c>
      <c r="T37" s="127" t="s">
        <v>148</v>
      </c>
      <c r="U37" s="127" t="s">
        <v>135</v>
      </c>
      <c r="V37" s="127" t="s">
        <v>135</v>
      </c>
      <c r="W37" s="127" t="s">
        <v>135</v>
      </c>
      <c r="X37" s="127" t="s">
        <v>125</v>
      </c>
      <c r="Y37" s="127" cm="1">
        <f t="array" ref="Y37">SUMPRODUCT(--ISNUMBER(SEARCH(_xlfn.TEXTSPLIT(D37," "), G37))) / COUNTA(_xlfn.TEXTSPLIT(D37," "))</f>
        <v>3.3613445378151259E-2</v>
      </c>
      <c r="Z37" s="127" t="str" cm="1">
        <f t="array" ref="Z37">IF(
   SUMPRODUCT(--ISNUMBER(SEARCH(_xlfn.TEXTSPLIT(D37," "), G37))) / COUNTA(_xlfn.TEXTSPLIT(D37," ")) = 1,
   "Full Match",
   IF(
      SUMPRODUCT(--ISNUMBER(SEARCH(_xlfn.TEXTSPLIT(D37," "), G28))) / COUNTA(_xlfn.TEXTSPLIT(D37," ")) &gt; 0.5,
      "Partial Match",
      "No Match"
   )
)</f>
        <v>No Match</v>
      </c>
      <c r="AA37" s="127"/>
      <c r="AB37" s="127"/>
      <c r="AC37" s="118"/>
      <c r="AD37" s="118"/>
      <c r="AE37" s="96"/>
      <c r="AF37" s="96"/>
      <c r="AG37" s="96"/>
      <c r="AI37" s="118" t="s">
        <v>97</v>
      </c>
      <c r="AJ37" s="118"/>
      <c r="AK37" s="118"/>
      <c r="AL37" s="118"/>
      <c r="AM37" s="96"/>
      <c r="AN37" s="96"/>
      <c r="AO37" s="96"/>
      <c r="AP37" s="96"/>
      <c r="AQ37" s="96"/>
      <c r="AR37" s="96"/>
      <c r="AS37" s="96"/>
    </row>
    <row r="38" spans="1:45" ht="14.6" hidden="1">
      <c r="A38" s="117" t="s">
        <v>149</v>
      </c>
      <c r="B38" s="118"/>
      <c r="C38" s="120" t="s">
        <v>62</v>
      </c>
      <c r="D38" s="118" t="s">
        <v>166</v>
      </c>
      <c r="E38" s="118" t="s">
        <v>16</v>
      </c>
      <c r="F38" s="117"/>
      <c r="G38" s="117"/>
      <c r="H38" s="118"/>
      <c r="I38" s="118" t="e" cm="1" vm="36">
        <f t="array" ref="I38">_xldudf_BOARDFLARE_FMATCH(D38,G38)</f>
        <v>#VALUE!</v>
      </c>
      <c r="J38" s="105">
        <f t="shared" si="4"/>
        <v>0</v>
      </c>
      <c r="K38" s="104"/>
      <c r="L38" s="97" t="e" cm="1" vm="8">
        <f t="array" ref="L38">_xldudf_BOARDFLARE_FMATCH(G38,D38)</f>
        <v>#VALUE!</v>
      </c>
      <c r="M38" s="98" cm="1">
        <f t="array" ref="M38">_FV(L38,"Similarity",TRUE)</f>
        <v>0</v>
      </c>
      <c r="N38" s="97" t="e" cm="1" vm="36">
        <f t="array" ref="N38">_xldudf_BOARDFLARE_FMATCH(D38,G38)</f>
        <v>#VALUE!</v>
      </c>
      <c r="O38" s="98" cm="1">
        <f t="array" ref="O38">_FV(N38,"Similarity",TRUE)</f>
        <v>0</v>
      </c>
      <c r="R38" s="118"/>
      <c r="S38" s="118"/>
      <c r="T38" s="118"/>
      <c r="U38" s="118"/>
      <c r="V38" s="118"/>
      <c r="W38" s="118"/>
      <c r="X38" s="118"/>
      <c r="Y38" s="118"/>
      <c r="Z38" s="118"/>
      <c r="AA38" s="118"/>
      <c r="AB38" s="118"/>
      <c r="AC38" s="118"/>
      <c r="AD38" s="118" t="s">
        <v>97</v>
      </c>
      <c r="AE38" s="96"/>
      <c r="AF38" s="96"/>
      <c r="AG38" s="96"/>
      <c r="AI38" s="118" t="s">
        <v>97</v>
      </c>
      <c r="AJ38" s="118"/>
      <c r="AK38" s="118"/>
      <c r="AL38" s="118"/>
      <c r="AM38" s="96"/>
      <c r="AN38" s="96"/>
      <c r="AO38" s="131" cm="1">
        <f t="array" ref="AO38">MAX(
SUMPRODUCT(--ISNUMBER(MATCH(_xlfn.TEXTSPLIT(LOWER(D38)," "), _xlfn.TEXTSPLIT(LOWER(G38)," "),0))) / COUNTA(_xlfn.TEXTSPLIT(D38," ")),
SUMPRODUCT(--ISNUMBER(SEARCH(LEFT(_xlfn.TEXTSPLIT(LOWER(D38)," "),LEN(_xlfn.TEXTSPLIT(LOWER(D38)," "))-1), LOWER(G38)))) / COUNTA(_xlfn.TEXTSPLIT(D38," "))
)</f>
        <v>0</v>
      </c>
      <c r="AP38" s="131" t="str">
        <f t="shared" ref="AP38:AP40" si="5">IF(AO38&gt;=0.8,"Match","No Match")</f>
        <v>No Match</v>
      </c>
    </row>
    <row r="39" spans="1:45" ht="14.6" hidden="1">
      <c r="A39" s="117" t="s">
        <v>167</v>
      </c>
      <c r="B39" s="118"/>
      <c r="C39" s="120" t="s">
        <v>62</v>
      </c>
      <c r="D39" s="118" t="s">
        <v>168</v>
      </c>
      <c r="E39" s="118" t="s">
        <v>16</v>
      </c>
      <c r="F39" s="117"/>
      <c r="G39" s="117"/>
      <c r="H39" s="118"/>
      <c r="I39" s="118" t="e" cm="1" vm="37">
        <f t="array" ref="I39">_xldudf_BOARDFLARE_FMATCH(D39,G39)</f>
        <v>#VALUE!</v>
      </c>
      <c r="J39" s="105">
        <f t="shared" si="4"/>
        <v>0</v>
      </c>
      <c r="K39" s="104"/>
      <c r="L39" s="97" t="e" cm="1" vm="8">
        <f t="array" ref="L39">_xldudf_BOARDFLARE_FMATCH(G39,D39)</f>
        <v>#VALUE!</v>
      </c>
      <c r="M39" s="98" cm="1">
        <f t="array" ref="M39">_FV(L39,"Similarity",TRUE)</f>
        <v>0</v>
      </c>
      <c r="N39" s="97" t="e" cm="1" vm="37">
        <f t="array" ref="N39">_xldudf_BOARDFLARE_FMATCH(D39,G39)</f>
        <v>#VALUE!</v>
      </c>
      <c r="O39" s="98" cm="1">
        <f t="array" ref="O39">_FV(N39,"Similarity",TRUE)</f>
        <v>0</v>
      </c>
      <c r="R39" s="118"/>
      <c r="S39" s="118"/>
      <c r="T39" s="118"/>
      <c r="U39" s="118"/>
      <c r="V39" s="118"/>
      <c r="W39" s="118"/>
      <c r="X39" s="118"/>
      <c r="Y39" s="118"/>
      <c r="Z39" s="118"/>
      <c r="AA39" s="118"/>
      <c r="AB39" s="118"/>
      <c r="AC39" s="118"/>
      <c r="AD39" s="118" t="s">
        <v>97</v>
      </c>
      <c r="AE39" s="96"/>
      <c r="AF39" s="96"/>
      <c r="AG39" s="96"/>
      <c r="AI39" s="118" t="s">
        <v>97</v>
      </c>
      <c r="AJ39" s="118"/>
      <c r="AK39" s="118"/>
      <c r="AL39" s="118"/>
      <c r="AM39" s="96"/>
      <c r="AN39" s="96"/>
      <c r="AO39" s="131" cm="1">
        <f t="array" ref="AO39">MAX(
SUMPRODUCT(--ISNUMBER(MATCH(_xlfn.TEXTSPLIT(LOWER(D39)," "), _xlfn.TEXTSPLIT(LOWER(G39)," "),0))) / COUNTA(_xlfn.TEXTSPLIT(D39," ")),
SUMPRODUCT(--ISNUMBER(SEARCH(LEFT(_xlfn.TEXTSPLIT(LOWER(D39)," "),LEN(_xlfn.TEXTSPLIT(LOWER(D39)," "))-1), LOWER(G39)))) / COUNTA(_xlfn.TEXTSPLIT(D39," "))
)</f>
        <v>0</v>
      </c>
      <c r="AP39" s="131" t="str">
        <f t="shared" si="5"/>
        <v>No Match</v>
      </c>
    </row>
    <row r="40" spans="1:45" ht="14.6" hidden="1">
      <c r="A40" s="117" t="s">
        <v>169</v>
      </c>
      <c r="B40" s="118"/>
      <c r="C40" s="120" t="s">
        <v>62</v>
      </c>
      <c r="D40" s="118" t="s">
        <v>170</v>
      </c>
      <c r="E40" s="118" t="s">
        <v>16</v>
      </c>
      <c r="F40" s="117"/>
      <c r="G40" s="117"/>
      <c r="H40" s="118"/>
      <c r="I40" s="118" t="e" cm="1" vm="38">
        <f t="array" ref="I40">_xldudf_BOARDFLARE_FMATCH(D40,G40)</f>
        <v>#VALUE!</v>
      </c>
      <c r="J40" s="105">
        <f t="shared" si="4"/>
        <v>0</v>
      </c>
      <c r="K40" s="104"/>
      <c r="L40" s="97" t="e" cm="1" vm="8">
        <f t="array" ref="L40">_xldudf_BOARDFLARE_FMATCH(G40,D40)</f>
        <v>#VALUE!</v>
      </c>
      <c r="M40" s="98" cm="1">
        <f t="array" ref="M40">_FV(L40,"Similarity",TRUE)</f>
        <v>0</v>
      </c>
      <c r="N40" s="97" t="e" cm="1" vm="38">
        <f t="array" ref="N40">_xldudf_BOARDFLARE_FMATCH(D40,G40)</f>
        <v>#VALUE!</v>
      </c>
      <c r="O40" s="98" cm="1">
        <f t="array" ref="O40">_FV(N40,"Similarity",TRUE)</f>
        <v>0</v>
      </c>
      <c r="R40" s="118"/>
      <c r="S40" s="118"/>
      <c r="T40" s="118"/>
      <c r="U40" s="118"/>
      <c r="V40" s="118"/>
      <c r="W40" s="118"/>
      <c r="X40" s="118"/>
      <c r="Y40" s="118"/>
      <c r="Z40" s="118"/>
      <c r="AA40" s="118"/>
      <c r="AB40" s="118"/>
      <c r="AC40" s="118"/>
      <c r="AD40" s="118" t="s">
        <v>97</v>
      </c>
      <c r="AE40" s="96"/>
      <c r="AF40" s="96"/>
      <c r="AG40" s="96"/>
      <c r="AI40" s="118" t="s">
        <v>97</v>
      </c>
      <c r="AJ40" s="118"/>
      <c r="AK40" s="118"/>
      <c r="AL40" s="118"/>
      <c r="AM40" s="96"/>
      <c r="AN40" s="96"/>
      <c r="AO40" s="131" cm="1">
        <f t="array" ref="AO40">MAX(
SUMPRODUCT(--ISNUMBER(MATCH(_xlfn.TEXTSPLIT(LOWER(D40)," "), _xlfn.TEXTSPLIT(LOWER(G40)," "),0))) / COUNTA(_xlfn.TEXTSPLIT(D40," ")),
SUMPRODUCT(--ISNUMBER(SEARCH(LEFT(_xlfn.TEXTSPLIT(LOWER(D40)," "),LEN(_xlfn.TEXTSPLIT(LOWER(D40)," "))-1), LOWER(G40)))) / COUNTA(_xlfn.TEXTSPLIT(D40," "))
)</f>
        <v>0</v>
      </c>
      <c r="AP40" s="131" t="str">
        <f t="shared" si="5"/>
        <v>No Match</v>
      </c>
    </row>
    <row r="41" spans="1:45" ht="206.6">
      <c r="A41" s="117" t="s">
        <v>171</v>
      </c>
      <c r="B41" s="118"/>
      <c r="C41" s="117" t="s">
        <v>61</v>
      </c>
      <c r="D41" s="126" t="s">
        <v>172</v>
      </c>
      <c r="E41" s="118" t="s">
        <v>16</v>
      </c>
      <c r="F41" s="117" t="s">
        <v>173</v>
      </c>
      <c r="G41" s="117" t="s">
        <v>174</v>
      </c>
      <c r="H41" s="118"/>
      <c r="I41" s="118" t="e" cm="1" vm="39">
        <f t="array" ref="I41">_xldudf_BOARDFLARE_FMATCH(D41,G41)</f>
        <v>#VALUE!</v>
      </c>
      <c r="J41" s="105">
        <f t="shared" si="4"/>
        <v>0</v>
      </c>
      <c r="K41" s="104"/>
      <c r="L41" s="97" t="e" cm="1" vm="40">
        <f t="array" ref="L41">_xldudf_BOARDFLARE_FMATCH(G41,D41)</f>
        <v>#VALUE!</v>
      </c>
      <c r="M41" s="98" cm="1">
        <f t="array" ref="M41">_FV(L41,"Similarity",TRUE)</f>
        <v>0</v>
      </c>
      <c r="N41" s="97" t="e" cm="1" vm="39">
        <f t="array" ref="N41">_xldudf_BOARDFLARE_FMATCH(D41,G41)</f>
        <v>#VALUE!</v>
      </c>
      <c r="O41" s="98" cm="1">
        <f t="array" ref="O41">_FV(N41,"Similarity",TRUE)</f>
        <v>0</v>
      </c>
      <c r="R41" s="118"/>
      <c r="S41" s="118"/>
      <c r="T41" s="118"/>
      <c r="U41" s="118"/>
      <c r="V41" s="118"/>
      <c r="W41" s="118"/>
      <c r="X41" s="118"/>
      <c r="Y41" s="118"/>
      <c r="Z41" s="118"/>
      <c r="AA41" s="118"/>
      <c r="AB41" s="118"/>
      <c r="AC41" s="118"/>
      <c r="AD41" s="118" t="s">
        <v>97</v>
      </c>
      <c r="AE41" s="96"/>
      <c r="AF41" s="96"/>
      <c r="AG41" s="96"/>
      <c r="AI41" s="118" t="s">
        <v>97</v>
      </c>
      <c r="AJ41" s="118" t="s">
        <v>97</v>
      </c>
      <c r="AK41" s="131" cm="1">
        <f t="array" ref="AK41">SUMPRODUCT(--ISNUMBER(SEARCH(_xlfn.TEXTSPLIT(D41," "), G41))) / COUNTA(_xlfn.TEXTSPLIT(D41," "))</f>
        <v>0.43846153846153846</v>
      </c>
      <c r="AL41" s="131">
        <f>AK41*100</f>
        <v>43.846153846153847</v>
      </c>
      <c r="AM41" s="131" t="str" cm="1">
        <f t="array" ref="AM41">IF(
   SUMPRODUCT(--ISNUMBER(SEARCH(_xlfn.TEXTSPLIT(D41," "), G41))) / COUNTA(_xlfn.TEXTSPLIT(D41," ")) = 1,
   "Full Match",
   IF(
      SUMPRODUCT(--ISNUMBER(SEARCH(_xlfn.TEXTSPLIT(D41," "), G41))) / COUNTA(_xlfn.TEXTSPLIT(D41," ")) &gt; 0.5,
      "Partial Match",
      "No Match"
   )
)</f>
        <v>No Match</v>
      </c>
      <c r="AS41" s="96"/>
    </row>
    <row r="42" spans="1:45" ht="14.6" hidden="1">
      <c r="A42" s="117" t="s">
        <v>175</v>
      </c>
      <c r="B42" s="118"/>
      <c r="C42" s="120" t="s">
        <v>62</v>
      </c>
      <c r="D42" s="124" t="s">
        <v>176</v>
      </c>
      <c r="E42" s="118" t="s">
        <v>16</v>
      </c>
      <c r="F42" s="117" t="s">
        <v>177</v>
      </c>
      <c r="G42" s="117" t="s">
        <v>178</v>
      </c>
      <c r="H42" s="118"/>
      <c r="I42" s="118" t="e" cm="1" vm="41">
        <f t="array" ref="I42">_xldudf_BOARDFLARE_FMATCH(D42,G42)</f>
        <v>#VALUE!</v>
      </c>
      <c r="J42" s="105">
        <f t="shared" si="4"/>
        <v>0.98</v>
      </c>
      <c r="K42" s="104"/>
      <c r="L42" s="97" t="e" cm="1" vm="42">
        <f t="array" ref="L42">_xldudf_BOARDFLARE_FMATCH(G42,D42)</f>
        <v>#VALUE!</v>
      </c>
      <c r="M42" s="98" cm="1">
        <f t="array" ref="M42">_FV(L42,"Similarity",TRUE)</f>
        <v>0</v>
      </c>
      <c r="N42" s="97" t="e" cm="1" vm="41">
        <f t="array" ref="N42">_xldudf_BOARDFLARE_FMATCH(D42,G42)</f>
        <v>#VALUE!</v>
      </c>
      <c r="O42" s="98" cm="1">
        <f t="array" ref="O42">_FV(N42,"Similarity",TRUE)</f>
        <v>0.98</v>
      </c>
      <c r="R42" s="118"/>
      <c r="S42" s="118"/>
      <c r="T42" s="118"/>
      <c r="U42" s="118"/>
      <c r="V42" s="118"/>
      <c r="W42" s="118"/>
      <c r="X42" s="118"/>
      <c r="Y42" s="118"/>
      <c r="Z42" s="118"/>
      <c r="AA42" s="118"/>
      <c r="AB42" s="118"/>
      <c r="AC42" s="118"/>
      <c r="AD42" s="118" t="s">
        <v>97</v>
      </c>
      <c r="AE42" s="96"/>
      <c r="AF42" s="96"/>
      <c r="AG42" s="96"/>
      <c r="AI42" s="118" t="s">
        <v>97</v>
      </c>
      <c r="AJ42" s="118"/>
      <c r="AK42" s="118"/>
      <c r="AL42" s="118"/>
      <c r="AM42" s="96"/>
      <c r="AN42" s="96"/>
      <c r="AO42" s="131" cm="1">
        <f t="array" ref="AO42">MAX(
SUMPRODUCT(--ISNUMBER(MATCH(_xlfn.TEXTSPLIT(LOWER(D42)," "), _xlfn.TEXTSPLIT(LOWER(G42)," "),0))) / COUNTA(_xlfn.TEXTSPLIT(D42," ")),
SUMPRODUCT(--ISNUMBER(SEARCH(LEFT(_xlfn.TEXTSPLIT(LOWER(D42)," "),LEN(_xlfn.TEXTSPLIT(LOWER(D42)," "))-1), LOWER(G42)))) / COUNTA(_xlfn.TEXTSPLIT(D42," "))
)</f>
        <v>1</v>
      </c>
      <c r="AP42" s="131" t="str">
        <f>IF(AO42&gt;=0.8,"Match","No Match")</f>
        <v>Match</v>
      </c>
    </row>
    <row r="43" spans="1:45" ht="15.45">
      <c r="A43" s="117" t="s">
        <v>151</v>
      </c>
      <c r="B43" s="118"/>
      <c r="C43" s="117" t="s">
        <v>61</v>
      </c>
      <c r="D43" s="119" t="s">
        <v>152</v>
      </c>
      <c r="E43" s="118" t="s">
        <v>16</v>
      </c>
      <c r="F43" s="117"/>
      <c r="G43" s="117"/>
      <c r="H43" s="118"/>
      <c r="I43" s="118" t="e" cm="1" vm="28">
        <f t="array" ref="I43">_xldudf_BOARDFLARE_FMATCH(D43,G43)</f>
        <v>#VALUE!</v>
      </c>
      <c r="J43" s="105">
        <f t="shared" si="4"/>
        <v>0</v>
      </c>
      <c r="K43" s="104"/>
      <c r="L43" s="97" t="e" cm="1" vm="8">
        <f t="array" ref="L43">_xldudf_BOARDFLARE_FMATCH(G43,D43)</f>
        <v>#VALUE!</v>
      </c>
      <c r="M43" s="98" cm="1">
        <f t="array" ref="M43">_FV(L43,"Similarity",TRUE)</f>
        <v>0</v>
      </c>
      <c r="N43" s="97" t="e" cm="1" vm="28">
        <f t="array" ref="N43">_xldudf_BOARDFLARE_FMATCH(D43,G43)</f>
        <v>#VALUE!</v>
      </c>
      <c r="O43" s="98" cm="1">
        <f t="array" ref="O43">_FV(N43,"Similarity",TRUE)</f>
        <v>0</v>
      </c>
      <c r="R43" s="118"/>
      <c r="S43" s="118"/>
      <c r="T43" s="118"/>
      <c r="U43" s="118"/>
      <c r="V43" s="118"/>
      <c r="W43" s="118"/>
      <c r="X43" s="118"/>
      <c r="Y43" s="118"/>
      <c r="Z43" s="118"/>
      <c r="AA43" s="118"/>
      <c r="AB43" s="118"/>
      <c r="AC43" s="118"/>
      <c r="AD43" s="118" t="s">
        <v>97</v>
      </c>
      <c r="AE43" s="96"/>
      <c r="AF43" s="96"/>
      <c r="AG43" s="96"/>
      <c r="AI43" s="118" t="s">
        <v>97</v>
      </c>
      <c r="AJ43" s="118" t="s">
        <v>125</v>
      </c>
      <c r="AK43" s="131" cm="1">
        <f t="array" ref="AK43">SUMPRODUCT(--ISNUMBER(SEARCH(_xlfn.TEXTSPLIT(D43," "), G43))) / COUNTA(_xlfn.TEXTSPLIT(D43," "))</f>
        <v>0</v>
      </c>
      <c r="AL43" s="131">
        <f>AK43*100</f>
        <v>0</v>
      </c>
      <c r="AM43" s="131" t="str" cm="1">
        <f t="array" ref="AM43">IF(
   SUMPRODUCT(--ISNUMBER(SEARCH(_xlfn.TEXTSPLIT(D43," "), G43))) / COUNTA(_xlfn.TEXTSPLIT(D43," ")) = 1,
   "Full Match",
   IF(
      SUMPRODUCT(--ISNUMBER(SEARCH(_xlfn.TEXTSPLIT(D43," "), G43))) / COUNTA(_xlfn.TEXTSPLIT(D43," ")) &gt; 0.5,
      "Partial Match",
      "No Match"
   )
)</f>
        <v>No Match</v>
      </c>
      <c r="AS43" s="96"/>
    </row>
    <row r="44" spans="1:45" ht="14.6" hidden="1">
      <c r="A44" s="117" t="s">
        <v>179</v>
      </c>
      <c r="B44" s="118"/>
      <c r="C44" s="120" t="s">
        <v>62</v>
      </c>
      <c r="D44" s="117" t="s">
        <v>163</v>
      </c>
      <c r="E44" s="118" t="s">
        <v>16</v>
      </c>
      <c r="F44" s="117" t="s">
        <v>180</v>
      </c>
      <c r="G44" s="117" t="s">
        <v>181</v>
      </c>
      <c r="H44" s="118"/>
      <c r="I44" s="118" t="e" cm="1" vm="43">
        <f t="array" ref="I44">_xldudf_BOARDFLARE_FMATCH(D44,G44)</f>
        <v>#VALUE!</v>
      </c>
      <c r="J44" s="105">
        <f t="shared" si="4"/>
        <v>0.57999999999999996</v>
      </c>
      <c r="K44" s="104"/>
      <c r="L44" s="97" t="e" cm="1" vm="44">
        <f t="array" ref="L44">_xldudf_BOARDFLARE_FMATCH(G44,D44)</f>
        <v>#VALUE!</v>
      </c>
      <c r="M44" s="98" cm="1">
        <f t="array" ref="M44">_FV(L44,"Similarity",TRUE)</f>
        <v>0.56999999999999995</v>
      </c>
      <c r="N44" s="97" t="e" cm="1" vm="43">
        <f t="array" ref="N44">_xldudf_BOARDFLARE_FMATCH(D44,G44)</f>
        <v>#VALUE!</v>
      </c>
      <c r="O44" s="98" cm="1">
        <f t="array" ref="O44">_FV(N44,"Similarity",TRUE)</f>
        <v>0.57999999999999996</v>
      </c>
      <c r="R44" s="118"/>
      <c r="S44" s="118"/>
      <c r="T44" s="118"/>
      <c r="U44" s="118"/>
      <c r="V44" s="118"/>
      <c r="W44" s="118"/>
      <c r="X44" s="118"/>
      <c r="Y44" s="118"/>
      <c r="Z44" s="118"/>
      <c r="AA44" s="118"/>
      <c r="AB44" s="118"/>
      <c r="AC44" s="118"/>
      <c r="AD44" s="118" t="s">
        <v>97</v>
      </c>
      <c r="AE44" s="96"/>
      <c r="AF44" s="96"/>
      <c r="AG44" s="96"/>
      <c r="AI44" s="118" t="s">
        <v>97</v>
      </c>
      <c r="AJ44" s="118"/>
      <c r="AK44" s="118"/>
      <c r="AL44" s="118"/>
      <c r="AM44" s="96"/>
      <c r="AN44" s="96"/>
      <c r="AO44" s="131" cm="1">
        <f t="array" ref="AO44">MAX(
SUMPRODUCT(--ISNUMBER(MATCH(_xlfn.TEXTSPLIT(LOWER(D44)," "), _xlfn.TEXTSPLIT(LOWER(G44)," "),0))) / COUNTA(_xlfn.TEXTSPLIT(D44," ")),
SUMPRODUCT(--ISNUMBER(SEARCH(LEFT(_xlfn.TEXTSPLIT(LOWER(D44)," "),LEN(_xlfn.TEXTSPLIT(LOWER(D44)," "))-1), LOWER(G44)))) / COUNTA(_xlfn.TEXTSPLIT(D44," "))
)</f>
        <v>0.8</v>
      </c>
      <c r="AP44" s="131" t="str">
        <f>IF(AO44&gt;=0.8,"Match","No Match")</f>
        <v>Match</v>
      </c>
    </row>
    <row r="45" spans="1:45" ht="409.6" hidden="1">
      <c r="A45" s="117" t="s">
        <v>144</v>
      </c>
      <c r="B45" s="118"/>
      <c r="C45" s="117" t="s">
        <v>59</v>
      </c>
      <c r="D45" s="126" t="s">
        <v>145</v>
      </c>
      <c r="E45" s="118" t="s">
        <v>16</v>
      </c>
      <c r="F45" s="117" t="s">
        <v>146</v>
      </c>
      <c r="G45" s="117" t="s">
        <v>147</v>
      </c>
      <c r="H45" s="118"/>
      <c r="I45" s="118" t="e" cm="1" vm="25">
        <f t="array" ref="I45">_xldudf_BOARDFLARE_FMATCH(D45,G45)</f>
        <v>#VALUE!</v>
      </c>
      <c r="J45" s="105">
        <f t="shared" si="4"/>
        <v>0</v>
      </c>
      <c r="K45" s="104"/>
      <c r="L45" s="97" t="e" cm="1" vm="26">
        <f t="array" ref="L45">_xldudf_BOARDFLARE_FMATCH(G45,D45)</f>
        <v>#VALUE!</v>
      </c>
      <c r="M45" s="98" cm="1">
        <f t="array" ref="M45">_FV(L45,"Similarity",TRUE)</f>
        <v>0</v>
      </c>
      <c r="N45" s="97" t="e" cm="1" vm="25">
        <f t="array" ref="N45">_xldudf_BOARDFLARE_FMATCH(D45,G45)</f>
        <v>#VALUE!</v>
      </c>
      <c r="O45" s="98" cm="1">
        <f t="array" ref="O45">_FV(N45,"Similarity",TRUE)</f>
        <v>0</v>
      </c>
      <c r="R45" s="127">
        <v>13</v>
      </c>
      <c r="S45" s="127">
        <v>3</v>
      </c>
      <c r="T45" s="127" t="s">
        <v>148</v>
      </c>
      <c r="U45" s="127" t="s">
        <v>135</v>
      </c>
      <c r="V45" s="127" t="s">
        <v>135</v>
      </c>
      <c r="W45" s="127" t="s">
        <v>135</v>
      </c>
      <c r="X45" s="127" t="s">
        <v>125</v>
      </c>
      <c r="Y45" s="127" cm="1">
        <f t="array" ref="Y45">SUMPRODUCT(--ISNUMBER(SEARCH(_xlfn.TEXTSPLIT(D45," "), G45))) / COUNTA(_xlfn.TEXTSPLIT(D45," "))</f>
        <v>3.3613445378151259E-2</v>
      </c>
      <c r="Z45" s="127" t="str" cm="1">
        <f t="array" ref="Z45">IF(
   SUMPRODUCT(--ISNUMBER(SEARCH(_xlfn.TEXTSPLIT(D45," "), G45))) / COUNTA(_xlfn.TEXTSPLIT(D45," ")) = 1,
   "Full Match",
   IF(
      SUMPRODUCT(--ISNUMBER(SEARCH(_xlfn.TEXTSPLIT(D45," "), G36))) / COUNTA(_xlfn.TEXTSPLIT(D45," ")) &gt; 0.5,
      "Partial Match",
      "No Match"
   )
)</f>
        <v>No Match</v>
      </c>
      <c r="AA45" s="127"/>
      <c r="AB45" s="127"/>
      <c r="AC45" s="118"/>
      <c r="AD45" s="118"/>
      <c r="AE45" s="96"/>
      <c r="AF45" s="96"/>
      <c r="AG45" s="96"/>
      <c r="AI45" s="118" t="s">
        <v>97</v>
      </c>
      <c r="AJ45" s="118"/>
      <c r="AK45" s="118"/>
      <c r="AL45" s="118"/>
      <c r="AM45" s="96"/>
      <c r="AN45" s="96"/>
      <c r="AO45" s="96"/>
      <c r="AP45" s="96"/>
      <c r="AQ45" s="96"/>
      <c r="AR45" s="96"/>
      <c r="AS45" s="96"/>
    </row>
    <row r="46" spans="1:45" ht="14.6" hidden="1">
      <c r="A46" s="117" t="s">
        <v>149</v>
      </c>
      <c r="B46" s="118"/>
      <c r="C46" s="120" t="s">
        <v>62</v>
      </c>
      <c r="D46" s="118" t="s">
        <v>166</v>
      </c>
      <c r="E46" s="118" t="s">
        <v>16</v>
      </c>
      <c r="F46" s="117"/>
      <c r="G46" s="117"/>
      <c r="H46" s="118"/>
      <c r="I46" s="118" t="e" cm="1" vm="36">
        <f t="array" ref="I46">_xldudf_BOARDFLARE_FMATCH(D46,G46)</f>
        <v>#VALUE!</v>
      </c>
      <c r="J46" s="105">
        <f t="shared" si="4"/>
        <v>0</v>
      </c>
      <c r="K46" s="104"/>
      <c r="L46" s="97" t="e" cm="1" vm="8">
        <f t="array" ref="L46">_xldudf_BOARDFLARE_FMATCH(G46,D46)</f>
        <v>#VALUE!</v>
      </c>
      <c r="M46" s="98" cm="1">
        <f t="array" ref="M46">_FV(L46,"Similarity",TRUE)</f>
        <v>0</v>
      </c>
      <c r="N46" s="97" t="e" cm="1" vm="36">
        <f t="array" ref="N46">_xldudf_BOARDFLARE_FMATCH(D46,G46)</f>
        <v>#VALUE!</v>
      </c>
      <c r="O46" s="98" cm="1">
        <f t="array" ref="O46">_FV(N46,"Similarity",TRUE)</f>
        <v>0</v>
      </c>
      <c r="R46" s="118"/>
      <c r="S46" s="118"/>
      <c r="T46" s="118"/>
      <c r="U46" s="118"/>
      <c r="V46" s="118"/>
      <c r="W46" s="118"/>
      <c r="X46" s="118"/>
      <c r="Y46" s="118"/>
      <c r="Z46" s="118"/>
      <c r="AA46" s="118"/>
      <c r="AB46" s="118"/>
      <c r="AD46" s="96"/>
      <c r="AE46" s="96"/>
      <c r="AF46" s="96"/>
      <c r="AG46" s="96"/>
      <c r="AI46" s="118" t="s">
        <v>97</v>
      </c>
      <c r="AJ46" s="118"/>
      <c r="AK46" s="118"/>
      <c r="AL46" s="118"/>
      <c r="AM46" s="96"/>
      <c r="AN46" s="96"/>
      <c r="AO46" s="131" cm="1">
        <f t="array" ref="AO46">MAX(
SUMPRODUCT(--ISNUMBER(MATCH(_xlfn.TEXTSPLIT(LOWER(D46)," "), _xlfn.TEXTSPLIT(LOWER(G46)," "),0))) / COUNTA(_xlfn.TEXTSPLIT(D46," ")),
SUMPRODUCT(--ISNUMBER(SEARCH(LEFT(_xlfn.TEXTSPLIT(LOWER(D46)," "),LEN(_xlfn.TEXTSPLIT(LOWER(D46)," "))-1), LOWER(G46)))) / COUNTA(_xlfn.TEXTSPLIT(D46," "))
)</f>
        <v>0</v>
      </c>
      <c r="AP46" s="131" t="str">
        <f>IF(AO46&gt;=0.8,"Match","No Match")</f>
        <v>No Match</v>
      </c>
    </row>
    <row r="47" spans="1:45" ht="15.45">
      <c r="A47" s="117" t="s">
        <v>153</v>
      </c>
      <c r="B47" s="118"/>
      <c r="C47" s="117" t="s">
        <v>61</v>
      </c>
      <c r="D47" s="119" t="s">
        <v>154</v>
      </c>
      <c r="E47" s="118" t="s">
        <v>16</v>
      </c>
      <c r="F47" s="117" t="s">
        <v>155</v>
      </c>
      <c r="G47" s="117" t="s">
        <v>156</v>
      </c>
      <c r="H47" s="118"/>
      <c r="I47" s="118" t="e" cm="1" vm="29">
        <f t="array" ref="I47">_xldudf_BOARDFLARE_FMATCH(D47,G47)</f>
        <v>#VALUE!</v>
      </c>
      <c r="J47" s="105">
        <f t="shared" si="4"/>
        <v>0</v>
      </c>
      <c r="K47" s="104"/>
      <c r="L47" s="97" t="e" cm="1" vm="30">
        <f t="array" ref="L47">_xldudf_BOARDFLARE_FMATCH(G47,D47)</f>
        <v>#VALUE!</v>
      </c>
      <c r="M47" s="98" cm="1">
        <f t="array" ref="M47">_FV(L47,"Similarity",TRUE)</f>
        <v>0</v>
      </c>
      <c r="N47" s="97" t="e" cm="1" vm="29">
        <f t="array" ref="N47">_xldudf_BOARDFLARE_FMATCH(D47,G47)</f>
        <v>#VALUE!</v>
      </c>
      <c r="O47" s="98" cm="1">
        <f t="array" ref="O47">_FV(N47,"Similarity",TRUE)</f>
        <v>0</v>
      </c>
      <c r="R47" s="118"/>
      <c r="S47" s="118"/>
      <c r="T47" s="118"/>
      <c r="U47" s="118"/>
      <c r="V47" s="118"/>
      <c r="W47" s="118"/>
      <c r="X47" s="118"/>
      <c r="Y47" s="118"/>
      <c r="Z47" s="118"/>
      <c r="AA47" s="118"/>
      <c r="AB47" s="118"/>
      <c r="AD47" s="96"/>
      <c r="AE47" s="96"/>
      <c r="AF47" s="96"/>
      <c r="AG47" s="96"/>
      <c r="AI47" s="118" t="s">
        <v>97</v>
      </c>
      <c r="AJ47" s="118" t="s">
        <v>97</v>
      </c>
      <c r="AK47" s="131" cm="1">
        <f t="array" ref="AK47">SUMPRODUCT(--ISNUMBER(SEARCH(_xlfn.TEXTSPLIT(D47," "), G47))) / COUNTA(_xlfn.TEXTSPLIT(D47," "))</f>
        <v>0.25</v>
      </c>
      <c r="AL47" s="131">
        <f t="shared" ref="AL47:AL48" si="6">AK47*100</f>
        <v>25</v>
      </c>
      <c r="AM47" s="131" t="str" cm="1">
        <f t="array" ref="AM47">IF(
   SUMPRODUCT(--ISNUMBER(SEARCH(_xlfn.TEXTSPLIT(D47," "), G47))) / COUNTA(_xlfn.TEXTSPLIT(D47," ")) = 1,
   "Full Match",
   IF(
      SUMPRODUCT(--ISNUMBER(SEARCH(_xlfn.TEXTSPLIT(D47," "), G47))) / COUNTA(_xlfn.TEXTSPLIT(D47," ")) &gt; 0.5,
      "Partial Match",
      "No Match"
   )
)</f>
        <v>No Match</v>
      </c>
      <c r="AS47" s="96"/>
    </row>
    <row r="48" spans="1:45" ht="247.75">
      <c r="A48" s="117" t="s">
        <v>182</v>
      </c>
      <c r="B48" s="118"/>
      <c r="C48" s="117" t="s">
        <v>61</v>
      </c>
      <c r="D48" s="126" t="s">
        <v>183</v>
      </c>
      <c r="E48" s="118" t="s">
        <v>16</v>
      </c>
      <c r="F48" s="117" t="s">
        <v>184</v>
      </c>
      <c r="G48" s="117" t="s">
        <v>185</v>
      </c>
      <c r="H48" s="118"/>
      <c r="I48" s="118" t="e" cm="1" vm="45">
        <f t="array" ref="I48">_xldudf_BOARDFLARE_FMATCH(D48,G48)</f>
        <v>#VALUE!</v>
      </c>
      <c r="J48" s="105">
        <f t="shared" si="4"/>
        <v>0</v>
      </c>
      <c r="K48" s="104"/>
      <c r="L48" s="97" t="e" cm="1" vm="46">
        <f t="array" ref="L48">_xldudf_BOARDFLARE_FMATCH(G48,D48)</f>
        <v>#VALUE!</v>
      </c>
      <c r="M48" s="98" cm="1">
        <f t="array" ref="M48">_FV(L48,"Similarity",TRUE)</f>
        <v>0</v>
      </c>
      <c r="N48" s="97" t="e" cm="1" vm="45">
        <f t="array" ref="N48">_xldudf_BOARDFLARE_FMATCH(D48,G48)</f>
        <v>#VALUE!</v>
      </c>
      <c r="O48" s="98" cm="1">
        <f t="array" ref="O48">_FV(N48,"Similarity",TRUE)</f>
        <v>0</v>
      </c>
      <c r="R48" s="118"/>
      <c r="S48" s="118"/>
      <c r="T48" s="118"/>
      <c r="U48" s="118"/>
      <c r="V48" s="118"/>
      <c r="W48" s="118"/>
      <c r="X48" s="118"/>
      <c r="Y48" s="118"/>
      <c r="Z48" s="118"/>
      <c r="AA48" s="118"/>
      <c r="AB48" s="118"/>
      <c r="AD48" s="96"/>
      <c r="AE48" s="96"/>
      <c r="AF48" s="96"/>
      <c r="AG48" s="96"/>
      <c r="AI48" s="118" t="s">
        <v>97</v>
      </c>
      <c r="AJ48" s="118" t="s">
        <v>97</v>
      </c>
      <c r="AK48" s="131" cm="1">
        <f t="array" ref="AK48">SUMPRODUCT(--ISNUMBER(SEARCH(_xlfn.TEXTSPLIT(D48," "), G48))) / COUNTA(_xlfn.TEXTSPLIT(D48," "))</f>
        <v>0.3597560975609756</v>
      </c>
      <c r="AL48" s="131">
        <f t="shared" si="6"/>
        <v>35.975609756097562</v>
      </c>
      <c r="AM48" s="131" t="str" cm="1">
        <f t="array" ref="AM48">IF(
   SUMPRODUCT(--ISNUMBER(SEARCH(_xlfn.TEXTSPLIT(D48," "), G48))) / COUNTA(_xlfn.TEXTSPLIT(D48," ")) = 1,
   "Full Match",
   IF(
      SUMPRODUCT(--ISNUMBER(SEARCH(_xlfn.TEXTSPLIT(D48," "), G48))) / COUNTA(_xlfn.TEXTSPLIT(D48," ")) &gt; 0.5,
      "Partial Match",
      "No Match"
   )
)</f>
        <v>No Match</v>
      </c>
      <c r="AS48" s="96"/>
    </row>
    <row r="49" spans="1:45" ht="15.45" hidden="1">
      <c r="A49" s="117" t="s">
        <v>186</v>
      </c>
      <c r="B49" s="118"/>
      <c r="C49" s="120" t="s">
        <v>62</v>
      </c>
      <c r="D49" s="119" t="s">
        <v>187</v>
      </c>
      <c r="E49" s="118" t="s">
        <v>16</v>
      </c>
      <c r="F49" s="117" t="s">
        <v>188</v>
      </c>
      <c r="G49" s="117" t="s">
        <v>189</v>
      </c>
      <c r="H49" s="118"/>
      <c r="I49" s="118" t="e" cm="1" vm="47">
        <f t="array" ref="I49">_xldudf_BOARDFLARE_FMATCH(D49,G49)</f>
        <v>#VALUE!</v>
      </c>
      <c r="J49" s="105">
        <f t="shared" si="4"/>
        <v>0.67</v>
      </c>
      <c r="K49" s="104"/>
      <c r="L49" s="97" t="e" cm="1" vm="48">
        <f t="array" ref="L49">_xldudf_BOARDFLARE_FMATCH(G49,D49)</f>
        <v>#VALUE!</v>
      </c>
      <c r="M49" s="98" cm="1">
        <f t="array" ref="M49">_FV(L49,"Similarity",TRUE)</f>
        <v>0.67</v>
      </c>
      <c r="N49" s="97" t="e" cm="1" vm="47">
        <f t="array" ref="N49">_xldudf_BOARDFLARE_FMATCH(D49,G49)</f>
        <v>#VALUE!</v>
      </c>
      <c r="O49" s="98" cm="1">
        <f t="array" ref="O49">_FV(N49,"Similarity",TRUE)</f>
        <v>0.62</v>
      </c>
      <c r="R49" s="127">
        <v>13</v>
      </c>
      <c r="S49" s="127">
        <v>3</v>
      </c>
      <c r="T49" s="127" t="s">
        <v>148</v>
      </c>
      <c r="U49" s="127" t="s">
        <v>135</v>
      </c>
      <c r="V49" s="127" t="s">
        <v>135</v>
      </c>
      <c r="W49" s="127" t="s">
        <v>135</v>
      </c>
      <c r="X49" s="127" t="s">
        <v>125</v>
      </c>
      <c r="Y49" s="127"/>
      <c r="Z49" s="127"/>
      <c r="AA49" s="127"/>
      <c r="AB49" s="127"/>
      <c r="AD49" s="96"/>
      <c r="AE49" s="96"/>
      <c r="AF49" s="96"/>
      <c r="AG49" s="96"/>
      <c r="AI49" s="118" t="s">
        <v>97</v>
      </c>
      <c r="AJ49" s="118"/>
      <c r="AK49" s="118"/>
      <c r="AL49" s="118"/>
      <c r="AM49" s="96"/>
      <c r="AN49" s="96"/>
      <c r="AO49" s="131" cm="1">
        <f t="array" ref="AO49">MAX(
SUMPRODUCT(--ISNUMBER(MATCH(_xlfn.TEXTSPLIT(LOWER(D49)," "), _xlfn.TEXTSPLIT(LOWER(G49)," "),0))) / COUNTA(_xlfn.TEXTSPLIT(D49," ")),
SUMPRODUCT(--ISNUMBER(SEARCH(LEFT(_xlfn.TEXTSPLIT(LOWER(D49)," "),LEN(_xlfn.TEXTSPLIT(LOWER(D49)," "))-1), LOWER(G49)))) / COUNTA(_xlfn.TEXTSPLIT(D49," "))
)</f>
        <v>0.33333333333333331</v>
      </c>
      <c r="AP49" s="131" t="str">
        <f>IF(AO49&gt;=0.8,"Match","No Match")</f>
        <v>No Match</v>
      </c>
    </row>
    <row r="50" spans="1:45" ht="15.45">
      <c r="A50" s="117" t="s">
        <v>136</v>
      </c>
      <c r="B50" s="118"/>
      <c r="C50" s="117" t="s">
        <v>61</v>
      </c>
      <c r="D50" s="119" t="s">
        <v>137</v>
      </c>
      <c r="E50" s="118" t="s">
        <v>16</v>
      </c>
      <c r="F50" s="117" t="s">
        <v>138</v>
      </c>
      <c r="G50" s="117" t="s">
        <v>139</v>
      </c>
      <c r="H50" s="118"/>
      <c r="I50" s="118" t="e" cm="1" vm="21">
        <f t="array" ref="I50">_xldudf_BOARDFLARE_FMATCH(D50,G50)</f>
        <v>#VALUE!</v>
      </c>
      <c r="J50" s="105">
        <f t="shared" si="4"/>
        <v>0</v>
      </c>
      <c r="K50" s="104"/>
      <c r="L50" s="97" t="e" cm="1" vm="22">
        <f t="array" ref="L50">_xldudf_BOARDFLARE_FMATCH(G50,D50)</f>
        <v>#VALUE!</v>
      </c>
      <c r="M50" s="98" cm="1">
        <f t="array" ref="M50">_FV(L50,"Similarity",TRUE)</f>
        <v>0</v>
      </c>
      <c r="N50" s="97" t="e" cm="1" vm="21">
        <f t="array" ref="N50">_xldudf_BOARDFLARE_FMATCH(D50,G50)</f>
        <v>#VALUE!</v>
      </c>
      <c r="O50" s="98" cm="1">
        <f t="array" ref="O50">_FV(N50,"Similarity",TRUE)</f>
        <v>0</v>
      </c>
      <c r="R50" s="96"/>
      <c r="S50" s="96"/>
      <c r="T50" s="96"/>
      <c r="U50" s="96"/>
      <c r="V50" s="96"/>
      <c r="W50" s="96"/>
      <c r="X50" s="96"/>
      <c r="Y50" s="96"/>
      <c r="Z50" s="96"/>
      <c r="AA50" s="96"/>
      <c r="AB50" s="96"/>
      <c r="AD50" s="96"/>
      <c r="AE50" s="96"/>
      <c r="AF50" s="96"/>
      <c r="AG50" s="96"/>
      <c r="AI50" s="118" t="s">
        <v>97</v>
      </c>
      <c r="AJ50" s="118" t="s">
        <v>125</v>
      </c>
      <c r="AK50" s="131" cm="1">
        <f t="array" ref="AK50">SUMPRODUCT(--ISNUMBER(SEARCH(_xlfn.TEXTSPLIT(D50," "), G50))) / COUNTA(_xlfn.TEXTSPLIT(D50," "))</f>
        <v>0.2</v>
      </c>
      <c r="AL50" s="131">
        <f t="shared" ref="AL50:AL51" si="7">AK50*100</f>
        <v>20</v>
      </c>
      <c r="AM50" s="131" t="str" cm="1">
        <f t="array" ref="AM50">IF(
   SUMPRODUCT(--ISNUMBER(SEARCH(_xlfn.TEXTSPLIT(D50," "), G50))) / COUNTA(_xlfn.TEXTSPLIT(D50," ")) = 1,
   "Full Match",
   IF(
      SUMPRODUCT(--ISNUMBER(SEARCH(_xlfn.TEXTSPLIT(D50," "), G50))) / COUNTA(_xlfn.TEXTSPLIT(D50," ")) &gt; 0.5,
      "Partial Match",
      "No Match"
   )
)</f>
        <v>No Match</v>
      </c>
      <c r="AS50" s="96"/>
    </row>
    <row r="51" spans="1:45" ht="15.45">
      <c r="A51" s="117" t="s">
        <v>136</v>
      </c>
      <c r="B51" s="118"/>
      <c r="C51" s="117" t="s">
        <v>61</v>
      </c>
      <c r="D51" s="119" t="s">
        <v>137</v>
      </c>
      <c r="E51" s="118" t="s">
        <v>16</v>
      </c>
      <c r="F51" s="117" t="s">
        <v>138</v>
      </c>
      <c r="G51" s="117" t="s">
        <v>139</v>
      </c>
      <c r="H51" s="118"/>
      <c r="I51" s="118" t="e" cm="1" vm="21">
        <f t="array" ref="I51">_xldudf_BOARDFLARE_FMATCH(D51,G51)</f>
        <v>#VALUE!</v>
      </c>
      <c r="J51" s="105">
        <f t="shared" si="4"/>
        <v>0</v>
      </c>
      <c r="K51" s="104"/>
      <c r="L51" s="97" t="e" cm="1" vm="22">
        <f t="array" ref="L51">_xldudf_BOARDFLARE_FMATCH(G51,D51)</f>
        <v>#VALUE!</v>
      </c>
      <c r="M51" s="98" cm="1">
        <f t="array" ref="M51">_FV(L51,"Similarity",TRUE)</f>
        <v>0</v>
      </c>
      <c r="N51" s="97" t="e" cm="1" vm="21">
        <f t="array" ref="N51">_xldudf_BOARDFLARE_FMATCH(D51,G51)</f>
        <v>#VALUE!</v>
      </c>
      <c r="O51" s="98" cm="1">
        <f t="array" ref="O51">_FV(N51,"Similarity",TRUE)</f>
        <v>0</v>
      </c>
      <c r="R51" s="96"/>
      <c r="S51" s="96"/>
      <c r="T51" s="96"/>
      <c r="U51" s="96"/>
      <c r="V51" s="96"/>
      <c r="W51" s="96"/>
      <c r="X51" s="96"/>
      <c r="Y51" s="96"/>
      <c r="Z51" s="96"/>
      <c r="AA51" s="96"/>
      <c r="AB51" s="96"/>
      <c r="AD51" s="96"/>
      <c r="AE51" s="96"/>
      <c r="AF51" s="96"/>
      <c r="AG51" s="96"/>
      <c r="AI51" s="118" t="s">
        <v>97</v>
      </c>
      <c r="AJ51" s="118" t="s">
        <v>125</v>
      </c>
      <c r="AK51" s="131" cm="1">
        <f t="array" ref="AK51">SUMPRODUCT(--ISNUMBER(SEARCH(_xlfn.TEXTSPLIT(D51," "), G51))) / COUNTA(_xlfn.TEXTSPLIT(D51," "))</f>
        <v>0.2</v>
      </c>
      <c r="AL51" s="131">
        <f t="shared" si="7"/>
        <v>20</v>
      </c>
      <c r="AM51" s="131" t="str" cm="1">
        <f t="array" ref="AM51">IF(
   SUMPRODUCT(--ISNUMBER(SEARCH(_xlfn.TEXTSPLIT(D51," "), G51))) / COUNTA(_xlfn.TEXTSPLIT(D51," ")) = 1,
   "Full Match",
   IF(
      SUMPRODUCT(--ISNUMBER(SEARCH(_xlfn.TEXTSPLIT(D51," "), G51))) / COUNTA(_xlfn.TEXTSPLIT(D51," ")) &gt; 0.5,
      "Partial Match",
      "No Match"
   )
)</f>
        <v>No Match</v>
      </c>
      <c r="AS51" s="96"/>
    </row>
    <row r="52" spans="1:45" ht="14.6" hidden="1">
      <c r="A52" s="117" t="s">
        <v>190</v>
      </c>
      <c r="B52" s="118"/>
      <c r="C52" s="120" t="s">
        <v>62</v>
      </c>
      <c r="D52" s="125" t="s">
        <v>191</v>
      </c>
      <c r="E52" s="118" t="s">
        <v>16</v>
      </c>
      <c r="F52" s="117"/>
      <c r="G52" s="117"/>
      <c r="H52" s="118"/>
      <c r="I52" s="118" t="e" cm="1" vm="49">
        <f t="array" ref="I52">_xldudf_BOARDFLARE_FMATCH(D52,G52)</f>
        <v>#VALUE!</v>
      </c>
      <c r="J52" s="105">
        <f t="shared" si="4"/>
        <v>0</v>
      </c>
      <c r="K52" s="104"/>
      <c r="L52" s="97" t="e" cm="1" vm="8">
        <f t="array" ref="L52">_xldudf_BOARDFLARE_FMATCH(G52,D52)</f>
        <v>#VALUE!</v>
      </c>
      <c r="M52" s="98" cm="1">
        <f t="array" ref="M52">_FV(L52,"Similarity",TRUE)</f>
        <v>0</v>
      </c>
      <c r="N52" s="97" t="e" cm="1" vm="49">
        <f t="array" ref="N52">_xldudf_BOARDFLARE_FMATCH(D52,G52)</f>
        <v>#VALUE!</v>
      </c>
      <c r="O52" s="98" cm="1">
        <f t="array" ref="O52">_FV(N52,"Similarity",TRUE)</f>
        <v>0</v>
      </c>
      <c r="R52" s="96"/>
      <c r="S52" s="96"/>
      <c r="T52" s="96"/>
      <c r="U52" s="96"/>
      <c r="V52" s="96"/>
      <c r="W52" s="96"/>
      <c r="X52" s="96"/>
      <c r="Y52" s="96"/>
      <c r="Z52" s="96"/>
      <c r="AA52" s="96"/>
      <c r="AB52" s="96"/>
      <c r="AD52" s="96"/>
      <c r="AE52" s="96"/>
      <c r="AF52" s="96"/>
      <c r="AG52" s="96"/>
      <c r="AI52" s="118" t="s">
        <v>97</v>
      </c>
      <c r="AJ52" s="118"/>
      <c r="AK52" s="118"/>
      <c r="AL52" s="118"/>
      <c r="AM52" s="96"/>
      <c r="AN52" s="96"/>
      <c r="AO52" s="131" cm="1">
        <f t="array" ref="AO52">MAX(
SUMPRODUCT(--ISNUMBER(MATCH(_xlfn.TEXTSPLIT(LOWER(D52)," "), _xlfn.TEXTSPLIT(LOWER(G52)," "),0))) / COUNTA(_xlfn.TEXTSPLIT(D52," ")),
SUMPRODUCT(--ISNUMBER(SEARCH(LEFT(_xlfn.TEXTSPLIT(LOWER(D52)," "),LEN(_xlfn.TEXTSPLIT(LOWER(D52)," "))-1), LOWER(G52)))) / COUNTA(_xlfn.TEXTSPLIT(D52," "))
)</f>
        <v>0</v>
      </c>
      <c r="AP52" s="131" t="str">
        <f>IF(AO52&gt;=0.8,"Match","No Match")</f>
        <v>No Match</v>
      </c>
    </row>
    <row r="53" spans="1:45" ht="409.6">
      <c r="A53" s="117" t="s">
        <v>192</v>
      </c>
      <c r="B53" s="118"/>
      <c r="C53" s="117" t="s">
        <v>61</v>
      </c>
      <c r="D53" s="126" t="s">
        <v>193</v>
      </c>
      <c r="E53" s="118" t="s">
        <v>16</v>
      </c>
      <c r="F53" s="117" t="s">
        <v>194</v>
      </c>
      <c r="G53" s="117" t="s">
        <v>195</v>
      </c>
      <c r="H53" s="118"/>
      <c r="I53" s="118" t="e" cm="1" vm="50">
        <f t="array" ref="I53">_xldudf_BOARDFLARE_FMATCH(D53,G53)</f>
        <v>#VALUE!</v>
      </c>
      <c r="J53" s="105">
        <f t="shared" si="4"/>
        <v>0</v>
      </c>
      <c r="K53" s="104"/>
      <c r="L53" s="97" t="e" cm="1" vm="51">
        <f t="array" ref="L53">_xldudf_BOARDFLARE_FMATCH(G53,D53)</f>
        <v>#VALUE!</v>
      </c>
      <c r="M53" s="98" cm="1">
        <f t="array" ref="M53">_FV(L53,"Similarity",TRUE)</f>
        <v>0</v>
      </c>
      <c r="N53" s="97" t="e" cm="1" vm="50">
        <f t="array" ref="N53">_xldudf_BOARDFLARE_FMATCH(D53,G53)</f>
        <v>#VALUE!</v>
      </c>
      <c r="O53" s="98" cm="1">
        <f t="array" ref="O53">_FV(N53,"Similarity",TRUE)</f>
        <v>0</v>
      </c>
      <c r="R53" s="96"/>
      <c r="S53" s="96"/>
      <c r="T53" s="96"/>
      <c r="U53" s="96"/>
      <c r="V53" s="96"/>
      <c r="W53" s="96"/>
      <c r="X53" s="96"/>
      <c r="Y53" s="96"/>
      <c r="Z53" s="96"/>
      <c r="AA53" s="96"/>
      <c r="AB53" s="96"/>
      <c r="AD53" s="96"/>
      <c r="AE53" s="96"/>
      <c r="AF53" s="96"/>
      <c r="AG53" s="96"/>
      <c r="AI53" s="118" t="s">
        <v>97</v>
      </c>
      <c r="AJ53" s="118" t="s">
        <v>97</v>
      </c>
      <c r="AK53" s="131" cm="1">
        <f t="array" ref="AK53">SUMPRODUCT(--ISNUMBER(SEARCH(_xlfn.TEXTSPLIT(D53," "), G53))) / COUNTA(_xlfn.TEXTSPLIT(D53," "))</f>
        <v>0.25558312655086851</v>
      </c>
      <c r="AL53" s="131">
        <f>AK53*100</f>
        <v>25.558312655086851</v>
      </c>
      <c r="AM53" s="131" t="str" cm="1">
        <f t="array" ref="AM53">IF(
   SUMPRODUCT(--ISNUMBER(SEARCH(_xlfn.TEXTSPLIT(D53," "), G53))) / COUNTA(_xlfn.TEXTSPLIT(D53," ")) = 1,
   "Full Match",
   IF(
      SUMPRODUCT(--ISNUMBER(SEARCH(_xlfn.TEXTSPLIT(D53," "), G53))) / COUNTA(_xlfn.TEXTSPLIT(D53," ")) &gt; 0.5,
      "Partial Match",
      "No Match"
   )
)</f>
        <v>No Match</v>
      </c>
      <c r="AS53" s="96"/>
    </row>
    <row r="54" spans="1:45" ht="14.6" hidden="1">
      <c r="A54" s="117" t="s">
        <v>190</v>
      </c>
      <c r="B54" s="118"/>
      <c r="C54" s="120" t="s">
        <v>62</v>
      </c>
      <c r="D54" s="125" t="s">
        <v>191</v>
      </c>
      <c r="E54" s="118" t="s">
        <v>16</v>
      </c>
      <c r="F54" s="117"/>
      <c r="G54" s="117"/>
      <c r="H54" s="118"/>
      <c r="I54" s="118" t="e" cm="1" vm="49">
        <f t="array" ref="I54">_xldudf_BOARDFLARE_FMATCH(D54,G54)</f>
        <v>#VALUE!</v>
      </c>
      <c r="J54" s="105">
        <f t="shared" si="4"/>
        <v>0</v>
      </c>
      <c r="K54" s="104"/>
      <c r="L54" s="97" t="e" cm="1" vm="8">
        <f t="array" ref="L54">_xldudf_BOARDFLARE_FMATCH(G54,D54)</f>
        <v>#VALUE!</v>
      </c>
      <c r="M54" s="98" cm="1">
        <f t="array" ref="M54">_FV(L54,"Similarity",TRUE)</f>
        <v>0</v>
      </c>
      <c r="N54" s="97" t="e" cm="1" vm="49">
        <f t="array" ref="N54">_xldudf_BOARDFLARE_FMATCH(D54,G54)</f>
        <v>#VALUE!</v>
      </c>
      <c r="O54" s="98" cm="1">
        <f t="array" ref="O54">_FV(N54,"Similarity",TRUE)</f>
        <v>0</v>
      </c>
      <c r="R54" s="96"/>
      <c r="S54" s="96"/>
      <c r="T54" s="96"/>
      <c r="U54" s="96"/>
      <c r="V54" s="96"/>
      <c r="W54" s="96"/>
      <c r="X54" s="96"/>
      <c r="Y54" s="96"/>
      <c r="Z54" s="96"/>
      <c r="AA54" s="96"/>
      <c r="AB54" s="96"/>
      <c r="AD54" s="96"/>
      <c r="AE54" s="96"/>
      <c r="AF54" s="96"/>
      <c r="AG54" s="96"/>
      <c r="AI54" s="118" t="s">
        <v>97</v>
      </c>
      <c r="AJ54" s="118"/>
      <c r="AK54" s="118"/>
      <c r="AL54" s="118"/>
      <c r="AM54" s="96"/>
      <c r="AN54" s="96"/>
      <c r="AO54" s="131" cm="1">
        <f t="array" ref="AO54">MAX(
SUMPRODUCT(--ISNUMBER(MATCH(_xlfn.TEXTSPLIT(LOWER(D54)," "), _xlfn.TEXTSPLIT(LOWER(G54)," "),0))) / COUNTA(_xlfn.TEXTSPLIT(D54," ")),
SUMPRODUCT(--ISNUMBER(SEARCH(LEFT(_xlfn.TEXTSPLIT(LOWER(D54)," "),LEN(_xlfn.TEXTSPLIT(LOWER(D54)," "))-1), LOWER(G54)))) / COUNTA(_xlfn.TEXTSPLIT(D54," "))
)</f>
        <v>0</v>
      </c>
      <c r="AP54" s="131" t="str">
        <f>IF(AO54&gt;=0.8,"Match","No Match")</f>
        <v>No Match</v>
      </c>
    </row>
    <row r="55" spans="1:45" ht="409.6">
      <c r="A55" s="117" t="s">
        <v>196</v>
      </c>
      <c r="B55" s="118"/>
      <c r="C55" s="117" t="s">
        <v>61</v>
      </c>
      <c r="D55" s="126" t="s">
        <v>193</v>
      </c>
      <c r="E55" s="118" t="s">
        <v>16</v>
      </c>
      <c r="F55" s="117" t="s">
        <v>194</v>
      </c>
      <c r="G55" s="117" t="s">
        <v>195</v>
      </c>
      <c r="H55" s="118"/>
      <c r="I55" s="118" t="e" cm="1" vm="50">
        <f t="array" ref="I55">_xldudf_BOARDFLARE_FMATCH(D55,G55)</f>
        <v>#VALUE!</v>
      </c>
      <c r="J55" s="105">
        <f t="shared" si="4"/>
        <v>0</v>
      </c>
      <c r="K55" s="104"/>
      <c r="L55" s="97" t="e" cm="1" vm="51">
        <f t="array" ref="L55">_xldudf_BOARDFLARE_FMATCH(G55,D55)</f>
        <v>#VALUE!</v>
      </c>
      <c r="M55" s="98" cm="1">
        <f t="array" ref="M55">_FV(L55,"Similarity",TRUE)</f>
        <v>0</v>
      </c>
      <c r="N55" s="97" t="e" cm="1" vm="50">
        <f t="array" ref="N55">_xldudf_BOARDFLARE_FMATCH(D55,G55)</f>
        <v>#VALUE!</v>
      </c>
      <c r="O55" s="98" cm="1">
        <f t="array" ref="O55">_FV(N55,"Similarity",TRUE)</f>
        <v>0</v>
      </c>
      <c r="R55" s="96"/>
      <c r="S55" s="96"/>
      <c r="T55" s="96"/>
      <c r="U55" s="96"/>
      <c r="V55" s="96"/>
      <c r="W55" s="96"/>
      <c r="X55" s="96"/>
      <c r="Y55" s="96"/>
      <c r="Z55" s="96"/>
      <c r="AA55" s="96"/>
      <c r="AB55" s="96"/>
      <c r="AD55" s="96"/>
      <c r="AE55" s="96"/>
      <c r="AF55" s="96"/>
      <c r="AG55" s="96"/>
      <c r="AI55" s="118" t="s">
        <v>97</v>
      </c>
      <c r="AJ55" s="118" t="s">
        <v>97</v>
      </c>
      <c r="AK55" s="131" cm="1">
        <f t="array" ref="AK55">SUMPRODUCT(--ISNUMBER(SEARCH(_xlfn.TEXTSPLIT(D55," "), G55))) / COUNTA(_xlfn.TEXTSPLIT(D55," "))</f>
        <v>0.25558312655086851</v>
      </c>
      <c r="AL55" s="131">
        <f>AK55*100</f>
        <v>25.558312655086851</v>
      </c>
      <c r="AM55" s="131" t="str" cm="1">
        <f t="array" ref="AM55">IF(
   SUMPRODUCT(--ISNUMBER(SEARCH(_xlfn.TEXTSPLIT(D55," "), G55))) / COUNTA(_xlfn.TEXTSPLIT(D55," ")) = 1,
   "Full Match",
   IF(
      SUMPRODUCT(--ISNUMBER(SEARCH(_xlfn.TEXTSPLIT(D55," "), G55))) / COUNTA(_xlfn.TEXTSPLIT(D55," ")) &gt; 0.5,
      "Partial Match",
      "No Match"
   )
)</f>
        <v>No Match</v>
      </c>
      <c r="AS55" s="96"/>
    </row>
    <row r="56" spans="1:45" ht="409.6" hidden="1">
      <c r="A56" s="117" t="s">
        <v>197</v>
      </c>
      <c r="B56" s="118"/>
      <c r="C56" s="117" t="s">
        <v>60</v>
      </c>
      <c r="D56" s="126" t="s">
        <v>198</v>
      </c>
      <c r="E56" s="118" t="s">
        <v>16</v>
      </c>
      <c r="F56" s="117" t="s">
        <v>199</v>
      </c>
      <c r="G56" s="117" t="s">
        <v>200</v>
      </c>
      <c r="H56" s="118"/>
      <c r="I56" s="118" t="e" cm="1" vm="52">
        <f t="array" ref="I56">_xldudf_BOARDFLARE_FMATCH(D56,G56)</f>
        <v>#VALUE!</v>
      </c>
      <c r="J56" s="105">
        <f t="shared" si="4"/>
        <v>0</v>
      </c>
      <c r="K56" s="104"/>
      <c r="L56" s="97" t="e" cm="1" vm="53">
        <f t="array" ref="L56">_xldudf_BOARDFLARE_FMATCH(G56,D56)</f>
        <v>#VALUE!</v>
      </c>
      <c r="M56" s="98" cm="1">
        <f t="array" ref="M56">_FV(L56,"Similarity",TRUE)</f>
        <v>0</v>
      </c>
      <c r="N56" s="97" t="e" cm="1" vm="52">
        <f t="array" ref="N56">_xldudf_BOARDFLARE_FMATCH(D56,G56)</f>
        <v>#VALUE!</v>
      </c>
      <c r="O56" s="98" cm="1">
        <f t="array" ref="O56">_FV(N56,"Similarity",TRUE)</f>
        <v>0</v>
      </c>
      <c r="R56" s="96"/>
      <c r="S56" s="96"/>
      <c r="T56" s="96"/>
      <c r="U56" s="96"/>
      <c r="V56" s="96"/>
      <c r="W56" s="96"/>
      <c r="X56" s="96"/>
      <c r="Y56" s="96"/>
      <c r="Z56" s="96"/>
      <c r="AA56" s="96"/>
      <c r="AB56" s="96"/>
      <c r="AD56" s="127">
        <v>9</v>
      </c>
      <c r="AE56" s="127">
        <v>1</v>
      </c>
      <c r="AF56" s="127" t="s">
        <v>125</v>
      </c>
      <c r="AG56" s="127" t="str">
        <f>AF56</f>
        <v>no</v>
      </c>
      <c r="AH56" s="96" t="str" cm="1">
        <f t="array" ref="AH56">IF(
   SUMPRODUCT(--ISNUMBER(SEARCH(_xlfn.TEXTSPLIT(D56," "), G56))) / COUNTA(_xlfn.TEXTSPLIT(D56," ")) = 1,
   "Full Match",
   IF(
      SUMPRODUCT(--ISNUMBER(SEARCH(_xlfn.TEXTSPLIT(D56," "), G56))) / COUNTA(_xlfn.TEXTSPLIT(D56," ")) &gt; 0.5,
      "Partial Match",
      "No Match"
   )
)</f>
        <v>No Match</v>
      </c>
      <c r="AI56" s="118" t="s">
        <v>97</v>
      </c>
      <c r="AJ56" s="118"/>
      <c r="AK56" s="118"/>
      <c r="AL56" s="118"/>
      <c r="AM56" s="96"/>
      <c r="AN56" s="96"/>
      <c r="AO56" s="96"/>
      <c r="AP56" s="96"/>
      <c r="AQ56" s="96"/>
      <c r="AR56" s="96"/>
      <c r="AS56" s="96"/>
    </row>
    <row r="57" spans="1:45" ht="15.45" hidden="1">
      <c r="A57" s="117" t="s">
        <v>186</v>
      </c>
      <c r="B57" s="118"/>
      <c r="C57" s="120" t="s">
        <v>62</v>
      </c>
      <c r="D57" s="119" t="s">
        <v>187</v>
      </c>
      <c r="E57" s="118" t="s">
        <v>16</v>
      </c>
      <c r="F57" s="117" t="s">
        <v>188</v>
      </c>
      <c r="G57" s="117" t="s">
        <v>189</v>
      </c>
      <c r="H57" s="118"/>
      <c r="I57" s="118" t="e" cm="1" vm="47">
        <f t="array" ref="I57">_xldudf_BOARDFLARE_FMATCH(D57,G57)</f>
        <v>#VALUE!</v>
      </c>
      <c r="J57" s="105">
        <f t="shared" si="4"/>
        <v>0.67</v>
      </c>
      <c r="K57" s="104"/>
      <c r="L57" s="97" t="e" cm="1" vm="48">
        <f t="array" ref="L57">_xldudf_BOARDFLARE_FMATCH(G57,D57)</f>
        <v>#VALUE!</v>
      </c>
      <c r="M57" s="98" cm="1">
        <f t="array" ref="M57">_FV(L57,"Similarity",TRUE)</f>
        <v>0.67</v>
      </c>
      <c r="N57" s="97" t="e" cm="1" vm="47">
        <f t="array" ref="N57">_xldudf_BOARDFLARE_FMATCH(D57,G57)</f>
        <v>#VALUE!</v>
      </c>
      <c r="O57" s="98" cm="1">
        <f t="array" ref="O57">_FV(N57,"Similarity",TRUE)</f>
        <v>0.62</v>
      </c>
      <c r="R57" s="96"/>
      <c r="S57" s="96"/>
      <c r="T57" s="96"/>
      <c r="U57" s="96"/>
      <c r="V57" s="96"/>
      <c r="W57" s="96"/>
      <c r="X57" s="96"/>
      <c r="Y57" s="96"/>
      <c r="Z57" s="96"/>
      <c r="AA57" s="96"/>
      <c r="AB57" s="96"/>
      <c r="AD57" s="118"/>
      <c r="AE57" s="118"/>
      <c r="AF57" s="118"/>
      <c r="AG57" s="118"/>
      <c r="AI57" s="118" t="s">
        <v>97</v>
      </c>
      <c r="AJ57" s="118"/>
      <c r="AK57" s="118"/>
      <c r="AL57" s="118"/>
      <c r="AM57" s="96"/>
      <c r="AN57" s="96"/>
      <c r="AO57" s="131" cm="1">
        <f t="array" ref="AO57">MAX(
SUMPRODUCT(--ISNUMBER(MATCH(_xlfn.TEXTSPLIT(LOWER(D57)," "), _xlfn.TEXTSPLIT(LOWER(G57)," "),0))) / COUNTA(_xlfn.TEXTSPLIT(D57," ")),
SUMPRODUCT(--ISNUMBER(SEARCH(LEFT(_xlfn.TEXTSPLIT(LOWER(D57)," "),LEN(_xlfn.TEXTSPLIT(LOWER(D57)," "))-1), LOWER(G57)))) / COUNTA(_xlfn.TEXTSPLIT(D57," "))
)</f>
        <v>0.33333333333333331</v>
      </c>
      <c r="AP57" s="131" t="str">
        <f>IF(AO57&gt;=0.8,"Match","No Match")</f>
        <v>No Match</v>
      </c>
    </row>
    <row r="58" spans="1:45" ht="15.45">
      <c r="A58" s="117" t="s">
        <v>151</v>
      </c>
      <c r="B58" s="118"/>
      <c r="C58" s="117" t="s">
        <v>61</v>
      </c>
      <c r="D58" s="119" t="s">
        <v>152</v>
      </c>
      <c r="E58" s="118" t="s">
        <v>16</v>
      </c>
      <c r="F58" s="117"/>
      <c r="G58" s="117"/>
      <c r="H58" s="118"/>
      <c r="I58" s="118" t="e" cm="1" vm="28">
        <f t="array" ref="I58">_xldudf_BOARDFLARE_FMATCH(D58,G58)</f>
        <v>#VALUE!</v>
      </c>
      <c r="J58" s="105">
        <f t="shared" si="4"/>
        <v>0</v>
      </c>
      <c r="K58" s="104"/>
      <c r="L58" s="97" t="e" cm="1" vm="8">
        <f t="array" ref="L58">_xldudf_BOARDFLARE_FMATCH(G58,D58)</f>
        <v>#VALUE!</v>
      </c>
      <c r="M58" s="98" cm="1">
        <f t="array" ref="M58">_FV(L58,"Similarity",TRUE)</f>
        <v>0</v>
      </c>
      <c r="N58" s="97" t="e" cm="1" vm="28">
        <f t="array" ref="N58">_xldudf_BOARDFLARE_FMATCH(D58,G58)</f>
        <v>#VALUE!</v>
      </c>
      <c r="O58" s="98" cm="1">
        <f t="array" ref="O58">_FV(N58,"Similarity",TRUE)</f>
        <v>0</v>
      </c>
      <c r="R58" s="96"/>
      <c r="S58" s="96"/>
      <c r="T58" s="96"/>
      <c r="U58" s="96"/>
      <c r="V58" s="96"/>
      <c r="W58" s="96"/>
      <c r="X58" s="96"/>
      <c r="Y58" s="96"/>
      <c r="Z58" s="96"/>
      <c r="AA58" s="96"/>
      <c r="AB58" s="96"/>
      <c r="AD58" s="118"/>
      <c r="AE58" s="118"/>
      <c r="AF58" s="118"/>
      <c r="AG58" s="118"/>
      <c r="AI58" s="118" t="s">
        <v>97</v>
      </c>
      <c r="AJ58" s="118" t="s">
        <v>125</v>
      </c>
      <c r="AK58" s="131" cm="1">
        <f t="array" ref="AK58">SUMPRODUCT(--ISNUMBER(SEARCH(_xlfn.TEXTSPLIT(D58," "), G58))) / COUNTA(_xlfn.TEXTSPLIT(D58," "))</f>
        <v>0</v>
      </c>
      <c r="AL58" s="131">
        <f t="shared" ref="AL58:AL60" si="8">AK58*100</f>
        <v>0</v>
      </c>
      <c r="AM58" s="131" t="str" cm="1">
        <f t="array" ref="AM58">IF(
   SUMPRODUCT(--ISNUMBER(SEARCH(_xlfn.TEXTSPLIT(D58," "), G58))) / COUNTA(_xlfn.TEXTSPLIT(D58," ")) = 1,
   "Full Match",
   IF(
      SUMPRODUCT(--ISNUMBER(SEARCH(_xlfn.TEXTSPLIT(D58," "), G58))) / COUNTA(_xlfn.TEXTSPLIT(D58," ")) &gt; 0.5,
      "Partial Match",
      "No Match"
   )
)</f>
        <v>No Match</v>
      </c>
      <c r="AS58" s="96"/>
    </row>
    <row r="59" spans="1:45" ht="15.45">
      <c r="A59" s="117" t="s">
        <v>151</v>
      </c>
      <c r="B59" s="118"/>
      <c r="C59" s="117" t="s">
        <v>61</v>
      </c>
      <c r="D59" s="119" t="s">
        <v>152</v>
      </c>
      <c r="E59" s="118" t="s">
        <v>16</v>
      </c>
      <c r="F59" s="117"/>
      <c r="G59" s="117"/>
      <c r="H59" s="118"/>
      <c r="I59" s="118" t="e" cm="1" vm="28">
        <f t="array" ref="I59">_xldudf_BOARDFLARE_FMATCH(D59,G59)</f>
        <v>#VALUE!</v>
      </c>
      <c r="J59" s="105">
        <f t="shared" si="4"/>
        <v>0</v>
      </c>
      <c r="K59" s="104"/>
      <c r="L59" s="97" t="e" cm="1" vm="8">
        <f t="array" ref="L59">_xldudf_BOARDFLARE_FMATCH(G59,D59)</f>
        <v>#VALUE!</v>
      </c>
      <c r="M59" s="98" cm="1">
        <f t="array" ref="M59">_FV(L59,"Similarity",TRUE)</f>
        <v>0</v>
      </c>
      <c r="N59" s="97" t="e" cm="1" vm="28">
        <f t="array" ref="N59">_xldudf_BOARDFLARE_FMATCH(D59,G59)</f>
        <v>#VALUE!</v>
      </c>
      <c r="O59" s="98" cm="1">
        <f t="array" ref="O59">_FV(N59,"Similarity",TRUE)</f>
        <v>0</v>
      </c>
      <c r="R59" s="96"/>
      <c r="S59" s="96"/>
      <c r="T59" s="96"/>
      <c r="U59" s="96"/>
      <c r="V59" s="96"/>
      <c r="W59" s="96"/>
      <c r="X59" s="96"/>
      <c r="Y59" s="96"/>
      <c r="Z59" s="96"/>
      <c r="AA59" s="96"/>
      <c r="AB59" s="96"/>
      <c r="AD59" s="118"/>
      <c r="AE59" s="118"/>
      <c r="AF59" s="118"/>
      <c r="AG59" s="118"/>
      <c r="AI59" s="118" t="s">
        <v>97</v>
      </c>
      <c r="AJ59" s="118" t="s">
        <v>125</v>
      </c>
      <c r="AK59" s="131" cm="1">
        <f t="array" ref="AK59">SUMPRODUCT(--ISNUMBER(SEARCH(_xlfn.TEXTSPLIT(D59," "), G59))) / COUNTA(_xlfn.TEXTSPLIT(D59," "))</f>
        <v>0</v>
      </c>
      <c r="AL59" s="131">
        <f t="shared" si="8"/>
        <v>0</v>
      </c>
      <c r="AM59" s="131" t="str" cm="1">
        <f t="array" ref="AM59">IF(
   SUMPRODUCT(--ISNUMBER(SEARCH(_xlfn.TEXTSPLIT(D59," "), G59))) / COUNTA(_xlfn.TEXTSPLIT(D59," ")) = 1,
   "Full Match",
   IF(
      SUMPRODUCT(--ISNUMBER(SEARCH(_xlfn.TEXTSPLIT(D59," "), G59))) / COUNTA(_xlfn.TEXTSPLIT(D59," ")) &gt; 0.5,
      "Partial Match",
      "No Match"
   )
)</f>
        <v>No Match</v>
      </c>
      <c r="AS59" s="96"/>
    </row>
    <row r="60" spans="1:45" ht="409.6">
      <c r="A60" s="117" t="s">
        <v>201</v>
      </c>
      <c r="B60" s="118"/>
      <c r="C60" s="117" t="s">
        <v>61</v>
      </c>
      <c r="D60" s="126" t="s">
        <v>193</v>
      </c>
      <c r="E60" s="118" t="s">
        <v>16</v>
      </c>
      <c r="F60" s="117" t="s">
        <v>202</v>
      </c>
      <c r="G60" s="117" t="s">
        <v>203</v>
      </c>
      <c r="H60" s="118"/>
      <c r="I60" s="118" t="e" cm="1" vm="50">
        <f t="array" ref="I60">_xldudf_BOARDFLARE_FMATCH(D60,G60)</f>
        <v>#VALUE!</v>
      </c>
      <c r="J60" s="105">
        <f t="shared" si="4"/>
        <v>0</v>
      </c>
      <c r="K60" s="104"/>
      <c r="L60" s="97" t="e" cm="1" vm="54">
        <f t="array" ref="L60">_xldudf_BOARDFLARE_FMATCH(G60,D60)</f>
        <v>#VALUE!</v>
      </c>
      <c r="M60" s="98" cm="1">
        <f t="array" ref="M60">_FV(L60,"Similarity",TRUE)</f>
        <v>0</v>
      </c>
      <c r="N60" s="97" t="e" cm="1" vm="50">
        <f t="array" ref="N60">_xldudf_BOARDFLARE_FMATCH(D60,G60)</f>
        <v>#VALUE!</v>
      </c>
      <c r="O60" s="98" cm="1">
        <f t="array" ref="O60">_FV(N60,"Similarity",TRUE)</f>
        <v>0</v>
      </c>
      <c r="R60" s="96"/>
      <c r="S60" s="96"/>
      <c r="T60" s="96"/>
      <c r="U60" s="96"/>
      <c r="V60" s="96"/>
      <c r="W60" s="96"/>
      <c r="X60" s="96"/>
      <c r="Y60" s="96"/>
      <c r="Z60" s="96"/>
      <c r="AA60" s="96"/>
      <c r="AB60" s="96"/>
      <c r="AD60" s="118"/>
      <c r="AE60" s="118"/>
      <c r="AF60" s="118"/>
      <c r="AG60" s="118"/>
      <c r="AI60" s="118" t="s">
        <v>97</v>
      </c>
      <c r="AJ60" s="118" t="s">
        <v>97</v>
      </c>
      <c r="AK60" s="131" cm="1">
        <f t="array" ref="AK60">SUMPRODUCT(--ISNUMBER(SEARCH(_xlfn.TEXTSPLIT(D60," "), G60))) / COUNTA(_xlfn.TEXTSPLIT(D60," "))</f>
        <v>0.24317617866004962</v>
      </c>
      <c r="AL60" s="131">
        <f t="shared" si="8"/>
        <v>24.317617866004962</v>
      </c>
      <c r="AM60" s="131" t="str" cm="1">
        <f t="array" ref="AM60">IF(
   SUMPRODUCT(--ISNUMBER(SEARCH(_xlfn.TEXTSPLIT(D60," "), G60))) / COUNTA(_xlfn.TEXTSPLIT(D60," ")) = 1,
   "Full Match",
   IF(
      SUMPRODUCT(--ISNUMBER(SEARCH(_xlfn.TEXTSPLIT(D60," "), G60))) / COUNTA(_xlfn.TEXTSPLIT(D60," ")) &gt; 0.5,
      "Partial Match",
      "No Match"
   )
)</f>
        <v>No Match</v>
      </c>
      <c r="AS60" s="96"/>
    </row>
    <row r="61" spans="1:45" ht="409.6" hidden="1">
      <c r="A61" s="117" t="s">
        <v>204</v>
      </c>
      <c r="B61" s="118"/>
      <c r="C61" s="117" t="s">
        <v>60</v>
      </c>
      <c r="D61" s="126" t="s">
        <v>205</v>
      </c>
      <c r="E61" s="118" t="s">
        <v>16</v>
      </c>
      <c r="F61" s="117" t="s">
        <v>206</v>
      </c>
      <c r="G61" s="117" t="s">
        <v>207</v>
      </c>
      <c r="H61" s="118"/>
      <c r="I61" s="118" t="e" cm="1" vm="55">
        <f t="array" ref="I61">_xldudf_BOARDFLARE_FMATCH(D61,G61)</f>
        <v>#VALUE!</v>
      </c>
      <c r="J61" s="105">
        <f t="shared" si="4"/>
        <v>0</v>
      </c>
      <c r="K61" s="104"/>
      <c r="L61" s="97" t="e" cm="1" vm="56">
        <f t="array" ref="L61">_xldudf_BOARDFLARE_FMATCH(G61,D61)</f>
        <v>#VALUE!</v>
      </c>
      <c r="M61" s="98" cm="1">
        <f t="array" ref="M61">_FV(L61,"Similarity",TRUE)</f>
        <v>0</v>
      </c>
      <c r="N61" s="97" t="e" cm="1" vm="55">
        <f t="array" ref="N61">_xldudf_BOARDFLARE_FMATCH(D61,G61)</f>
        <v>#VALUE!</v>
      </c>
      <c r="O61" s="98" cm="1">
        <f t="array" ref="O61">_FV(N61,"Similarity",TRUE)</f>
        <v>0</v>
      </c>
      <c r="R61" s="96"/>
      <c r="S61" s="96"/>
      <c r="T61" s="96"/>
      <c r="U61" s="96"/>
      <c r="V61" s="96"/>
      <c r="W61" s="96"/>
      <c r="X61" s="96"/>
      <c r="Y61" s="96"/>
      <c r="Z61" s="96"/>
      <c r="AA61" s="96"/>
      <c r="AB61" s="96"/>
      <c r="AD61" s="127">
        <v>18</v>
      </c>
      <c r="AE61" s="127">
        <v>10</v>
      </c>
      <c r="AF61" s="127" t="s">
        <v>125</v>
      </c>
      <c r="AG61" s="127" t="str">
        <f t="shared" ref="AG61:AG62" si="9">AF61</f>
        <v>no</v>
      </c>
      <c r="AH61" s="96" t="str" cm="1">
        <f t="array" ref="AH61">IF(
   SUMPRODUCT(--ISNUMBER(SEARCH(_xlfn.TEXTSPLIT(D61," "), G61))) / COUNTA(_xlfn.TEXTSPLIT(D61," ")) = 1,
   "Full Match",
   IF(
      SUMPRODUCT(--ISNUMBER(SEARCH(_xlfn.TEXTSPLIT(D61," "), G61))) / COUNTA(_xlfn.TEXTSPLIT(D61," ")) &gt; 0.5,
      "Partial Match",
      "No Match"
   )
)</f>
        <v>No Match</v>
      </c>
      <c r="AI61" s="118" t="s">
        <v>97</v>
      </c>
      <c r="AJ61" s="118"/>
      <c r="AK61" s="118"/>
      <c r="AL61" s="118"/>
      <c r="AM61" s="96"/>
      <c r="AN61" s="96"/>
      <c r="AO61" s="96"/>
      <c r="AP61" s="96"/>
      <c r="AQ61" s="96"/>
      <c r="AR61" s="96"/>
      <c r="AS61" s="96"/>
    </row>
    <row r="62" spans="1:45" ht="206.6" hidden="1">
      <c r="A62" s="117" t="s">
        <v>208</v>
      </c>
      <c r="B62" s="118"/>
      <c r="C62" s="117" t="s">
        <v>60</v>
      </c>
      <c r="D62" s="126" t="s">
        <v>209</v>
      </c>
      <c r="E62" s="118" t="s">
        <v>16</v>
      </c>
      <c r="F62" s="117" t="s">
        <v>210</v>
      </c>
      <c r="G62" s="117" t="s">
        <v>211</v>
      </c>
      <c r="H62" s="118"/>
      <c r="I62" s="118" t="e" cm="1" vm="57">
        <f t="array" ref="I62">_xldudf_BOARDFLARE_FMATCH(D62,G62)</f>
        <v>#VALUE!</v>
      </c>
      <c r="J62" s="105">
        <f t="shared" si="4"/>
        <v>0</v>
      </c>
      <c r="K62" s="104"/>
      <c r="L62" s="97" t="e" cm="1" vm="58">
        <f t="array" ref="L62">_xldudf_BOARDFLARE_FMATCH(G62,D62)</f>
        <v>#VALUE!</v>
      </c>
      <c r="M62" s="98" cm="1">
        <f t="array" ref="M62">_FV(L62,"Similarity",TRUE)</f>
        <v>0</v>
      </c>
      <c r="N62" s="97" t="e" cm="1" vm="57">
        <f t="array" ref="N62">_xldudf_BOARDFLARE_FMATCH(D62,G62)</f>
        <v>#VALUE!</v>
      </c>
      <c r="O62" s="98" cm="1">
        <f t="array" ref="O62">_FV(N62,"Similarity",TRUE)</f>
        <v>0</v>
      </c>
      <c r="R62" s="96"/>
      <c r="S62" s="96"/>
      <c r="T62" s="96"/>
      <c r="U62" s="96"/>
      <c r="V62" s="96"/>
      <c r="W62" s="96"/>
      <c r="X62" s="96"/>
      <c r="Y62" s="96"/>
      <c r="Z62" s="96"/>
      <c r="AA62" s="96"/>
      <c r="AB62" s="96"/>
      <c r="AD62" s="127">
        <v>5</v>
      </c>
      <c r="AE62" s="127">
        <v>8</v>
      </c>
      <c r="AF62" s="127" t="s">
        <v>125</v>
      </c>
      <c r="AG62" s="127" t="str">
        <f t="shared" si="9"/>
        <v>no</v>
      </c>
      <c r="AH62" s="96" t="str" cm="1">
        <f t="array" ref="AH62">IF(
   SUMPRODUCT(--ISNUMBER(SEARCH(_xlfn.TEXTSPLIT(D62," "), G62))) / COUNTA(_xlfn.TEXTSPLIT(D62," ")) = 1,
   "Full Match",
   IF(
      SUMPRODUCT(--ISNUMBER(SEARCH(_xlfn.TEXTSPLIT(D62," "), G62))) / COUNTA(_xlfn.TEXTSPLIT(D62," ")) &gt; 0.5,
      "Partial Match",
      "No Match"
   )
)</f>
        <v>Partial Match</v>
      </c>
      <c r="AI62" s="118" t="s">
        <v>97</v>
      </c>
      <c r="AJ62" s="118"/>
      <c r="AK62" s="118"/>
      <c r="AL62" s="118"/>
      <c r="AM62" s="96"/>
      <c r="AN62" s="96"/>
      <c r="AO62" s="96"/>
      <c r="AP62" s="96"/>
      <c r="AQ62" s="96"/>
      <c r="AR62" s="96"/>
      <c r="AS62" s="96"/>
    </row>
    <row r="63" spans="1:45" ht="15.45">
      <c r="A63" s="117" t="s">
        <v>136</v>
      </c>
      <c r="B63" s="118"/>
      <c r="C63" s="117" t="s">
        <v>61</v>
      </c>
      <c r="D63" s="119" t="s">
        <v>137</v>
      </c>
      <c r="E63" s="118" t="s">
        <v>16</v>
      </c>
      <c r="F63" s="117" t="s">
        <v>138</v>
      </c>
      <c r="G63" s="117" t="s">
        <v>139</v>
      </c>
      <c r="H63" s="118"/>
      <c r="I63" s="118" t="e" cm="1" vm="21">
        <f t="array" ref="I63">_xldudf_BOARDFLARE_FMATCH(D63,G63)</f>
        <v>#VALUE!</v>
      </c>
      <c r="J63" s="105">
        <f t="shared" si="4"/>
        <v>0</v>
      </c>
      <c r="K63" s="104"/>
      <c r="L63" s="97" t="e" cm="1" vm="22">
        <f t="array" ref="L63">_xldudf_BOARDFLARE_FMATCH(G63,D63)</f>
        <v>#VALUE!</v>
      </c>
      <c r="M63" s="98" cm="1">
        <f t="array" ref="M63">_FV(L63,"Similarity",TRUE)</f>
        <v>0</v>
      </c>
      <c r="N63" s="97" t="e" cm="1" vm="21">
        <f t="array" ref="N63">_xldudf_BOARDFLARE_FMATCH(D63,G63)</f>
        <v>#VALUE!</v>
      </c>
      <c r="O63" s="98" cm="1">
        <f t="array" ref="O63">_FV(N63,"Similarity",TRUE)</f>
        <v>0</v>
      </c>
      <c r="R63" s="96"/>
      <c r="S63" s="96"/>
      <c r="T63" s="96"/>
      <c r="U63" s="96"/>
      <c r="V63" s="96"/>
      <c r="W63" s="96"/>
      <c r="X63" s="96"/>
      <c r="Y63" s="96"/>
      <c r="Z63" s="96"/>
      <c r="AA63" s="96"/>
      <c r="AB63" s="96"/>
      <c r="AD63" s="118"/>
      <c r="AE63" s="118"/>
      <c r="AF63" s="118"/>
      <c r="AG63" s="118"/>
      <c r="AI63" s="118" t="s">
        <v>97</v>
      </c>
      <c r="AJ63" s="118" t="s">
        <v>97</v>
      </c>
      <c r="AK63" s="131" cm="1">
        <f t="array" ref="AK63">SUMPRODUCT(--ISNUMBER(SEARCH(_xlfn.TEXTSPLIT(D63," "), G63))) / COUNTA(_xlfn.TEXTSPLIT(D63," "))</f>
        <v>0.2</v>
      </c>
      <c r="AL63" s="131">
        <f>AK63*100</f>
        <v>20</v>
      </c>
      <c r="AM63" s="131" t="str" cm="1">
        <f t="array" ref="AM63">IF(
   SUMPRODUCT(--ISNUMBER(SEARCH(_xlfn.TEXTSPLIT(D63," "), G63))) / COUNTA(_xlfn.TEXTSPLIT(D63," ")) = 1,
   "Full Match",
   IF(
      SUMPRODUCT(--ISNUMBER(SEARCH(_xlfn.TEXTSPLIT(D63," "), G63))) / COUNTA(_xlfn.TEXTSPLIT(D63," ")) &gt; 0.5,
      "Partial Match",
      "No Match"
   )
)</f>
        <v>No Match</v>
      </c>
      <c r="AS63" s="96"/>
    </row>
    <row r="64" spans="1:45" ht="357.45" hidden="1">
      <c r="A64" s="117" t="s">
        <v>212</v>
      </c>
      <c r="B64" s="118"/>
      <c r="C64" s="117" t="s">
        <v>60</v>
      </c>
      <c r="D64" s="126" t="s">
        <v>213</v>
      </c>
      <c r="E64" s="118" t="s">
        <v>16</v>
      </c>
      <c r="F64" s="117" t="s">
        <v>214</v>
      </c>
      <c r="G64" s="117" t="s">
        <v>215</v>
      </c>
      <c r="H64" s="118"/>
      <c r="I64" s="118" t="e" cm="1" vm="59">
        <f t="array" ref="I64">_xldudf_BOARDFLARE_FMATCH(D64,G64)</f>
        <v>#VALUE!</v>
      </c>
      <c r="J64" s="105">
        <f t="shared" si="4"/>
        <v>0</v>
      </c>
      <c r="K64" s="104"/>
      <c r="L64" s="97" t="e" cm="1" vm="60">
        <f t="array" ref="L64">_xldudf_BOARDFLARE_FMATCH(G64,D64)</f>
        <v>#VALUE!</v>
      </c>
      <c r="M64" s="98" cm="1">
        <f t="array" ref="M64">_FV(L64,"Similarity",TRUE)</f>
        <v>0</v>
      </c>
      <c r="N64" s="97" t="e" cm="1" vm="59">
        <f t="array" ref="N64">_xldudf_BOARDFLARE_FMATCH(D64,G64)</f>
        <v>#VALUE!</v>
      </c>
      <c r="O64" s="98" cm="1">
        <f t="array" ref="O64">_FV(N64,"Similarity",TRUE)</f>
        <v>0</v>
      </c>
      <c r="R64" s="96"/>
      <c r="S64" s="96"/>
      <c r="T64" s="96"/>
      <c r="U64" s="96"/>
      <c r="V64" s="96"/>
      <c r="W64" s="96"/>
      <c r="X64" s="96"/>
      <c r="Y64" s="96"/>
      <c r="Z64" s="96"/>
      <c r="AA64" s="96"/>
      <c r="AB64" s="96"/>
      <c r="AD64" s="127">
        <v>6</v>
      </c>
      <c r="AE64" s="127">
        <v>5</v>
      </c>
      <c r="AF64" s="127" t="s">
        <v>125</v>
      </c>
      <c r="AG64" s="127" t="str">
        <f>AF64</f>
        <v>no</v>
      </c>
      <c r="AH64" s="96" t="str" cm="1">
        <f t="array" ref="AH64">IF(
   SUMPRODUCT(--ISNUMBER(SEARCH(_xlfn.TEXTSPLIT(D64," "), G64))) / COUNTA(_xlfn.TEXTSPLIT(D64," ")) = 1,
   "Full Match",
   IF(
      SUMPRODUCT(--ISNUMBER(SEARCH(_xlfn.TEXTSPLIT(D64," "), G64))) / COUNTA(_xlfn.TEXTSPLIT(D64," ")) &gt; 0.5,
      "Partial Match",
      "No Match"
   )
)</f>
        <v>No Match</v>
      </c>
      <c r="AI64" s="118" t="s">
        <v>97</v>
      </c>
      <c r="AJ64" s="118"/>
      <c r="AK64" s="118"/>
      <c r="AL64" s="118"/>
      <c r="AM64" s="96"/>
      <c r="AN64" s="96"/>
      <c r="AO64" s="96"/>
      <c r="AP64" s="96"/>
      <c r="AQ64" s="96"/>
      <c r="AR64" s="96"/>
      <c r="AS64" s="96"/>
    </row>
    <row r="65" spans="1:45" ht="14.6" hidden="1">
      <c r="A65" s="117" t="s">
        <v>216</v>
      </c>
      <c r="B65" s="118"/>
      <c r="C65" s="120" t="s">
        <v>62</v>
      </c>
      <c r="D65" s="117" t="s">
        <v>217</v>
      </c>
      <c r="E65" s="118" t="s">
        <v>16</v>
      </c>
      <c r="F65" s="117" t="s">
        <v>218</v>
      </c>
      <c r="G65" s="117" t="s">
        <v>217</v>
      </c>
      <c r="H65" s="118"/>
      <c r="I65" s="118" t="e" cm="1" vm="61">
        <f t="array" ref="I65">_xldudf_BOARDFLARE_FMATCH(D65,G65)</f>
        <v>#VALUE!</v>
      </c>
      <c r="J65" s="105">
        <f t="shared" si="4"/>
        <v>1</v>
      </c>
      <c r="K65" s="104"/>
      <c r="L65" s="97" t="e" cm="1" vm="61">
        <f t="array" ref="L65">_xldudf_BOARDFLARE_FMATCH(G65,D65)</f>
        <v>#VALUE!</v>
      </c>
      <c r="M65" s="98" cm="1">
        <f t="array" ref="M65">_FV(L65,"Similarity",TRUE)</f>
        <v>1</v>
      </c>
      <c r="N65" s="97" t="e" cm="1" vm="61">
        <f t="array" ref="N65">_xldudf_BOARDFLARE_FMATCH(D65,G65)</f>
        <v>#VALUE!</v>
      </c>
      <c r="O65" s="98" cm="1">
        <f t="array" ref="O65">_FV(N65,"Similarity",TRUE)</f>
        <v>1</v>
      </c>
      <c r="R65" s="96"/>
      <c r="S65" s="96"/>
      <c r="T65" s="96"/>
      <c r="U65" s="96"/>
      <c r="V65" s="96"/>
      <c r="W65" s="96"/>
      <c r="X65" s="96"/>
      <c r="Y65" s="96"/>
      <c r="Z65" s="96"/>
      <c r="AA65" s="96"/>
      <c r="AB65" s="96"/>
      <c r="AD65" s="118"/>
      <c r="AE65" s="118"/>
      <c r="AF65" s="118"/>
      <c r="AG65" s="118"/>
      <c r="AI65" s="118" t="s">
        <v>97</v>
      </c>
      <c r="AJ65" s="118"/>
      <c r="AK65" s="118"/>
      <c r="AL65" s="118"/>
      <c r="AM65" s="96"/>
      <c r="AN65" s="96"/>
      <c r="AO65" s="131" cm="1">
        <f t="array" ref="AO65">MAX(
SUMPRODUCT(--ISNUMBER(MATCH(_xlfn.TEXTSPLIT(LOWER(D65)," "), _xlfn.TEXTSPLIT(LOWER(G65)," "),0))) / COUNTA(_xlfn.TEXTSPLIT(D65," ")),
SUMPRODUCT(--ISNUMBER(SEARCH(LEFT(_xlfn.TEXTSPLIT(LOWER(D65)," "),LEN(_xlfn.TEXTSPLIT(LOWER(D65)," "))-1), LOWER(G65)))) / COUNTA(_xlfn.TEXTSPLIT(D65," "))
)</f>
        <v>1</v>
      </c>
      <c r="AP65" s="131" t="str">
        <f>IF(AO65&gt;=0.8,"Match","No Match")</f>
        <v>Match</v>
      </c>
    </row>
    <row r="66" spans="1:45" ht="15.45">
      <c r="A66" s="117" t="s">
        <v>219</v>
      </c>
      <c r="B66" s="118"/>
      <c r="C66" s="117" t="s">
        <v>61</v>
      </c>
      <c r="D66" s="119" t="s">
        <v>220</v>
      </c>
      <c r="E66" s="118" t="s">
        <v>16</v>
      </c>
      <c r="F66" s="117" t="s">
        <v>221</v>
      </c>
      <c r="G66" s="117" t="s">
        <v>222</v>
      </c>
      <c r="H66" s="118"/>
      <c r="I66" s="118" t="e" cm="1" vm="62">
        <f t="array" ref="I66">_xldudf_BOARDFLARE_FMATCH(D66,G66)</f>
        <v>#VALUE!</v>
      </c>
      <c r="J66" s="105">
        <f t="shared" si="4"/>
        <v>0</v>
      </c>
      <c r="K66" s="104"/>
      <c r="L66" s="97" t="e" cm="1" vm="63">
        <f t="array" ref="L66">_xldudf_BOARDFLARE_FMATCH(G66,D66)</f>
        <v>#VALUE!</v>
      </c>
      <c r="M66" s="98" cm="1">
        <f t="array" ref="M66">_FV(L66,"Similarity",TRUE)</f>
        <v>0</v>
      </c>
      <c r="N66" s="97" t="e" cm="1" vm="62">
        <f t="array" ref="N66">_xldudf_BOARDFLARE_FMATCH(D66,G66)</f>
        <v>#VALUE!</v>
      </c>
      <c r="O66" s="98" cm="1">
        <f t="array" ref="O66">_FV(N66,"Similarity",TRUE)</f>
        <v>0</v>
      </c>
      <c r="R66" s="96"/>
      <c r="S66" s="96"/>
      <c r="T66" s="96"/>
      <c r="U66" s="96"/>
      <c r="V66" s="96"/>
      <c r="W66" s="96"/>
      <c r="X66" s="96"/>
      <c r="Y66" s="96"/>
      <c r="Z66" s="96"/>
      <c r="AA66" s="96"/>
      <c r="AB66" s="96"/>
      <c r="AD66" s="118"/>
      <c r="AE66" s="118"/>
      <c r="AF66" s="118"/>
      <c r="AG66" s="118"/>
      <c r="AI66" s="118" t="s">
        <v>97</v>
      </c>
      <c r="AJ66" s="118" t="s">
        <v>97</v>
      </c>
      <c r="AK66" s="131" cm="1">
        <f t="array" ref="AK66">SUMPRODUCT(--ISNUMBER(SEARCH(_xlfn.TEXTSPLIT(D66," "), G66))) / COUNTA(_xlfn.TEXTSPLIT(D66," "))</f>
        <v>2.6315789473684209E-2</v>
      </c>
      <c r="AL66" s="131">
        <f>AK66*100</f>
        <v>2.6315789473684208</v>
      </c>
      <c r="AM66" s="131" t="str" cm="1">
        <f t="array" ref="AM66">IF(
   SUMPRODUCT(--ISNUMBER(SEARCH(_xlfn.TEXTSPLIT(D66," "), G66))) / COUNTA(_xlfn.TEXTSPLIT(D66," ")) = 1,
   "Full Match",
   IF(
      SUMPRODUCT(--ISNUMBER(SEARCH(_xlfn.TEXTSPLIT(D66," "), G66))) / COUNTA(_xlfn.TEXTSPLIT(D66," ")) &gt; 0.5,
      "Partial Match",
      "No Match"
   )
)</f>
        <v>No Match</v>
      </c>
      <c r="AS66" s="96"/>
    </row>
    <row r="67" spans="1:45" ht="124.3" hidden="1">
      <c r="A67" s="117" t="s">
        <v>223</v>
      </c>
      <c r="B67" s="118"/>
      <c r="C67" s="117" t="s">
        <v>60</v>
      </c>
      <c r="D67" s="126" t="s">
        <v>224</v>
      </c>
      <c r="E67" s="118" t="s">
        <v>16</v>
      </c>
      <c r="F67" s="117" t="s">
        <v>225</v>
      </c>
      <c r="G67" s="117" t="s">
        <v>226</v>
      </c>
      <c r="H67" s="118"/>
      <c r="I67" s="118" t="e" cm="1" vm="64">
        <f t="array" ref="I67">_xldudf_BOARDFLARE_FMATCH(D67,G67)</f>
        <v>#VALUE!</v>
      </c>
      <c r="J67" s="105">
        <f t="shared" ref="J67:J98" si="10">IF(M67&gt;O67, M67,O67)</f>
        <v>0</v>
      </c>
      <c r="K67" s="104"/>
      <c r="L67" s="97" t="e" cm="1" vm="65">
        <f t="array" ref="L67">_xldudf_BOARDFLARE_FMATCH(G67,D67)</f>
        <v>#VALUE!</v>
      </c>
      <c r="M67" s="98" cm="1">
        <f t="array" ref="M67">_FV(L67,"Similarity",TRUE)</f>
        <v>0</v>
      </c>
      <c r="N67" s="97" t="e" cm="1" vm="64">
        <f t="array" ref="N67">_xldudf_BOARDFLARE_FMATCH(D67,G67)</f>
        <v>#VALUE!</v>
      </c>
      <c r="O67" s="98" cm="1">
        <f t="array" ref="O67">_FV(N67,"Similarity",TRUE)</f>
        <v>0</v>
      </c>
      <c r="R67" s="96"/>
      <c r="S67" s="96"/>
      <c r="T67" s="96"/>
      <c r="U67" s="96"/>
      <c r="V67" s="96"/>
      <c r="W67" s="96"/>
      <c r="X67" s="96"/>
      <c r="Y67" s="96"/>
      <c r="Z67" s="96"/>
      <c r="AA67" s="96"/>
      <c r="AB67" s="96"/>
      <c r="AD67" s="127">
        <v>3</v>
      </c>
      <c r="AE67" s="127">
        <v>6</v>
      </c>
      <c r="AF67" s="127" t="s">
        <v>125</v>
      </c>
      <c r="AG67" s="127" t="str">
        <f>AF67</f>
        <v>no</v>
      </c>
      <c r="AH67" s="96" t="str" cm="1">
        <f t="array" ref="AH67">IF(
   SUMPRODUCT(--ISNUMBER(SEARCH(_xlfn.TEXTSPLIT(D67," "), G67))) / COUNTA(_xlfn.TEXTSPLIT(D67," ")) = 1,
   "Full Match",
   IF(
      SUMPRODUCT(--ISNUMBER(SEARCH(_xlfn.TEXTSPLIT(D67," "), G67))) / COUNTA(_xlfn.TEXTSPLIT(D67," ")) &gt; 0.5,
      "Partial Match",
      "No Match"
   )
)</f>
        <v>No Match</v>
      </c>
      <c r="AI67" s="118" t="s">
        <v>97</v>
      </c>
      <c r="AJ67" s="118"/>
      <c r="AK67" s="118"/>
      <c r="AL67" s="118"/>
      <c r="AM67" s="96"/>
      <c r="AN67" s="96"/>
      <c r="AO67" s="96"/>
      <c r="AP67" s="96"/>
      <c r="AQ67" s="96"/>
      <c r="AR67" s="96"/>
      <c r="AS67" s="96"/>
    </row>
    <row r="68" spans="1:45" ht="15.45" hidden="1">
      <c r="A68" s="117" t="s">
        <v>227</v>
      </c>
      <c r="B68" s="118"/>
      <c r="C68" s="120" t="s">
        <v>62</v>
      </c>
      <c r="D68" s="119" t="s">
        <v>228</v>
      </c>
      <c r="E68" s="118" t="s">
        <v>16</v>
      </c>
      <c r="F68" s="117" t="s">
        <v>229</v>
      </c>
      <c r="G68" s="117"/>
      <c r="H68" s="118"/>
      <c r="I68" s="118" t="e" cm="1" vm="66">
        <f t="array" ref="I68">_xldudf_BOARDFLARE_FMATCH(D68,G68)</f>
        <v>#VALUE!</v>
      </c>
      <c r="J68" s="105">
        <f t="shared" si="10"/>
        <v>0</v>
      </c>
      <c r="K68" s="104"/>
      <c r="L68" s="97" t="e" cm="1" vm="8">
        <f t="array" ref="L68">_xldudf_BOARDFLARE_FMATCH(G68,D68)</f>
        <v>#VALUE!</v>
      </c>
      <c r="M68" s="98" cm="1">
        <f t="array" ref="M68">_FV(L68,"Similarity",TRUE)</f>
        <v>0</v>
      </c>
      <c r="N68" s="97" t="e" cm="1" vm="66">
        <f t="array" ref="N68">_xldudf_BOARDFLARE_FMATCH(D68,G68)</f>
        <v>#VALUE!</v>
      </c>
      <c r="O68" s="98" cm="1">
        <f t="array" ref="O68">_FV(N68,"Similarity",TRUE)</f>
        <v>0</v>
      </c>
      <c r="R68" s="96"/>
      <c r="S68" s="96"/>
      <c r="T68" s="96"/>
      <c r="U68" s="96"/>
      <c r="V68" s="96"/>
      <c r="W68" s="96"/>
      <c r="X68" s="96"/>
      <c r="Y68" s="96"/>
      <c r="Z68" s="96"/>
      <c r="AA68" s="96"/>
      <c r="AB68" s="96"/>
      <c r="AD68" s="118"/>
      <c r="AE68" s="118"/>
      <c r="AF68" s="118"/>
      <c r="AG68" s="118"/>
      <c r="AI68" s="118" t="s">
        <v>97</v>
      </c>
      <c r="AJ68" s="118"/>
      <c r="AK68" s="118"/>
      <c r="AL68" s="118"/>
      <c r="AM68" s="96"/>
      <c r="AN68" s="96"/>
      <c r="AO68" s="131" cm="1">
        <f t="array" ref="AO68">MAX(
SUMPRODUCT(--ISNUMBER(MATCH(_xlfn.TEXTSPLIT(LOWER(D68)," "), _xlfn.TEXTSPLIT(LOWER(G68)," "),0))) / COUNTA(_xlfn.TEXTSPLIT(D68," ")),
SUMPRODUCT(--ISNUMBER(SEARCH(LEFT(_xlfn.TEXTSPLIT(LOWER(D68)," "),LEN(_xlfn.TEXTSPLIT(LOWER(D68)," "))-1), LOWER(G68)))) / COUNTA(_xlfn.TEXTSPLIT(D68," "))
)</f>
        <v>0</v>
      </c>
      <c r="AP68" s="131" t="str">
        <f t="shared" ref="AP68:AP69" si="11">IF(AO68&gt;=0.8,"Match","No Match")</f>
        <v>No Match</v>
      </c>
    </row>
    <row r="69" spans="1:45" ht="15.45" hidden="1">
      <c r="A69" s="117" t="s">
        <v>227</v>
      </c>
      <c r="B69" s="118"/>
      <c r="C69" s="120" t="s">
        <v>62</v>
      </c>
      <c r="D69" s="119" t="s">
        <v>228</v>
      </c>
      <c r="E69" s="118" t="s">
        <v>16</v>
      </c>
      <c r="F69" s="117" t="s">
        <v>230</v>
      </c>
      <c r="G69" s="117" t="s">
        <v>231</v>
      </c>
      <c r="H69" s="118"/>
      <c r="I69" s="118" t="e" cm="1" vm="66">
        <f t="array" ref="I69">_xldudf_BOARDFLARE_FMATCH(D69,G69)</f>
        <v>#VALUE!</v>
      </c>
      <c r="J69" s="105">
        <f t="shared" si="10"/>
        <v>0</v>
      </c>
      <c r="K69" s="104"/>
      <c r="L69" s="97" t="e" cm="1" vm="67">
        <f t="array" ref="L69">_xldudf_BOARDFLARE_FMATCH(G69,D69)</f>
        <v>#VALUE!</v>
      </c>
      <c r="M69" s="98" cm="1">
        <f t="array" ref="M69">_FV(L69,"Similarity",TRUE)</f>
        <v>0</v>
      </c>
      <c r="N69" s="97" t="e" cm="1" vm="66">
        <f t="array" ref="N69">_xldudf_BOARDFLARE_FMATCH(D69,G69)</f>
        <v>#VALUE!</v>
      </c>
      <c r="O69" s="98" cm="1">
        <f t="array" ref="O69">_FV(N69,"Similarity",TRUE)</f>
        <v>0</v>
      </c>
      <c r="R69" s="96"/>
      <c r="S69" s="96"/>
      <c r="T69" s="96"/>
      <c r="U69" s="96"/>
      <c r="V69" s="96"/>
      <c r="W69" s="96"/>
      <c r="X69" s="96"/>
      <c r="Y69" s="96"/>
      <c r="Z69" s="96"/>
      <c r="AA69" s="96"/>
      <c r="AB69" s="96"/>
      <c r="AD69" s="118"/>
      <c r="AE69" s="118"/>
      <c r="AF69" s="118"/>
      <c r="AG69" s="118"/>
      <c r="AI69" s="118" t="s">
        <v>97</v>
      </c>
      <c r="AJ69" s="118"/>
      <c r="AK69" s="118"/>
      <c r="AL69" s="118"/>
      <c r="AM69" s="96"/>
      <c r="AN69" s="96"/>
      <c r="AO69" s="131" cm="1">
        <f t="array" ref="AO69">MAX(
SUMPRODUCT(--ISNUMBER(MATCH(_xlfn.TEXTSPLIT(LOWER(D69)," "), _xlfn.TEXTSPLIT(LOWER(G69)," "),0))) / COUNTA(_xlfn.TEXTSPLIT(D69," ")),
SUMPRODUCT(--ISNUMBER(SEARCH(LEFT(_xlfn.TEXTSPLIT(LOWER(D69)," "),LEN(_xlfn.TEXTSPLIT(LOWER(D69)," "))-1), LOWER(G69)))) / COUNTA(_xlfn.TEXTSPLIT(D69," "))
)</f>
        <v>0</v>
      </c>
      <c r="AP69" s="131" t="str">
        <f t="shared" si="11"/>
        <v>No Match</v>
      </c>
    </row>
    <row r="70" spans="1:45" ht="138" hidden="1">
      <c r="A70" s="117" t="s">
        <v>232</v>
      </c>
      <c r="B70" s="118"/>
      <c r="C70" s="117" t="s">
        <v>60</v>
      </c>
      <c r="D70" s="126" t="s">
        <v>233</v>
      </c>
      <c r="E70" s="118" t="s">
        <v>16</v>
      </c>
      <c r="F70" s="117" t="s">
        <v>234</v>
      </c>
      <c r="G70" s="117" t="s">
        <v>235</v>
      </c>
      <c r="H70" s="118"/>
      <c r="I70" s="118" t="e" cm="1" vm="68">
        <f t="array" ref="I70">_xldudf_BOARDFLARE_FMATCH(D70,G70)</f>
        <v>#VALUE!</v>
      </c>
      <c r="J70" s="105">
        <f t="shared" si="10"/>
        <v>0</v>
      </c>
      <c r="K70" s="104"/>
      <c r="L70" s="97" t="e" cm="1" vm="69">
        <f t="array" ref="L70">_xldudf_BOARDFLARE_FMATCH(G70,D70)</f>
        <v>#VALUE!</v>
      </c>
      <c r="M70" s="98" cm="1">
        <f t="array" ref="M70">_FV(L70,"Similarity",TRUE)</f>
        <v>0</v>
      </c>
      <c r="N70" s="97" t="e" cm="1" vm="68">
        <f t="array" ref="N70">_xldudf_BOARDFLARE_FMATCH(D70,G70)</f>
        <v>#VALUE!</v>
      </c>
      <c r="O70" s="98" cm="1">
        <f t="array" ref="O70">_FV(N70,"Similarity",TRUE)</f>
        <v>0</v>
      </c>
      <c r="R70" s="96"/>
      <c r="S70" s="96"/>
      <c r="T70" s="96"/>
      <c r="U70" s="96"/>
      <c r="V70" s="96"/>
      <c r="W70" s="96"/>
      <c r="X70" s="96"/>
      <c r="Y70" s="96"/>
      <c r="Z70" s="96"/>
      <c r="AA70" s="96"/>
      <c r="AB70" s="96"/>
      <c r="AD70" s="127">
        <v>3</v>
      </c>
      <c r="AE70" s="127">
        <v>2</v>
      </c>
      <c r="AF70" s="127" t="s">
        <v>125</v>
      </c>
      <c r="AG70" s="127" t="str">
        <f t="shared" ref="AG70:AG72" si="12">AF70</f>
        <v>no</v>
      </c>
      <c r="AH70" s="96" t="str" cm="1">
        <f t="array" ref="AH70">IF(
   SUMPRODUCT(--ISNUMBER(SEARCH(_xlfn.TEXTSPLIT(D70," "), G70))) / COUNTA(_xlfn.TEXTSPLIT(D70," ")) = 1,
   "Full Match",
   IF(
      SUMPRODUCT(--ISNUMBER(SEARCH(_xlfn.TEXTSPLIT(D70," "), G70))) / COUNTA(_xlfn.TEXTSPLIT(D70," ")) &gt; 0.5,
      "Partial Match",
      "No Match"
   )
)</f>
        <v>No Match</v>
      </c>
      <c r="AI70" s="118" t="s">
        <v>97</v>
      </c>
      <c r="AJ70" s="118"/>
      <c r="AK70" s="118"/>
      <c r="AL70" s="118"/>
      <c r="AM70" s="96"/>
      <c r="AN70" s="96"/>
      <c r="AO70" s="96"/>
      <c r="AP70" s="96"/>
      <c r="AQ70" s="96"/>
      <c r="AR70" s="96"/>
      <c r="AS70" s="96"/>
    </row>
    <row r="71" spans="1:45" ht="261.45" hidden="1">
      <c r="A71" s="117" t="s">
        <v>236</v>
      </c>
      <c r="B71" s="118"/>
      <c r="C71" s="117" t="s">
        <v>60</v>
      </c>
      <c r="D71" s="126" t="s">
        <v>237</v>
      </c>
      <c r="E71" s="118" t="s">
        <v>16</v>
      </c>
      <c r="F71" s="117"/>
      <c r="G71" s="117"/>
      <c r="H71" s="118"/>
      <c r="I71" s="118" t="e" cm="1" vm="70">
        <f t="array" ref="I71">_xldudf_BOARDFLARE_FMATCH(D71,G71)</f>
        <v>#VALUE!</v>
      </c>
      <c r="J71" s="105">
        <f t="shared" si="10"/>
        <v>0</v>
      </c>
      <c r="K71" s="104"/>
      <c r="L71" s="97" t="e" cm="1" vm="8">
        <f t="array" ref="L71">_xldudf_BOARDFLARE_FMATCH(G71,D71)</f>
        <v>#VALUE!</v>
      </c>
      <c r="M71" s="98" cm="1">
        <f t="array" ref="M71">_FV(L71,"Similarity",TRUE)</f>
        <v>0</v>
      </c>
      <c r="N71" s="97" t="e" cm="1" vm="70">
        <f t="array" ref="N71">_xldudf_BOARDFLARE_FMATCH(D71,G71)</f>
        <v>#VALUE!</v>
      </c>
      <c r="O71" s="98" cm="1">
        <f t="array" ref="O71">_FV(N71,"Similarity",TRUE)</f>
        <v>0</v>
      </c>
      <c r="R71" s="96"/>
      <c r="S71" s="96"/>
      <c r="T71" s="96"/>
      <c r="U71" s="96"/>
      <c r="V71" s="96"/>
      <c r="W71" s="96"/>
      <c r="X71" s="96"/>
      <c r="Y71" s="96"/>
      <c r="Z71" s="96"/>
      <c r="AA71" s="96"/>
      <c r="AB71" s="96"/>
      <c r="AD71" s="127">
        <v>4</v>
      </c>
      <c r="AE71" s="127">
        <v>0</v>
      </c>
      <c r="AF71" s="127" t="s">
        <v>125</v>
      </c>
      <c r="AG71" s="127" t="str">
        <f t="shared" si="12"/>
        <v>no</v>
      </c>
      <c r="AH71" s="96" t="str" cm="1">
        <f t="array" ref="AH71">IF(
   SUMPRODUCT(--ISNUMBER(SEARCH(_xlfn.TEXTSPLIT(D71," "), G71))) / COUNTA(_xlfn.TEXTSPLIT(D71," ")) = 1,
   "Full Match",
   IF(
      SUMPRODUCT(--ISNUMBER(SEARCH(_xlfn.TEXTSPLIT(D71," "), G71))) / COUNTA(_xlfn.TEXTSPLIT(D71," ")) &gt; 0.5,
      "Partial Match",
      "No Match"
   )
)</f>
        <v>No Match</v>
      </c>
      <c r="AI71" s="118" t="s">
        <v>97</v>
      </c>
      <c r="AJ71" s="118"/>
      <c r="AK71" s="118"/>
      <c r="AL71" s="118"/>
      <c r="AM71" s="96"/>
      <c r="AN71" s="96"/>
      <c r="AO71" s="96"/>
      <c r="AP71" s="96"/>
      <c r="AQ71" s="96"/>
      <c r="AR71" s="96"/>
      <c r="AS71" s="96"/>
    </row>
    <row r="72" spans="1:45" ht="14.6" hidden="1">
      <c r="A72" s="117" t="s">
        <v>238</v>
      </c>
      <c r="B72" s="118"/>
      <c r="C72" s="117" t="s">
        <v>60</v>
      </c>
      <c r="D72" s="118"/>
      <c r="E72" s="118" t="s">
        <v>16</v>
      </c>
      <c r="F72" s="117" t="s">
        <v>239</v>
      </c>
      <c r="G72" s="117" t="s">
        <v>240</v>
      </c>
      <c r="H72" s="118"/>
      <c r="I72" s="118" t="e" cm="1" vm="8">
        <f t="array" ref="I72">_xldudf_BOARDFLARE_FMATCH(D72,G72)</f>
        <v>#VALUE!</v>
      </c>
      <c r="J72" s="105">
        <f t="shared" si="10"/>
        <v>0</v>
      </c>
      <c r="K72" s="104"/>
      <c r="L72" s="97" t="e" cm="1" vm="71">
        <f t="array" ref="L72">_xldudf_BOARDFLARE_FMATCH(G72,D72)</f>
        <v>#VALUE!</v>
      </c>
      <c r="M72" s="98" cm="1">
        <f t="array" ref="M72">_FV(L72,"Similarity",TRUE)</f>
        <v>0</v>
      </c>
      <c r="N72" s="97" t="e" cm="1" vm="8">
        <f t="array" ref="N72">_xldudf_BOARDFLARE_FMATCH(D72,G72)</f>
        <v>#VALUE!</v>
      </c>
      <c r="O72" s="98" cm="1">
        <f t="array" ref="O72">_FV(N72,"Similarity",TRUE)</f>
        <v>0</v>
      </c>
      <c r="R72" s="96"/>
      <c r="S72" s="96"/>
      <c r="T72" s="96"/>
      <c r="U72" s="96"/>
      <c r="V72" s="96"/>
      <c r="W72" s="96"/>
      <c r="X72" s="96"/>
      <c r="Y72" s="96"/>
      <c r="Z72" s="96"/>
      <c r="AA72" s="96"/>
      <c r="AB72" s="96"/>
      <c r="AD72" s="127">
        <v>0</v>
      </c>
      <c r="AE72" s="127">
        <v>7</v>
      </c>
      <c r="AF72" s="127" t="s">
        <v>125</v>
      </c>
      <c r="AG72" s="127" t="str">
        <f t="shared" si="12"/>
        <v>no</v>
      </c>
      <c r="AH72" s="96" t="str" cm="1">
        <f t="array" ref="AH72">IF(
   SUMPRODUCT(--ISNUMBER(SEARCH(_xlfn.TEXTSPLIT(D72," "), G72))) / COUNTA(_xlfn.TEXTSPLIT(D72," ")) = 1,
   "Full Match",
   IF(
      SUMPRODUCT(--ISNUMBER(SEARCH(_xlfn.TEXTSPLIT(D72," "), G72))) / COUNTA(_xlfn.TEXTSPLIT(D72," ")) &gt; 0.5,
      "Partial Match",
      "No Match"
   )
)</f>
        <v>No Match</v>
      </c>
      <c r="AI72" s="118" t="s">
        <v>97</v>
      </c>
      <c r="AJ72" s="118"/>
      <c r="AK72" s="118"/>
      <c r="AL72" s="118"/>
      <c r="AM72" s="96"/>
      <c r="AN72" s="96"/>
      <c r="AO72" s="96"/>
      <c r="AP72" s="96"/>
      <c r="AQ72" s="96"/>
      <c r="AR72" s="96"/>
      <c r="AS72" s="96"/>
    </row>
    <row r="73" spans="1:45" ht="15.45">
      <c r="A73" s="117" t="s">
        <v>151</v>
      </c>
      <c r="B73" s="118"/>
      <c r="C73" s="117" t="s">
        <v>61</v>
      </c>
      <c r="D73" s="119" t="s">
        <v>152</v>
      </c>
      <c r="E73" s="118" t="s">
        <v>16</v>
      </c>
      <c r="F73" s="117"/>
      <c r="G73" s="117"/>
      <c r="H73" s="118"/>
      <c r="I73" s="118" t="e" cm="1" vm="28">
        <f t="array" ref="I73">_xldudf_BOARDFLARE_FMATCH(D73,G73)</f>
        <v>#VALUE!</v>
      </c>
      <c r="J73" s="105">
        <f t="shared" si="10"/>
        <v>0</v>
      </c>
      <c r="K73" s="104"/>
      <c r="L73" s="97" t="e" cm="1" vm="8">
        <f t="array" ref="L73">_xldudf_BOARDFLARE_FMATCH(G73,D73)</f>
        <v>#VALUE!</v>
      </c>
      <c r="M73" s="98" cm="1">
        <f t="array" ref="M73">_FV(L73,"Similarity",TRUE)</f>
        <v>0</v>
      </c>
      <c r="N73" s="97" t="e" cm="1" vm="28">
        <f t="array" ref="N73">_xldudf_BOARDFLARE_FMATCH(D73,G73)</f>
        <v>#VALUE!</v>
      </c>
      <c r="O73" s="98" cm="1">
        <f t="array" ref="O73">_FV(N73,"Similarity",TRUE)</f>
        <v>0</v>
      </c>
      <c r="R73" s="96"/>
      <c r="S73" s="96"/>
      <c r="T73" s="96"/>
      <c r="U73" s="96"/>
      <c r="V73" s="96"/>
      <c r="W73" s="96"/>
      <c r="X73" s="96"/>
      <c r="Y73" s="96"/>
      <c r="Z73" s="96"/>
      <c r="AA73" s="96"/>
      <c r="AB73" s="96"/>
      <c r="AD73" s="118"/>
      <c r="AE73" s="118"/>
      <c r="AF73" s="118"/>
      <c r="AG73" s="118"/>
      <c r="AI73" s="118" t="s">
        <v>97</v>
      </c>
      <c r="AJ73" s="118" t="s">
        <v>125</v>
      </c>
      <c r="AK73" s="131" cm="1">
        <f t="array" ref="AK73">SUMPRODUCT(--ISNUMBER(SEARCH(_xlfn.TEXTSPLIT(D73," "), G73))) / COUNTA(_xlfn.TEXTSPLIT(D73," "))</f>
        <v>0</v>
      </c>
      <c r="AL73" s="131">
        <f>AK73*100</f>
        <v>0</v>
      </c>
      <c r="AM73" s="131" t="str" cm="1">
        <f t="array" ref="AM73">IF(
   SUMPRODUCT(--ISNUMBER(SEARCH(_xlfn.TEXTSPLIT(D73," "), G73))) / COUNTA(_xlfn.TEXTSPLIT(D73," ")) = 1,
   "Full Match",
   IF(
      SUMPRODUCT(--ISNUMBER(SEARCH(_xlfn.TEXTSPLIT(D73," "), G73))) / COUNTA(_xlfn.TEXTSPLIT(D73," ")) &gt; 0.5,
      "Partial Match",
      "No Match"
   )
)</f>
        <v>No Match</v>
      </c>
      <c r="AS73" s="96"/>
    </row>
    <row r="74" spans="1:45" ht="357.45" hidden="1">
      <c r="A74" s="117" t="s">
        <v>212</v>
      </c>
      <c r="B74" s="118"/>
      <c r="C74" s="117" t="s">
        <v>60</v>
      </c>
      <c r="D74" s="126" t="s">
        <v>213</v>
      </c>
      <c r="E74" s="118" t="s">
        <v>16</v>
      </c>
      <c r="F74" s="117" t="s">
        <v>214</v>
      </c>
      <c r="G74" s="117" t="s">
        <v>215</v>
      </c>
      <c r="H74" s="118"/>
      <c r="I74" s="118" t="e" cm="1" vm="59">
        <f t="array" ref="I74">_xldudf_BOARDFLARE_FMATCH(D74,G74)</f>
        <v>#VALUE!</v>
      </c>
      <c r="J74" s="105">
        <f t="shared" si="10"/>
        <v>0</v>
      </c>
      <c r="K74" s="104"/>
      <c r="L74" s="97" t="e" cm="1" vm="60">
        <f t="array" ref="L74">_xldudf_BOARDFLARE_FMATCH(G74,D74)</f>
        <v>#VALUE!</v>
      </c>
      <c r="M74" s="98" cm="1">
        <f t="array" ref="M74">_FV(L74,"Similarity",TRUE)</f>
        <v>0</v>
      </c>
      <c r="N74" s="97" t="e" cm="1" vm="59">
        <f t="array" ref="N74">_xldudf_BOARDFLARE_FMATCH(D74,G74)</f>
        <v>#VALUE!</v>
      </c>
      <c r="O74" s="98" cm="1">
        <f t="array" ref="O74">_FV(N74,"Similarity",TRUE)</f>
        <v>0</v>
      </c>
      <c r="R74" s="96"/>
      <c r="S74" s="96"/>
      <c r="T74" s="96"/>
      <c r="U74" s="96"/>
      <c r="V74" s="96"/>
      <c r="W74" s="96"/>
      <c r="X74" s="96"/>
      <c r="Y74" s="96"/>
      <c r="Z74" s="96"/>
      <c r="AA74" s="96"/>
      <c r="AB74" s="96"/>
      <c r="AD74" s="127">
        <v>6</v>
      </c>
      <c r="AE74" s="127">
        <v>6</v>
      </c>
      <c r="AF74" s="127" t="s">
        <v>97</v>
      </c>
      <c r="AG74" s="127" t="str">
        <f>AF74</f>
        <v>yes</v>
      </c>
      <c r="AH74" s="96" t="str" cm="1">
        <f t="array" ref="AH74">IF(
   SUMPRODUCT(--ISNUMBER(SEARCH(_xlfn.TEXTSPLIT(D74," "), G74))) / COUNTA(_xlfn.TEXTSPLIT(D74," ")) = 1,
   "Full Match",
   IF(
      SUMPRODUCT(--ISNUMBER(SEARCH(_xlfn.TEXTSPLIT(D74," "), G74))) / COUNTA(_xlfn.TEXTSPLIT(D74," ")) &gt; 0.5,
      "Partial Match",
      "No Match"
   )
)</f>
        <v>No Match</v>
      </c>
      <c r="AI74" s="118" t="s">
        <v>97</v>
      </c>
      <c r="AJ74" s="118"/>
      <c r="AK74" s="118"/>
      <c r="AL74" s="118"/>
      <c r="AM74" s="96"/>
      <c r="AN74" s="96"/>
      <c r="AO74" s="96"/>
      <c r="AP74" s="96"/>
      <c r="AQ74" s="96"/>
      <c r="AR74" s="96"/>
      <c r="AS74" s="96"/>
    </row>
    <row r="75" spans="1:45" ht="14.6" hidden="1">
      <c r="A75" s="117" t="s">
        <v>216</v>
      </c>
      <c r="B75" s="118"/>
      <c r="C75" s="120" t="s">
        <v>62</v>
      </c>
      <c r="D75" s="117" t="s">
        <v>217</v>
      </c>
      <c r="E75" s="118" t="s">
        <v>16</v>
      </c>
      <c r="F75" s="117" t="s">
        <v>218</v>
      </c>
      <c r="G75" s="117" t="s">
        <v>217</v>
      </c>
      <c r="H75" s="118"/>
      <c r="I75" s="118" t="e" cm="1" vm="61">
        <f t="array" ref="I75">_xldudf_BOARDFLARE_FMATCH(D75,G75)</f>
        <v>#VALUE!</v>
      </c>
      <c r="J75" s="105">
        <f t="shared" si="10"/>
        <v>1</v>
      </c>
      <c r="K75" s="104"/>
      <c r="L75" s="97" t="e" cm="1" vm="61">
        <f t="array" ref="L75">_xldudf_BOARDFLARE_FMATCH(G75,D75)</f>
        <v>#VALUE!</v>
      </c>
      <c r="M75" s="98" cm="1">
        <f t="array" ref="M75">_FV(L75,"Similarity",TRUE)</f>
        <v>1</v>
      </c>
      <c r="N75" s="97" t="e" cm="1" vm="61">
        <f t="array" ref="N75">_xldudf_BOARDFLARE_FMATCH(D75,G75)</f>
        <v>#VALUE!</v>
      </c>
      <c r="O75" s="98" cm="1">
        <f t="array" ref="O75">_FV(N75,"Similarity",TRUE)</f>
        <v>1</v>
      </c>
      <c r="R75" s="96"/>
      <c r="S75" s="96"/>
      <c r="T75" s="96"/>
      <c r="U75" s="96"/>
      <c r="V75" s="96"/>
      <c r="W75" s="96"/>
      <c r="X75" s="96"/>
      <c r="Y75" s="96"/>
      <c r="Z75" s="96"/>
      <c r="AA75" s="96"/>
      <c r="AB75" s="96"/>
      <c r="AD75" s="118"/>
      <c r="AE75" s="118"/>
      <c r="AF75" s="118"/>
      <c r="AG75" s="118"/>
      <c r="AI75" s="118" t="s">
        <v>97</v>
      </c>
      <c r="AJ75" s="118"/>
      <c r="AK75" s="118"/>
      <c r="AL75" s="118"/>
      <c r="AM75" s="96"/>
      <c r="AN75" s="96"/>
      <c r="AO75" s="131" cm="1">
        <f t="array" ref="AO75">MAX(
SUMPRODUCT(--ISNUMBER(MATCH(_xlfn.TEXTSPLIT(LOWER(D75)," "), _xlfn.TEXTSPLIT(LOWER(G75)," "),0))) / COUNTA(_xlfn.TEXTSPLIT(D75," ")),
SUMPRODUCT(--ISNUMBER(SEARCH(LEFT(_xlfn.TEXTSPLIT(LOWER(D75)," "),LEN(_xlfn.TEXTSPLIT(LOWER(D75)," "))-1), LOWER(G75)))) / COUNTA(_xlfn.TEXTSPLIT(D75," "))
)</f>
        <v>1</v>
      </c>
      <c r="AP75" s="131" t="str">
        <f>IF(AO75&gt;=0.8,"Match","No Match")</f>
        <v>Match</v>
      </c>
    </row>
    <row r="76" spans="1:45" ht="15.45">
      <c r="A76" s="117" t="s">
        <v>241</v>
      </c>
      <c r="B76" s="118"/>
      <c r="C76" s="117" t="s">
        <v>61</v>
      </c>
      <c r="D76" s="119" t="s">
        <v>220</v>
      </c>
      <c r="E76" s="118" t="s">
        <v>16</v>
      </c>
      <c r="F76" s="117" t="s">
        <v>242</v>
      </c>
      <c r="G76" s="117" t="s">
        <v>243</v>
      </c>
      <c r="H76" s="118"/>
      <c r="I76" s="118" t="e" cm="1" vm="62">
        <f t="array" ref="I76">_xldudf_BOARDFLARE_FMATCH(D76,G76)</f>
        <v>#VALUE!</v>
      </c>
      <c r="J76" s="105">
        <f t="shared" si="10"/>
        <v>0</v>
      </c>
      <c r="K76" s="104"/>
      <c r="L76" s="97" t="e" cm="1" vm="72">
        <f t="array" ref="L76">_xldudf_BOARDFLARE_FMATCH(G76,D76)</f>
        <v>#VALUE!</v>
      </c>
      <c r="M76" s="98" cm="1">
        <f t="array" ref="M76">_FV(L76,"Similarity",TRUE)</f>
        <v>0</v>
      </c>
      <c r="N76" s="97" t="e" cm="1" vm="62">
        <f t="array" ref="N76">_xldudf_BOARDFLARE_FMATCH(D76,G76)</f>
        <v>#VALUE!</v>
      </c>
      <c r="O76" s="98" cm="1">
        <f t="array" ref="O76">_FV(N76,"Similarity",TRUE)</f>
        <v>0</v>
      </c>
      <c r="R76" s="96"/>
      <c r="S76" s="96"/>
      <c r="T76" s="96"/>
      <c r="U76" s="96"/>
      <c r="V76" s="96"/>
      <c r="W76" s="96"/>
      <c r="X76" s="96"/>
      <c r="Y76" s="96"/>
      <c r="Z76" s="96"/>
      <c r="AA76" s="96"/>
      <c r="AB76" s="96"/>
      <c r="AD76" s="118"/>
      <c r="AE76" s="118"/>
      <c r="AF76" s="118"/>
      <c r="AG76" s="118"/>
      <c r="AI76" s="118" t="s">
        <v>97</v>
      </c>
      <c r="AJ76" s="118" t="s">
        <v>97</v>
      </c>
      <c r="AK76" s="131" cm="1">
        <f t="array" ref="AK76">SUMPRODUCT(--ISNUMBER(SEARCH(_xlfn.TEXTSPLIT(D76," "), G76))) / COUNTA(_xlfn.TEXTSPLIT(D76," "))</f>
        <v>2.6315789473684209E-2</v>
      </c>
      <c r="AL76" s="131">
        <f>AK76*100</f>
        <v>2.6315789473684208</v>
      </c>
      <c r="AM76" s="131" t="str" cm="1">
        <f t="array" ref="AM76">IF(
   SUMPRODUCT(--ISNUMBER(SEARCH(_xlfn.TEXTSPLIT(D76," "), G76))) / COUNTA(_xlfn.TEXTSPLIT(D76," ")) = 1,
   "Full Match",
   IF(
      SUMPRODUCT(--ISNUMBER(SEARCH(_xlfn.TEXTSPLIT(D76," "), G76))) / COUNTA(_xlfn.TEXTSPLIT(D76," ")) &gt; 0.5,
      "Partial Match",
      "No Match"
   )
)</f>
        <v>No Match</v>
      </c>
      <c r="AS76" s="96"/>
    </row>
    <row r="77" spans="1:45" ht="288.89999999999998" hidden="1">
      <c r="A77" s="117" t="s">
        <v>244</v>
      </c>
      <c r="B77" s="118"/>
      <c r="C77" s="117" t="s">
        <v>60</v>
      </c>
      <c r="D77" s="126" t="s">
        <v>245</v>
      </c>
      <c r="E77" s="118" t="s">
        <v>16</v>
      </c>
      <c r="F77" s="117"/>
      <c r="G77" s="117"/>
      <c r="H77" s="118"/>
      <c r="I77" s="118" t="e" cm="1" vm="73">
        <f t="array" ref="I77">_xldudf_BOARDFLARE_FMATCH(D77,G77)</f>
        <v>#VALUE!</v>
      </c>
      <c r="J77" s="105">
        <f t="shared" si="10"/>
        <v>0</v>
      </c>
      <c r="K77" s="104"/>
      <c r="L77" s="97" t="e" cm="1" vm="8">
        <f t="array" ref="L77">_xldudf_BOARDFLARE_FMATCH(G77,D77)</f>
        <v>#VALUE!</v>
      </c>
      <c r="M77" s="98" cm="1">
        <f t="array" ref="M77">_FV(L77,"Similarity",TRUE)</f>
        <v>0</v>
      </c>
      <c r="N77" s="97" t="e" cm="1" vm="73">
        <f t="array" ref="N77">_xldudf_BOARDFLARE_FMATCH(D77,G77)</f>
        <v>#VALUE!</v>
      </c>
      <c r="O77" s="98" cm="1">
        <f t="array" ref="O77">_FV(N77,"Similarity",TRUE)</f>
        <v>0</v>
      </c>
      <c r="R77" s="96"/>
      <c r="S77" s="96"/>
      <c r="T77" s="96"/>
      <c r="U77" s="96"/>
      <c r="V77" s="96"/>
      <c r="W77" s="96"/>
      <c r="X77" s="96"/>
      <c r="Y77" s="96"/>
      <c r="Z77" s="96"/>
      <c r="AA77" s="96"/>
      <c r="AB77" s="96"/>
      <c r="AD77" s="127">
        <v>7</v>
      </c>
      <c r="AE77" s="127">
        <v>0</v>
      </c>
      <c r="AF77" s="127" t="s">
        <v>125</v>
      </c>
      <c r="AG77" s="127" t="str">
        <f>AF77</f>
        <v>no</v>
      </c>
      <c r="AH77" s="96" t="str" cm="1">
        <f t="array" ref="AH77">IF(
   SUMPRODUCT(--ISNUMBER(SEARCH(_xlfn.TEXTSPLIT(D77," "), G77))) / COUNTA(_xlfn.TEXTSPLIT(D77," ")) = 1,
   "Full Match",
   IF(
      SUMPRODUCT(--ISNUMBER(SEARCH(_xlfn.TEXTSPLIT(D77," "), G77))) / COUNTA(_xlfn.TEXTSPLIT(D77," ")) &gt; 0.5,
      "Partial Match",
      "No Match"
   )
)</f>
        <v>No Match</v>
      </c>
      <c r="AI77" s="118" t="s">
        <v>97</v>
      </c>
      <c r="AJ77" s="118"/>
      <c r="AK77" s="118"/>
      <c r="AL77" s="118"/>
      <c r="AM77" s="96"/>
      <c r="AN77" s="96"/>
      <c r="AO77" s="96"/>
      <c r="AP77" s="96"/>
      <c r="AQ77" s="96"/>
      <c r="AR77" s="96"/>
      <c r="AS77" s="96"/>
    </row>
    <row r="78" spans="1:45" ht="15.45" hidden="1">
      <c r="A78" s="117" t="s">
        <v>246</v>
      </c>
      <c r="B78" s="118"/>
      <c r="C78" s="120" t="s">
        <v>62</v>
      </c>
      <c r="D78" s="119" t="s">
        <v>228</v>
      </c>
      <c r="E78" s="118" t="s">
        <v>16</v>
      </c>
      <c r="F78" s="117" t="s">
        <v>247</v>
      </c>
      <c r="G78" s="117"/>
      <c r="H78" s="118"/>
      <c r="I78" s="118" t="e" cm="1" vm="66">
        <f t="array" ref="I78">_xldudf_BOARDFLARE_FMATCH(D78,G78)</f>
        <v>#VALUE!</v>
      </c>
      <c r="J78" s="105">
        <f t="shared" si="10"/>
        <v>0</v>
      </c>
      <c r="K78" s="104"/>
      <c r="L78" s="97" t="e" cm="1" vm="8">
        <f t="array" ref="L78">_xldudf_BOARDFLARE_FMATCH(G78,D78)</f>
        <v>#VALUE!</v>
      </c>
      <c r="M78" s="98" cm="1">
        <f t="array" ref="M78">_FV(L78,"Similarity",TRUE)</f>
        <v>0</v>
      </c>
      <c r="N78" s="97" t="e" cm="1" vm="66">
        <f t="array" ref="N78">_xldudf_BOARDFLARE_FMATCH(D78,G78)</f>
        <v>#VALUE!</v>
      </c>
      <c r="O78" s="98" cm="1">
        <f t="array" ref="O78">_FV(N78,"Similarity",TRUE)</f>
        <v>0</v>
      </c>
      <c r="R78" s="96"/>
      <c r="S78" s="96"/>
      <c r="T78" s="96"/>
      <c r="U78" s="96"/>
      <c r="V78" s="96"/>
      <c r="W78" s="96"/>
      <c r="X78" s="96"/>
      <c r="Y78" s="96"/>
      <c r="Z78" s="96"/>
      <c r="AA78" s="96"/>
      <c r="AB78" s="96"/>
      <c r="AD78" s="118"/>
      <c r="AE78" s="118"/>
      <c r="AF78" s="118"/>
      <c r="AG78" s="118"/>
      <c r="AI78" s="118" t="s">
        <v>97</v>
      </c>
      <c r="AJ78" s="118"/>
      <c r="AK78" s="96"/>
      <c r="AL78" s="96"/>
      <c r="AM78" s="96"/>
      <c r="AN78" s="96"/>
      <c r="AO78" s="131" cm="1">
        <f t="array" ref="AO78">MAX(
SUMPRODUCT(--ISNUMBER(MATCH(_xlfn.TEXTSPLIT(LOWER(D78)," "), _xlfn.TEXTSPLIT(LOWER(G78)," "),0))) / COUNTA(_xlfn.TEXTSPLIT(D78," ")),
SUMPRODUCT(--ISNUMBER(SEARCH(LEFT(_xlfn.TEXTSPLIT(LOWER(D78)," "),LEN(_xlfn.TEXTSPLIT(LOWER(D78)," "))-1), LOWER(G78)))) / COUNTA(_xlfn.TEXTSPLIT(D78," "))
)</f>
        <v>0</v>
      </c>
      <c r="AP78" s="131" t="str">
        <f t="shared" ref="AP78:AP79" si="13">IF(AO78&gt;=0.8,"Match","No Match")</f>
        <v>No Match</v>
      </c>
    </row>
    <row r="79" spans="1:45" ht="15.45" hidden="1">
      <c r="A79" s="117" t="s">
        <v>248</v>
      </c>
      <c r="B79" s="118"/>
      <c r="C79" s="120" t="s">
        <v>62</v>
      </c>
      <c r="D79" s="119" t="s">
        <v>228</v>
      </c>
      <c r="E79" s="118" t="s">
        <v>16</v>
      </c>
      <c r="F79" s="117"/>
      <c r="G79" s="117"/>
      <c r="H79" s="118"/>
      <c r="I79" s="118" t="e" cm="1" vm="66">
        <f t="array" ref="I79">_xldudf_BOARDFLARE_FMATCH(D79,G79)</f>
        <v>#VALUE!</v>
      </c>
      <c r="J79" s="105">
        <f t="shared" si="10"/>
        <v>0</v>
      </c>
      <c r="K79" s="104"/>
      <c r="L79" s="97" t="e" cm="1" vm="8">
        <f t="array" ref="L79">_xldudf_BOARDFLARE_FMATCH(G79,D79)</f>
        <v>#VALUE!</v>
      </c>
      <c r="M79" s="98" cm="1">
        <f t="array" ref="M79">_FV(L79,"Similarity",TRUE)</f>
        <v>0</v>
      </c>
      <c r="N79" s="97" t="e" cm="1" vm="66">
        <f t="array" ref="N79">_xldudf_BOARDFLARE_FMATCH(D79,G79)</f>
        <v>#VALUE!</v>
      </c>
      <c r="O79" s="98" cm="1">
        <f t="array" ref="O79">_FV(N79,"Similarity",TRUE)</f>
        <v>0</v>
      </c>
      <c r="R79" s="96"/>
      <c r="S79" s="96"/>
      <c r="T79" s="96"/>
      <c r="U79" s="96"/>
      <c r="V79" s="96"/>
      <c r="W79" s="96"/>
      <c r="X79" s="96"/>
      <c r="Y79" s="96"/>
      <c r="Z79" s="96"/>
      <c r="AA79" s="96"/>
      <c r="AB79" s="96"/>
      <c r="AD79" s="118"/>
      <c r="AE79" s="118"/>
      <c r="AF79" s="118"/>
      <c r="AG79" s="118"/>
      <c r="AI79" s="118" t="s">
        <v>97</v>
      </c>
      <c r="AJ79" s="118"/>
      <c r="AK79" s="96"/>
      <c r="AL79" s="96"/>
      <c r="AM79" s="96"/>
      <c r="AN79" s="96"/>
      <c r="AO79" s="131" cm="1">
        <f t="array" ref="AO79">MAX(
SUMPRODUCT(--ISNUMBER(MATCH(_xlfn.TEXTSPLIT(LOWER(D79)," "), _xlfn.TEXTSPLIT(LOWER(G79)," "),0))) / COUNTA(_xlfn.TEXTSPLIT(D79," ")),
SUMPRODUCT(--ISNUMBER(SEARCH(LEFT(_xlfn.TEXTSPLIT(LOWER(D79)," "),LEN(_xlfn.TEXTSPLIT(LOWER(D79)," "))-1), LOWER(G79)))) / COUNTA(_xlfn.TEXTSPLIT(D79," "))
)</f>
        <v>0</v>
      </c>
      <c r="AP79" s="131" t="str">
        <f t="shared" si="13"/>
        <v>No Match</v>
      </c>
    </row>
    <row r="80" spans="1:45" ht="138" hidden="1">
      <c r="A80" s="117" t="s">
        <v>249</v>
      </c>
      <c r="B80" s="118"/>
      <c r="C80" s="117" t="s">
        <v>60</v>
      </c>
      <c r="D80" s="126" t="s">
        <v>233</v>
      </c>
      <c r="E80" s="118" t="s">
        <v>16</v>
      </c>
      <c r="F80" s="117"/>
      <c r="G80" s="117"/>
      <c r="H80" s="118"/>
      <c r="I80" s="118" t="e" cm="1" vm="68">
        <f t="array" ref="I80">_xldudf_BOARDFLARE_FMATCH(D80,G80)</f>
        <v>#VALUE!</v>
      </c>
      <c r="J80" s="105">
        <f t="shared" si="10"/>
        <v>0</v>
      </c>
      <c r="K80" s="104"/>
      <c r="L80" s="97" t="e" cm="1" vm="8">
        <f t="array" ref="L80">_xldudf_BOARDFLARE_FMATCH(G80,D80)</f>
        <v>#VALUE!</v>
      </c>
      <c r="M80" s="98" cm="1">
        <f t="array" ref="M80">_FV(L80,"Similarity",TRUE)</f>
        <v>0</v>
      </c>
      <c r="N80" s="97" t="e" cm="1" vm="68">
        <f t="array" ref="N80">_xldudf_BOARDFLARE_FMATCH(D80,G80)</f>
        <v>#VALUE!</v>
      </c>
      <c r="O80" s="98" cm="1">
        <f t="array" ref="O80">_FV(N80,"Similarity",TRUE)</f>
        <v>0</v>
      </c>
      <c r="R80" s="96"/>
      <c r="S80" s="96"/>
      <c r="T80" s="96"/>
      <c r="U80" s="96"/>
      <c r="V80" s="96"/>
      <c r="W80" s="96"/>
      <c r="X80" s="96"/>
      <c r="Y80" s="96"/>
      <c r="Z80" s="96"/>
      <c r="AA80" s="96"/>
      <c r="AB80" s="96"/>
      <c r="AD80" s="127">
        <v>3</v>
      </c>
      <c r="AE80" s="127">
        <v>0</v>
      </c>
      <c r="AF80" s="127" t="s">
        <v>125</v>
      </c>
      <c r="AG80" s="127" t="str">
        <f>AF80</f>
        <v>no</v>
      </c>
      <c r="AH80" s="96" t="str" cm="1">
        <f t="array" ref="AH80">IF(
   SUMPRODUCT(--ISNUMBER(SEARCH(_xlfn.TEXTSPLIT(D80," "), G80))) / COUNTA(_xlfn.TEXTSPLIT(D80," ")) = 1,
   "Full Match",
   IF(
      SUMPRODUCT(--ISNUMBER(SEARCH(_xlfn.TEXTSPLIT(D80," "), G80))) / COUNTA(_xlfn.TEXTSPLIT(D80," ")) &gt; 0.5,
      "Partial Match",
      "No Match"
   )
)</f>
        <v>No Match</v>
      </c>
      <c r="AI80" s="118" t="s">
        <v>97</v>
      </c>
      <c r="AJ80" s="118"/>
      <c r="AK80" s="118"/>
      <c r="AL80" s="118"/>
      <c r="AM80" s="96"/>
      <c r="AN80" s="96"/>
      <c r="AO80" s="96"/>
      <c r="AP80" s="96"/>
      <c r="AQ80" s="96"/>
      <c r="AR80" s="96"/>
      <c r="AS80" s="96"/>
    </row>
    <row r="81" spans="1:45" ht="14.6" hidden="1">
      <c r="A81" s="117" t="s">
        <v>250</v>
      </c>
      <c r="B81" s="118"/>
      <c r="C81" s="117"/>
      <c r="D81" s="118"/>
      <c r="E81" s="118" t="s">
        <v>16</v>
      </c>
      <c r="F81" s="117"/>
      <c r="G81" s="117"/>
      <c r="H81" s="118"/>
      <c r="I81" s="118" t="e" cm="1" vm="8">
        <f t="array" ref="I81">_xldudf_BOARDFLARE_FMATCH(D81,G81)</f>
        <v>#VALUE!</v>
      </c>
      <c r="J81" s="105">
        <f t="shared" si="10"/>
        <v>0</v>
      </c>
      <c r="K81" s="104"/>
      <c r="L81" s="97" t="e" cm="1" vm="8">
        <f t="array" ref="L81">_xldudf_BOARDFLARE_FMATCH(G81,D81)</f>
        <v>#VALUE!</v>
      </c>
      <c r="M81" s="98" cm="1">
        <f t="array" ref="M81">_FV(L81,"Similarity",TRUE)</f>
        <v>0</v>
      </c>
      <c r="N81" s="97" t="e" cm="1" vm="8">
        <f t="array" ref="N81">_xldudf_BOARDFLARE_FMATCH(D81,G81)</f>
        <v>#VALUE!</v>
      </c>
      <c r="O81" s="98" cm="1">
        <f t="array" ref="O81">_FV(N81,"Similarity",TRUE)</f>
        <v>0</v>
      </c>
      <c r="R81" s="96"/>
      <c r="S81" s="96"/>
      <c r="T81" s="96"/>
      <c r="U81" s="96"/>
      <c r="V81" s="96"/>
      <c r="W81" s="96"/>
      <c r="X81" s="96"/>
      <c r="Y81" s="96"/>
      <c r="Z81" s="96"/>
      <c r="AA81" s="96"/>
      <c r="AB81" s="96"/>
      <c r="AD81" s="118"/>
      <c r="AE81" s="118"/>
      <c r="AF81" s="118"/>
      <c r="AG81" s="118"/>
      <c r="AI81" s="118" t="s">
        <v>97</v>
      </c>
      <c r="AJ81" s="118"/>
      <c r="AK81" s="96"/>
      <c r="AL81" s="96"/>
      <c r="AM81" s="96"/>
      <c r="AN81" s="96"/>
      <c r="AO81" s="96"/>
      <c r="AP81" s="96"/>
      <c r="AQ81" s="96"/>
      <c r="AR81" s="96"/>
      <c r="AS81" s="96"/>
    </row>
    <row r="82" spans="1:45" ht="206.6">
      <c r="A82" s="117" t="s">
        <v>251</v>
      </c>
      <c r="B82" s="118"/>
      <c r="C82" s="117" t="s">
        <v>61</v>
      </c>
      <c r="D82" s="126" t="s">
        <v>172</v>
      </c>
      <c r="E82" s="118" t="s">
        <v>16</v>
      </c>
      <c r="F82" s="117" t="s">
        <v>252</v>
      </c>
      <c r="G82" s="117" t="s">
        <v>253</v>
      </c>
      <c r="H82" s="118"/>
      <c r="I82" s="118" t="e" cm="1" vm="39">
        <f t="array" ref="I82">_xldudf_BOARDFLARE_FMATCH(D82,G82)</f>
        <v>#VALUE!</v>
      </c>
      <c r="J82" s="105">
        <f t="shared" si="10"/>
        <v>0</v>
      </c>
      <c r="K82" s="104"/>
      <c r="L82" s="97" t="e" cm="1" vm="74">
        <f t="array" ref="L82">_xldudf_BOARDFLARE_FMATCH(G82,D82)</f>
        <v>#VALUE!</v>
      </c>
      <c r="M82" s="98" cm="1">
        <f t="array" ref="M82">_FV(L82,"Similarity",TRUE)</f>
        <v>0</v>
      </c>
      <c r="N82" s="97" t="e" cm="1" vm="39">
        <f t="array" ref="N82">_xldudf_BOARDFLARE_FMATCH(D82,G82)</f>
        <v>#VALUE!</v>
      </c>
      <c r="O82" s="98" cm="1">
        <f t="array" ref="O82">_FV(N82,"Similarity",TRUE)</f>
        <v>0</v>
      </c>
      <c r="R82" s="96"/>
      <c r="S82" s="96"/>
      <c r="T82" s="96"/>
      <c r="U82" s="96"/>
      <c r="V82" s="96"/>
      <c r="W82" s="96"/>
      <c r="X82" s="96"/>
      <c r="Y82" s="96"/>
      <c r="Z82" s="96"/>
      <c r="AA82" s="96"/>
      <c r="AB82" s="96"/>
      <c r="AD82" s="118"/>
      <c r="AE82" s="118"/>
      <c r="AF82" s="118"/>
      <c r="AG82" s="118"/>
      <c r="AI82" s="118" t="s">
        <v>97</v>
      </c>
      <c r="AJ82" s="118" t="s">
        <v>97</v>
      </c>
      <c r="AK82" s="131" cm="1">
        <f t="array" ref="AK82">SUMPRODUCT(--ISNUMBER(SEARCH(_xlfn.TEXTSPLIT(D82," "), G82))) / COUNTA(_xlfn.TEXTSPLIT(D82," "))</f>
        <v>0.45384615384615384</v>
      </c>
      <c r="AL82" s="131">
        <f t="shared" ref="AL82:AL84" si="14">AK82*100</f>
        <v>45.384615384615387</v>
      </c>
      <c r="AM82" s="131" t="str" cm="1">
        <f t="array" ref="AM82">IF(
   SUMPRODUCT(--ISNUMBER(SEARCH(_xlfn.TEXTSPLIT(D82," "), G82))) / COUNTA(_xlfn.TEXTSPLIT(D82," ")) = 1,
   "Full Match",
   IF(
      SUMPRODUCT(--ISNUMBER(SEARCH(_xlfn.TEXTSPLIT(D82," "), G82))) / COUNTA(_xlfn.TEXTSPLIT(D82," ")) &gt; 0.5,
      "Partial Match",
      "No Match"
   )
)</f>
        <v>No Match</v>
      </c>
      <c r="AS82" s="96"/>
    </row>
    <row r="83" spans="1:45" ht="206.6">
      <c r="A83" s="117" t="s">
        <v>254</v>
      </c>
      <c r="B83" s="118"/>
      <c r="C83" s="117" t="s">
        <v>61</v>
      </c>
      <c r="D83" s="126" t="s">
        <v>172</v>
      </c>
      <c r="E83" s="118" t="s">
        <v>16</v>
      </c>
      <c r="F83" s="117" t="s">
        <v>255</v>
      </c>
      <c r="G83" s="117" t="s">
        <v>256</v>
      </c>
      <c r="H83" s="118"/>
      <c r="I83" s="118" t="e" cm="1" vm="39">
        <f t="array" ref="I83">_xldudf_BOARDFLARE_FMATCH(D83,G83)</f>
        <v>#VALUE!</v>
      </c>
      <c r="J83" s="105">
        <f t="shared" si="10"/>
        <v>0</v>
      </c>
      <c r="K83" s="104"/>
      <c r="L83" s="97" t="e" cm="1" vm="75">
        <f t="array" ref="L83">_xldudf_BOARDFLARE_FMATCH(G83,D83)</f>
        <v>#VALUE!</v>
      </c>
      <c r="M83" s="98" cm="1">
        <f t="array" ref="M83">_FV(L83,"Similarity",TRUE)</f>
        <v>0</v>
      </c>
      <c r="N83" s="97" t="e" cm="1" vm="39">
        <f t="array" ref="N83">_xldudf_BOARDFLARE_FMATCH(D83,G83)</f>
        <v>#VALUE!</v>
      </c>
      <c r="O83" s="98" cm="1">
        <f t="array" ref="O83">_FV(N83,"Similarity",TRUE)</f>
        <v>0</v>
      </c>
      <c r="R83" s="96"/>
      <c r="S83" s="96"/>
      <c r="T83" s="96"/>
      <c r="U83" s="96"/>
      <c r="V83" s="96"/>
      <c r="W83" s="96"/>
      <c r="X83" s="96"/>
      <c r="Y83" s="96"/>
      <c r="Z83" s="96"/>
      <c r="AA83" s="96"/>
      <c r="AB83" s="96"/>
      <c r="AD83" s="118"/>
      <c r="AE83" s="118"/>
      <c r="AF83" s="118"/>
      <c r="AG83" s="118"/>
      <c r="AI83" s="118" t="s">
        <v>97</v>
      </c>
      <c r="AJ83" s="118" t="s">
        <v>97</v>
      </c>
      <c r="AK83" s="131" cm="1">
        <f t="array" ref="AK83">SUMPRODUCT(--ISNUMBER(SEARCH(_xlfn.TEXTSPLIT(D83," "), G83))) / COUNTA(_xlfn.TEXTSPLIT(D83," "))</f>
        <v>0.12307692307692308</v>
      </c>
      <c r="AL83" s="131">
        <f t="shared" si="14"/>
        <v>12.307692307692308</v>
      </c>
      <c r="AM83" s="131" t="str" cm="1">
        <f t="array" ref="AM83">IF(
   SUMPRODUCT(--ISNUMBER(SEARCH(_xlfn.TEXTSPLIT(D83," "), G83))) / COUNTA(_xlfn.TEXTSPLIT(D83," ")) = 1,
   "Full Match",
   IF(
      SUMPRODUCT(--ISNUMBER(SEARCH(_xlfn.TEXTSPLIT(D83," "), G83))) / COUNTA(_xlfn.TEXTSPLIT(D83," ")) &gt; 0.5,
      "Partial Match",
      "No Match"
   )
)</f>
        <v>No Match</v>
      </c>
      <c r="AS83" s="96"/>
    </row>
    <row r="84" spans="1:45" ht="14.6">
      <c r="A84" s="117" t="s">
        <v>257</v>
      </c>
      <c r="B84" s="118"/>
      <c r="C84" s="117" t="s">
        <v>61</v>
      </c>
      <c r="D84" s="118" t="s">
        <v>258</v>
      </c>
      <c r="E84" s="118" t="s">
        <v>16</v>
      </c>
      <c r="F84" s="117" t="s">
        <v>259</v>
      </c>
      <c r="G84" s="117" t="s">
        <v>260</v>
      </c>
      <c r="H84" s="118"/>
      <c r="I84" s="118" t="e" cm="1" vm="76">
        <f t="array" ref="I84">_xldudf_BOARDFLARE_FMATCH(D84,G84)</f>
        <v>#VALUE!</v>
      </c>
      <c r="J84" s="105">
        <f t="shared" si="10"/>
        <v>0</v>
      </c>
      <c r="K84" s="104"/>
      <c r="L84" s="97" t="e" cm="1" vm="77">
        <f t="array" ref="L84">_xldudf_BOARDFLARE_FMATCH(G84,D84)</f>
        <v>#VALUE!</v>
      </c>
      <c r="M84" s="98" cm="1">
        <f t="array" ref="M84">_FV(L84,"Similarity",TRUE)</f>
        <v>0</v>
      </c>
      <c r="N84" s="97" t="e" cm="1" vm="76">
        <f t="array" ref="N84">_xldudf_BOARDFLARE_FMATCH(D84,G84)</f>
        <v>#VALUE!</v>
      </c>
      <c r="O84" s="98" cm="1">
        <f t="array" ref="O84">_FV(N84,"Similarity",TRUE)</f>
        <v>0</v>
      </c>
      <c r="R84" s="96"/>
      <c r="S84" s="96"/>
      <c r="T84" s="96"/>
      <c r="U84" s="96"/>
      <c r="V84" s="96"/>
      <c r="W84" s="96"/>
      <c r="X84" s="96"/>
      <c r="Y84" s="96"/>
      <c r="Z84" s="96"/>
      <c r="AA84" s="96"/>
      <c r="AB84" s="96"/>
      <c r="AD84" s="118"/>
      <c r="AE84" s="118"/>
      <c r="AF84" s="118"/>
      <c r="AG84" s="118"/>
      <c r="AI84" s="118" t="s">
        <v>97</v>
      </c>
      <c r="AJ84" s="118" t="s">
        <v>97</v>
      </c>
      <c r="AK84" s="131" cm="1">
        <f t="array" ref="AK84">SUMPRODUCT(--ISNUMBER(SEARCH(_xlfn.TEXTSPLIT(D84," "), G84))) / COUNTA(_xlfn.TEXTSPLIT(D84," "))</f>
        <v>0.30769230769230771</v>
      </c>
      <c r="AL84" s="131">
        <f t="shared" si="14"/>
        <v>30.76923076923077</v>
      </c>
      <c r="AM84" s="131" t="str" cm="1">
        <f t="array" ref="AM84">IF(
   SUMPRODUCT(--ISNUMBER(SEARCH(_xlfn.TEXTSPLIT(D84," "), G84))) / COUNTA(_xlfn.TEXTSPLIT(D84," ")) = 1,
   "Full Match",
   IF(
      SUMPRODUCT(--ISNUMBER(SEARCH(_xlfn.TEXTSPLIT(D84," "), G84))) / COUNTA(_xlfn.TEXTSPLIT(D84," ")) &gt; 0.5,
      "Partial Match",
      "No Match"
   )
)</f>
        <v>No Match</v>
      </c>
      <c r="AS84" s="96"/>
    </row>
    <row r="85" spans="1:45" ht="409.6" hidden="1">
      <c r="A85" s="117" t="s">
        <v>261</v>
      </c>
      <c r="B85" s="118"/>
      <c r="C85" s="117" t="s">
        <v>60</v>
      </c>
      <c r="D85" s="126" t="s">
        <v>198</v>
      </c>
      <c r="E85" s="118" t="s">
        <v>16</v>
      </c>
      <c r="F85" s="117" t="s">
        <v>262</v>
      </c>
      <c r="G85" s="117" t="s">
        <v>263</v>
      </c>
      <c r="H85" s="118"/>
      <c r="I85" s="118" t="e" cm="1" vm="52">
        <f t="array" ref="I85">_xldudf_BOARDFLARE_FMATCH(D85,G85)</f>
        <v>#VALUE!</v>
      </c>
      <c r="J85" s="105">
        <f t="shared" si="10"/>
        <v>0</v>
      </c>
      <c r="K85" s="104"/>
      <c r="L85" s="97" t="e" cm="1" vm="78">
        <f t="array" ref="L85">_xldudf_BOARDFLARE_FMATCH(G85,D85)</f>
        <v>#VALUE!</v>
      </c>
      <c r="M85" s="98" cm="1">
        <f t="array" ref="M85">_FV(L85,"Similarity",TRUE)</f>
        <v>0</v>
      </c>
      <c r="N85" s="97" t="e" cm="1" vm="52">
        <f t="array" ref="N85">_xldudf_BOARDFLARE_FMATCH(D85,G85)</f>
        <v>#VALUE!</v>
      </c>
      <c r="O85" s="98" cm="1">
        <f t="array" ref="O85">_FV(N85,"Similarity",TRUE)</f>
        <v>0</v>
      </c>
      <c r="R85" s="96"/>
      <c r="S85" s="96"/>
      <c r="T85" s="96"/>
      <c r="U85" s="96"/>
      <c r="V85" s="96"/>
      <c r="W85" s="96"/>
      <c r="X85" s="96"/>
      <c r="Y85" s="96"/>
      <c r="Z85" s="96"/>
      <c r="AA85" s="96"/>
      <c r="AB85" s="96"/>
      <c r="AD85" s="127">
        <v>9</v>
      </c>
      <c r="AE85" s="127">
        <v>5</v>
      </c>
      <c r="AF85" s="127" t="s">
        <v>125</v>
      </c>
      <c r="AG85" s="127" t="str">
        <f>AF85</f>
        <v>no</v>
      </c>
      <c r="AH85" s="96" t="str" cm="1">
        <f t="array" ref="AH85">IF(
   SUMPRODUCT(--ISNUMBER(SEARCH(_xlfn.TEXTSPLIT(D85," "), G85))) / COUNTA(_xlfn.TEXTSPLIT(D85," ")) = 1,
   "Full Match",
   IF(
      SUMPRODUCT(--ISNUMBER(SEARCH(_xlfn.TEXTSPLIT(D85," "), G85))) / COUNTA(_xlfn.TEXTSPLIT(D85," ")) &gt; 0.5,
      "Partial Match",
      "No Match"
   )
)</f>
        <v>No Match</v>
      </c>
      <c r="AI85" s="118" t="s">
        <v>97</v>
      </c>
      <c r="AJ85" s="118"/>
      <c r="AK85" s="96"/>
      <c r="AL85" s="96"/>
      <c r="AM85" s="96"/>
      <c r="AN85" s="96"/>
      <c r="AO85" s="96"/>
      <c r="AP85" s="96"/>
      <c r="AQ85" s="96"/>
      <c r="AR85" s="96"/>
      <c r="AS85" s="96"/>
    </row>
    <row r="86" spans="1:45" ht="14.6">
      <c r="A86" s="117" t="s">
        <v>264</v>
      </c>
      <c r="B86" s="118"/>
      <c r="C86" s="117" t="s">
        <v>61</v>
      </c>
      <c r="D86" s="118" t="s">
        <v>265</v>
      </c>
      <c r="E86" s="118" t="s">
        <v>16</v>
      </c>
      <c r="F86" s="117" t="s">
        <v>266</v>
      </c>
      <c r="G86" s="117"/>
      <c r="H86" s="118"/>
      <c r="I86" s="118" t="e" cm="1" vm="79">
        <f t="array" ref="I86">_xldudf_BOARDFLARE_FMATCH(D86,G86)</f>
        <v>#VALUE!</v>
      </c>
      <c r="J86" s="105">
        <f t="shared" si="10"/>
        <v>0</v>
      </c>
      <c r="K86" s="104"/>
      <c r="L86" s="97" t="e" cm="1" vm="8">
        <f t="array" ref="L86">_xldudf_BOARDFLARE_FMATCH(G86,D86)</f>
        <v>#VALUE!</v>
      </c>
      <c r="M86" s="98" cm="1">
        <f t="array" ref="M86">_FV(L86,"Similarity",TRUE)</f>
        <v>0</v>
      </c>
      <c r="N86" s="97" t="e" cm="1" vm="79">
        <f t="array" ref="N86">_xldudf_BOARDFLARE_FMATCH(D86,G86)</f>
        <v>#VALUE!</v>
      </c>
      <c r="O86" s="98" cm="1">
        <f t="array" ref="O86">_FV(N86,"Similarity",TRUE)</f>
        <v>0</v>
      </c>
      <c r="R86" s="96"/>
      <c r="S86" s="96"/>
      <c r="T86" s="96"/>
      <c r="U86" s="96"/>
      <c r="V86" s="96"/>
      <c r="W86" s="96"/>
      <c r="X86" s="96"/>
      <c r="Y86" s="96"/>
      <c r="Z86" s="96"/>
      <c r="AA86" s="96"/>
      <c r="AB86" s="96"/>
      <c r="AD86" s="118"/>
      <c r="AE86" s="118"/>
      <c r="AF86" s="118"/>
      <c r="AG86" s="118"/>
      <c r="AI86" s="118" t="s">
        <v>97</v>
      </c>
      <c r="AJ86" s="118" t="s">
        <v>125</v>
      </c>
      <c r="AK86" s="131" cm="1">
        <f t="array" ref="AK86">SUMPRODUCT(--ISNUMBER(SEARCH(_xlfn.TEXTSPLIT(D86," "), G86))) / COUNTA(_xlfn.TEXTSPLIT(D86," "))</f>
        <v>0</v>
      </c>
      <c r="AL86" s="131">
        <f t="shared" ref="AL86:AL87" si="15">AK86*100</f>
        <v>0</v>
      </c>
      <c r="AM86" s="131" t="str" cm="1">
        <f t="array" ref="AM86">IF(
   SUMPRODUCT(--ISNUMBER(SEARCH(_xlfn.TEXTSPLIT(D86," "), G86))) / COUNTA(_xlfn.TEXTSPLIT(D86," ")) = 1,
   "Full Match",
   IF(
      SUMPRODUCT(--ISNUMBER(SEARCH(_xlfn.TEXTSPLIT(D86," "), G86))) / COUNTA(_xlfn.TEXTSPLIT(D86," ")) &gt; 0.5,
      "Partial Match",
      "No Match"
   )
)</f>
        <v>No Match</v>
      </c>
      <c r="AS86" s="96"/>
    </row>
    <row r="87" spans="1:45" ht="14.6">
      <c r="A87" s="117" t="s">
        <v>267</v>
      </c>
      <c r="B87" s="118"/>
      <c r="C87" s="117" t="s">
        <v>61</v>
      </c>
      <c r="D87" s="118" t="s">
        <v>265</v>
      </c>
      <c r="E87" s="118" t="s">
        <v>16</v>
      </c>
      <c r="F87" s="117" t="s">
        <v>268</v>
      </c>
      <c r="G87" s="117" t="s">
        <v>269</v>
      </c>
      <c r="H87" s="118"/>
      <c r="I87" s="118" t="e" cm="1" vm="79">
        <f t="array" ref="I87">_xldudf_BOARDFLARE_FMATCH(D87,G87)</f>
        <v>#VALUE!</v>
      </c>
      <c r="J87" s="105">
        <f t="shared" si="10"/>
        <v>0</v>
      </c>
      <c r="K87" s="104"/>
      <c r="L87" s="97" t="e" cm="1" vm="80">
        <f t="array" ref="L87">_xldudf_BOARDFLARE_FMATCH(G87,D87)</f>
        <v>#VALUE!</v>
      </c>
      <c r="M87" s="98" cm="1">
        <f t="array" ref="M87">_FV(L87,"Similarity",TRUE)</f>
        <v>0</v>
      </c>
      <c r="N87" s="97" t="e" cm="1" vm="79">
        <f t="array" ref="N87">_xldudf_BOARDFLARE_FMATCH(D87,G87)</f>
        <v>#VALUE!</v>
      </c>
      <c r="O87" s="98" cm="1">
        <f t="array" ref="O87">_FV(N87,"Similarity",TRUE)</f>
        <v>0</v>
      </c>
      <c r="R87" s="96"/>
      <c r="S87" s="96"/>
      <c r="T87" s="96"/>
      <c r="U87" s="96"/>
      <c r="V87" s="96"/>
      <c r="W87" s="96"/>
      <c r="X87" s="96"/>
      <c r="Y87" s="96"/>
      <c r="Z87" s="96"/>
      <c r="AA87" s="96"/>
      <c r="AB87" s="96"/>
      <c r="AD87" s="118"/>
      <c r="AE87" s="118"/>
      <c r="AF87" s="118"/>
      <c r="AG87" s="118"/>
      <c r="AI87" s="118" t="s">
        <v>97</v>
      </c>
      <c r="AJ87" s="118" t="s">
        <v>125</v>
      </c>
      <c r="AK87" s="131" cm="1">
        <f t="array" ref="AK87">SUMPRODUCT(--ISNUMBER(SEARCH(_xlfn.TEXTSPLIT(D87," "), G87))) / COUNTA(_xlfn.TEXTSPLIT(D87," "))</f>
        <v>0.10714285714285714</v>
      </c>
      <c r="AL87" s="131">
        <f t="shared" si="15"/>
        <v>10.714285714285714</v>
      </c>
      <c r="AM87" s="131" t="str" cm="1">
        <f t="array" ref="AM87">IF(
   SUMPRODUCT(--ISNUMBER(SEARCH(_xlfn.TEXTSPLIT(D87," "), G87))) / COUNTA(_xlfn.TEXTSPLIT(D87," ")) = 1,
   "Full Match",
   IF(
      SUMPRODUCT(--ISNUMBER(SEARCH(_xlfn.TEXTSPLIT(D87," "), G87))) / COUNTA(_xlfn.TEXTSPLIT(D87," ")) &gt; 0.5,
      "Partial Match",
      "No Match"
   )
)</f>
        <v>No Match</v>
      </c>
      <c r="AS87" s="96"/>
    </row>
    <row r="88" spans="1:45" ht="409.6" hidden="1">
      <c r="A88" s="117" t="s">
        <v>270</v>
      </c>
      <c r="B88" s="118"/>
      <c r="C88" s="117" t="s">
        <v>60</v>
      </c>
      <c r="D88" s="126" t="s">
        <v>271</v>
      </c>
      <c r="E88" s="118" t="s">
        <v>16</v>
      </c>
      <c r="F88" s="117" t="s">
        <v>272</v>
      </c>
      <c r="G88" s="117" t="s">
        <v>273</v>
      </c>
      <c r="H88" s="118"/>
      <c r="I88" s="118" t="e" cm="1" vm="81">
        <f t="array" ref="I88">_xldudf_BOARDFLARE_FMATCH(D88,G88)</f>
        <v>#VALUE!</v>
      </c>
      <c r="J88" s="105">
        <f t="shared" si="10"/>
        <v>0</v>
      </c>
      <c r="K88" s="104"/>
      <c r="L88" s="97" t="e" cm="1" vm="82">
        <f t="array" ref="L88">_xldudf_BOARDFLARE_FMATCH(G88,D88)</f>
        <v>#VALUE!</v>
      </c>
      <c r="M88" s="98" cm="1">
        <f t="array" ref="M88">_FV(L88,"Similarity",TRUE)</f>
        <v>0</v>
      </c>
      <c r="N88" s="97" t="e" cm="1" vm="81">
        <f t="array" ref="N88">_xldudf_BOARDFLARE_FMATCH(D88,G88)</f>
        <v>#VALUE!</v>
      </c>
      <c r="O88" s="98" cm="1">
        <f t="array" ref="O88">_FV(N88,"Similarity",TRUE)</f>
        <v>0</v>
      </c>
      <c r="R88" s="96"/>
      <c r="S88" s="96"/>
      <c r="T88" s="96"/>
      <c r="U88" s="96"/>
      <c r="V88" s="96"/>
      <c r="W88" s="96"/>
      <c r="X88" s="96"/>
      <c r="Y88" s="96"/>
      <c r="Z88" s="96"/>
      <c r="AA88" s="96"/>
      <c r="AB88" s="96"/>
      <c r="AD88" s="127">
        <v>6</v>
      </c>
      <c r="AE88" s="127">
        <v>4</v>
      </c>
      <c r="AF88" s="127" t="s">
        <v>125</v>
      </c>
      <c r="AG88" s="127" t="str">
        <f t="shared" ref="AG88:AG90" si="16">AF88</f>
        <v>no</v>
      </c>
      <c r="AH88" s="96" t="str" cm="1">
        <f t="array" ref="AH88">IF(
   SUMPRODUCT(--ISNUMBER(SEARCH(_xlfn.TEXTSPLIT(D88," "), G88))) / COUNTA(_xlfn.TEXTSPLIT(D88," ")) = 1,
   "Full Match",
   IF(
      SUMPRODUCT(--ISNUMBER(SEARCH(_xlfn.TEXTSPLIT(D88," "), G88))) / COUNTA(_xlfn.TEXTSPLIT(D88," ")) &gt; 0.5,
      "Partial Match",
      "No Match"
   )
)</f>
        <v>No Match</v>
      </c>
      <c r="AI88" s="118" t="s">
        <v>97</v>
      </c>
      <c r="AJ88" s="118"/>
      <c r="AK88" s="118"/>
      <c r="AL88" s="118"/>
      <c r="AM88" s="96"/>
      <c r="AN88" s="96"/>
      <c r="AO88" s="96"/>
      <c r="AP88" s="96"/>
      <c r="AQ88" s="96"/>
      <c r="AR88" s="96"/>
      <c r="AS88" s="96"/>
    </row>
    <row r="89" spans="1:45" ht="261.45" hidden="1">
      <c r="A89" s="117" t="s">
        <v>236</v>
      </c>
      <c r="B89" s="118"/>
      <c r="C89" s="117" t="s">
        <v>60</v>
      </c>
      <c r="D89" s="126" t="s">
        <v>237</v>
      </c>
      <c r="E89" s="118" t="s">
        <v>16</v>
      </c>
      <c r="F89" s="117"/>
      <c r="G89" s="117"/>
      <c r="H89" s="118"/>
      <c r="I89" s="118" t="e" cm="1" vm="70">
        <f t="array" ref="I89">_xldudf_BOARDFLARE_FMATCH(D89,G89)</f>
        <v>#VALUE!</v>
      </c>
      <c r="J89" s="105">
        <f t="shared" si="10"/>
        <v>0</v>
      </c>
      <c r="K89" s="104"/>
      <c r="L89" s="97" t="e" cm="1" vm="8">
        <f t="array" ref="L89">_xldudf_BOARDFLARE_FMATCH(G89,D89)</f>
        <v>#VALUE!</v>
      </c>
      <c r="M89" s="98" cm="1">
        <f t="array" ref="M89">_FV(L89,"Similarity",TRUE)</f>
        <v>0</v>
      </c>
      <c r="N89" s="97" t="e" cm="1" vm="70">
        <f t="array" ref="N89">_xldudf_BOARDFLARE_FMATCH(D89,G89)</f>
        <v>#VALUE!</v>
      </c>
      <c r="O89" s="98" cm="1">
        <f t="array" ref="O89">_FV(N89,"Similarity",TRUE)</f>
        <v>0</v>
      </c>
      <c r="R89" s="96"/>
      <c r="S89" s="96"/>
      <c r="T89" s="96"/>
      <c r="U89" s="96"/>
      <c r="V89" s="96"/>
      <c r="W89" s="96"/>
      <c r="X89" s="96"/>
      <c r="Y89" s="96"/>
      <c r="Z89" s="96"/>
      <c r="AA89" s="96"/>
      <c r="AB89" s="96"/>
      <c r="AD89" s="127">
        <v>4</v>
      </c>
      <c r="AE89" s="127">
        <v>0</v>
      </c>
      <c r="AF89" s="127" t="s">
        <v>125</v>
      </c>
      <c r="AG89" s="127" t="str">
        <f t="shared" si="16"/>
        <v>no</v>
      </c>
      <c r="AH89" s="96" t="str" cm="1">
        <f t="array" ref="AH89">IF(
   SUMPRODUCT(--ISNUMBER(SEARCH(_xlfn.TEXTSPLIT(D89," "), G89))) / COUNTA(_xlfn.TEXTSPLIT(D89," ")) = 1,
   "Full Match",
   IF(
      SUMPRODUCT(--ISNUMBER(SEARCH(_xlfn.TEXTSPLIT(D89," "), G89))) / COUNTA(_xlfn.TEXTSPLIT(D89," ")) &gt; 0.5,
      "Partial Match",
      "No Match"
   )
)</f>
        <v>No Match</v>
      </c>
      <c r="AI89" s="118" t="s">
        <v>97</v>
      </c>
      <c r="AJ89" s="118"/>
      <c r="AK89" s="96"/>
      <c r="AL89" s="96"/>
      <c r="AM89" s="96"/>
      <c r="AN89" s="96"/>
      <c r="AO89" s="96"/>
      <c r="AP89" s="96"/>
      <c r="AQ89" s="96"/>
      <c r="AR89" s="96"/>
      <c r="AS89" s="96"/>
    </row>
    <row r="90" spans="1:45" ht="14.6" hidden="1">
      <c r="A90" s="117" t="s">
        <v>238</v>
      </c>
      <c r="B90" s="118"/>
      <c r="C90" s="117" t="s">
        <v>60</v>
      </c>
      <c r="D90" s="118"/>
      <c r="E90" s="118" t="s">
        <v>16</v>
      </c>
      <c r="F90" s="117" t="s">
        <v>239</v>
      </c>
      <c r="G90" s="117" t="s">
        <v>240</v>
      </c>
      <c r="H90" s="118"/>
      <c r="I90" s="118" t="e" cm="1" vm="8">
        <f t="array" ref="I90">_xldudf_BOARDFLARE_FMATCH(D90,G90)</f>
        <v>#VALUE!</v>
      </c>
      <c r="J90" s="105">
        <f t="shared" si="10"/>
        <v>0</v>
      </c>
      <c r="K90" s="104"/>
      <c r="L90" s="97" t="e" cm="1" vm="71">
        <f t="array" ref="L90">_xldudf_BOARDFLARE_FMATCH(G90,D90)</f>
        <v>#VALUE!</v>
      </c>
      <c r="M90" s="98" cm="1">
        <f t="array" ref="M90">_FV(L90,"Similarity",TRUE)</f>
        <v>0</v>
      </c>
      <c r="N90" s="97" t="e" cm="1" vm="8">
        <f t="array" ref="N90">_xldudf_BOARDFLARE_FMATCH(D90,G90)</f>
        <v>#VALUE!</v>
      </c>
      <c r="O90" s="98" cm="1">
        <f t="array" ref="O90">_FV(N90,"Similarity",TRUE)</f>
        <v>0</v>
      </c>
      <c r="R90" s="96"/>
      <c r="S90" s="96"/>
      <c r="T90" s="96"/>
      <c r="U90" s="96"/>
      <c r="V90" s="96"/>
      <c r="W90" s="96"/>
      <c r="X90" s="96"/>
      <c r="Y90" s="96"/>
      <c r="Z90" s="96"/>
      <c r="AA90" s="96"/>
      <c r="AB90" s="96"/>
      <c r="AD90" s="127"/>
      <c r="AE90" s="127"/>
      <c r="AF90" s="127"/>
      <c r="AG90" s="127">
        <f t="shared" si="16"/>
        <v>0</v>
      </c>
      <c r="AH90" s="96" t="str" cm="1">
        <f t="array" ref="AH90">IF(
   SUMPRODUCT(--ISNUMBER(SEARCH(_xlfn.TEXTSPLIT(D90," "), G90))) / COUNTA(_xlfn.TEXTSPLIT(D90," ")) = 1,
   "Full Match",
   IF(
      SUMPRODUCT(--ISNUMBER(SEARCH(_xlfn.TEXTSPLIT(D90," "), G90))) / COUNTA(_xlfn.TEXTSPLIT(D90," ")) &gt; 0.5,
      "Partial Match",
      "No Match"
   )
)</f>
        <v>No Match</v>
      </c>
      <c r="AI90" s="118" t="s">
        <v>97</v>
      </c>
      <c r="AJ90" s="118"/>
      <c r="AK90" s="118"/>
      <c r="AL90" s="118"/>
      <c r="AM90" s="96"/>
      <c r="AN90" s="96"/>
      <c r="AO90" s="96"/>
      <c r="AP90" s="96"/>
      <c r="AQ90" s="96"/>
      <c r="AR90" s="96"/>
      <c r="AS90" s="96"/>
    </row>
    <row r="91" spans="1:45" ht="275.14999999999998">
      <c r="A91" s="117" t="s">
        <v>274</v>
      </c>
      <c r="B91" s="118"/>
      <c r="C91" s="117" t="s">
        <v>61</v>
      </c>
      <c r="D91" s="126" t="s">
        <v>275</v>
      </c>
      <c r="E91" s="118" t="s">
        <v>16</v>
      </c>
      <c r="F91" s="117" t="s">
        <v>276</v>
      </c>
      <c r="G91" s="117" t="s">
        <v>277</v>
      </c>
      <c r="H91" s="118"/>
      <c r="I91" s="118" t="e" cm="1" vm="83">
        <f t="array" ref="I91">_xldudf_BOARDFLARE_FMATCH(D91,G91)</f>
        <v>#VALUE!</v>
      </c>
      <c r="J91" s="105">
        <f t="shared" si="10"/>
        <v>0</v>
      </c>
      <c r="K91" s="104"/>
      <c r="L91" s="97" t="e" cm="1" vm="84">
        <f t="array" ref="L91">_xldudf_BOARDFLARE_FMATCH(G91,D91)</f>
        <v>#VALUE!</v>
      </c>
      <c r="M91" s="98" cm="1">
        <f t="array" ref="M91">_FV(L91,"Similarity",TRUE)</f>
        <v>0</v>
      </c>
      <c r="N91" s="97" t="e" cm="1" vm="83">
        <f t="array" ref="N91">_xldudf_BOARDFLARE_FMATCH(D91,G91)</f>
        <v>#VALUE!</v>
      </c>
      <c r="O91" s="98" cm="1">
        <f t="array" ref="O91">_FV(N91,"Similarity",TRUE)</f>
        <v>0</v>
      </c>
      <c r="R91" s="96"/>
      <c r="S91" s="96"/>
      <c r="T91" s="96"/>
      <c r="U91" s="96"/>
      <c r="V91" s="96"/>
      <c r="W91" s="96"/>
      <c r="X91" s="96"/>
      <c r="Y91" s="96"/>
      <c r="Z91" s="96"/>
      <c r="AA91" s="96"/>
      <c r="AB91" s="96"/>
      <c r="AD91" s="118"/>
      <c r="AE91" s="118"/>
      <c r="AF91" s="118"/>
      <c r="AG91" s="118"/>
      <c r="AI91" s="118" t="s">
        <v>97</v>
      </c>
      <c r="AJ91" s="118" t="s">
        <v>97</v>
      </c>
      <c r="AK91" s="131" cm="1">
        <f t="array" ref="AK91">SUMPRODUCT(--ISNUMBER(SEARCH(_xlfn.TEXTSPLIT(D91," "), G91))) / COUNTA(_xlfn.TEXTSPLIT(D91," "))</f>
        <v>0.26589595375722541</v>
      </c>
      <c r="AL91" s="131">
        <f t="shared" ref="AL91:AL95" si="17">AK91*100</f>
        <v>26.589595375722542</v>
      </c>
      <c r="AM91" s="131" t="str" cm="1">
        <f t="array" ref="AM91">IF(
   SUMPRODUCT(--ISNUMBER(SEARCH(_xlfn.TEXTSPLIT(D91," "), G91))) / COUNTA(_xlfn.TEXTSPLIT(D91," ")) = 1,
   "Full Match",
   IF(
      SUMPRODUCT(--ISNUMBER(SEARCH(_xlfn.TEXTSPLIT(D91," "), G91))) / COUNTA(_xlfn.TEXTSPLIT(D91," ")) &gt; 0.5,
      "Partial Match",
      "No Match"
   )
)</f>
        <v>No Match</v>
      </c>
      <c r="AS91" s="96"/>
    </row>
    <row r="92" spans="1:45" ht="275.14999999999998">
      <c r="A92" s="117" t="s">
        <v>274</v>
      </c>
      <c r="B92" s="118"/>
      <c r="C92" s="117" t="s">
        <v>61</v>
      </c>
      <c r="D92" s="126" t="s">
        <v>275</v>
      </c>
      <c r="E92" s="118" t="s">
        <v>16</v>
      </c>
      <c r="F92" s="117" t="s">
        <v>276</v>
      </c>
      <c r="G92" s="117" t="s">
        <v>277</v>
      </c>
      <c r="H92" s="118"/>
      <c r="I92" s="118" t="e" cm="1" vm="83">
        <f t="array" ref="I92">_xldudf_BOARDFLARE_FMATCH(D92,G92)</f>
        <v>#VALUE!</v>
      </c>
      <c r="J92" s="105">
        <f t="shared" si="10"/>
        <v>0</v>
      </c>
      <c r="K92" s="104"/>
      <c r="L92" s="97" t="e" cm="1" vm="84">
        <f t="array" ref="L92">_xldudf_BOARDFLARE_FMATCH(G92,D92)</f>
        <v>#VALUE!</v>
      </c>
      <c r="M92" s="98" cm="1">
        <f t="array" ref="M92">_FV(L92,"Similarity",TRUE)</f>
        <v>0</v>
      </c>
      <c r="N92" s="97" t="e" cm="1" vm="83">
        <f t="array" ref="N92">_xldudf_BOARDFLARE_FMATCH(D92,G92)</f>
        <v>#VALUE!</v>
      </c>
      <c r="O92" s="98" cm="1">
        <f t="array" ref="O92">_FV(N92,"Similarity",TRUE)</f>
        <v>0</v>
      </c>
      <c r="R92" s="96"/>
      <c r="S92" s="96"/>
      <c r="T92" s="96"/>
      <c r="U92" s="96"/>
      <c r="V92" s="96"/>
      <c r="W92" s="96"/>
      <c r="X92" s="96"/>
      <c r="Y92" s="96"/>
      <c r="Z92" s="96"/>
      <c r="AA92" s="96"/>
      <c r="AB92" s="96"/>
      <c r="AD92" s="118"/>
      <c r="AE92" s="118"/>
      <c r="AF92" s="118"/>
      <c r="AG92" s="118"/>
      <c r="AI92" s="118" t="s">
        <v>97</v>
      </c>
      <c r="AJ92" s="118" t="s">
        <v>97</v>
      </c>
      <c r="AK92" s="131" cm="1">
        <f t="array" ref="AK92">SUMPRODUCT(--ISNUMBER(SEARCH(_xlfn.TEXTSPLIT(D92," "), G92))) / COUNTA(_xlfn.TEXTSPLIT(D92," "))</f>
        <v>0.26589595375722541</v>
      </c>
      <c r="AL92" s="131">
        <f t="shared" si="17"/>
        <v>26.589595375722542</v>
      </c>
      <c r="AM92" s="131" t="str" cm="1">
        <f t="array" ref="AM92">IF(
   SUMPRODUCT(--ISNUMBER(SEARCH(_xlfn.TEXTSPLIT(D92," "), G92))) / COUNTA(_xlfn.TEXTSPLIT(D92," ")) = 1,
   "Full Match",
   IF(
      SUMPRODUCT(--ISNUMBER(SEARCH(_xlfn.TEXTSPLIT(D92," "), G92))) / COUNTA(_xlfn.TEXTSPLIT(D92," ")) &gt; 0.5,
      "Partial Match",
      "No Match"
   )
)</f>
        <v>No Match</v>
      </c>
      <c r="AS92" s="96"/>
    </row>
    <row r="93" spans="1:45" ht="15.45">
      <c r="A93" s="117" t="s">
        <v>151</v>
      </c>
      <c r="B93" s="118"/>
      <c r="C93" s="117" t="s">
        <v>61</v>
      </c>
      <c r="D93" s="119" t="s">
        <v>152</v>
      </c>
      <c r="E93" s="118" t="s">
        <v>16</v>
      </c>
      <c r="F93" s="117"/>
      <c r="G93" s="117"/>
      <c r="H93" s="118"/>
      <c r="I93" s="118" t="e" cm="1" vm="28">
        <f t="array" ref="I93">_xldudf_BOARDFLARE_FMATCH(D93,G93)</f>
        <v>#VALUE!</v>
      </c>
      <c r="J93" s="105">
        <f t="shared" si="10"/>
        <v>0</v>
      </c>
      <c r="K93" s="104"/>
      <c r="L93" s="97" t="e" cm="1" vm="8">
        <f t="array" ref="L93">_xldudf_BOARDFLARE_FMATCH(G93,D93)</f>
        <v>#VALUE!</v>
      </c>
      <c r="M93" s="98" cm="1">
        <f t="array" ref="M93">_FV(L93,"Similarity",TRUE)</f>
        <v>0</v>
      </c>
      <c r="N93" s="97" t="e" cm="1" vm="28">
        <f t="array" ref="N93">_xldudf_BOARDFLARE_FMATCH(D93,G93)</f>
        <v>#VALUE!</v>
      </c>
      <c r="O93" s="98" cm="1">
        <f t="array" ref="O93">_FV(N93,"Similarity",TRUE)</f>
        <v>0</v>
      </c>
      <c r="R93" s="96"/>
      <c r="S93" s="96"/>
      <c r="T93" s="96"/>
      <c r="U93" s="96"/>
      <c r="V93" s="96"/>
      <c r="W93" s="96"/>
      <c r="X93" s="96"/>
      <c r="Y93" s="96"/>
      <c r="Z93" s="96"/>
      <c r="AA93" s="96"/>
      <c r="AB93" s="96"/>
      <c r="AD93" s="118"/>
      <c r="AE93" s="118"/>
      <c r="AF93" s="118"/>
      <c r="AG93" s="118"/>
      <c r="AI93" s="118" t="s">
        <v>97</v>
      </c>
      <c r="AJ93" s="118" t="s">
        <v>125</v>
      </c>
      <c r="AK93" s="131" cm="1">
        <f t="array" ref="AK93">SUMPRODUCT(--ISNUMBER(SEARCH(_xlfn.TEXTSPLIT(D93," "), G93))) / COUNTA(_xlfn.TEXTSPLIT(D93," "))</f>
        <v>0</v>
      </c>
      <c r="AL93" s="131">
        <f t="shared" si="17"/>
        <v>0</v>
      </c>
      <c r="AM93" s="131" t="str" cm="1">
        <f t="array" ref="AM93">IF(
   SUMPRODUCT(--ISNUMBER(SEARCH(_xlfn.TEXTSPLIT(D93," "), G93))) / COUNTA(_xlfn.TEXTSPLIT(D93," ")) = 1,
   "Full Match",
   IF(
      SUMPRODUCT(--ISNUMBER(SEARCH(_xlfn.TEXTSPLIT(D93," "), G93))) / COUNTA(_xlfn.TEXTSPLIT(D93," ")) &gt; 0.5,
      "Partial Match",
      "No Match"
   )
)</f>
        <v>No Match</v>
      </c>
      <c r="AS93" s="96"/>
    </row>
    <row r="94" spans="1:45" ht="14.6">
      <c r="A94" s="117" t="s">
        <v>278</v>
      </c>
      <c r="B94" s="118"/>
      <c r="C94" s="117" t="s">
        <v>61</v>
      </c>
      <c r="D94" s="118" t="s">
        <v>279</v>
      </c>
      <c r="E94" s="118" t="s">
        <v>16</v>
      </c>
      <c r="F94" s="117" t="s">
        <v>280</v>
      </c>
      <c r="G94" s="117" t="s">
        <v>281</v>
      </c>
      <c r="H94" s="118"/>
      <c r="I94" s="118" t="e" cm="1" vm="85">
        <f t="array" ref="I94">_xldudf_BOARDFLARE_FMATCH(D94,G94)</f>
        <v>#VALUE!</v>
      </c>
      <c r="J94" s="105">
        <f t="shared" si="10"/>
        <v>0.63</v>
      </c>
      <c r="K94" s="104"/>
      <c r="L94" s="97" t="e" cm="1" vm="86">
        <f t="array" ref="L94">_xldudf_BOARDFLARE_FMATCH(G94,D94)</f>
        <v>#VALUE!</v>
      </c>
      <c r="M94" s="98" cm="1">
        <f t="array" ref="M94">_FV(L94,"Similarity",TRUE)</f>
        <v>0.63</v>
      </c>
      <c r="N94" s="97" t="e" cm="1" vm="85">
        <f t="array" ref="N94">_xldudf_BOARDFLARE_FMATCH(D94,G94)</f>
        <v>#VALUE!</v>
      </c>
      <c r="O94" s="98" cm="1">
        <f t="array" ref="O94">_FV(N94,"Similarity",TRUE)</f>
        <v>0</v>
      </c>
      <c r="R94" s="96"/>
      <c r="S94" s="96"/>
      <c r="T94" s="96"/>
      <c r="U94" s="96"/>
      <c r="V94" s="96"/>
      <c r="W94" s="96"/>
      <c r="X94" s="96"/>
      <c r="Y94" s="96"/>
      <c r="Z94" s="96"/>
      <c r="AA94" s="96"/>
      <c r="AB94" s="96"/>
      <c r="AD94" s="118"/>
      <c r="AE94" s="118"/>
      <c r="AF94" s="118"/>
      <c r="AG94" s="118"/>
      <c r="AI94" s="118" t="s">
        <v>97</v>
      </c>
      <c r="AJ94" s="118" t="s">
        <v>125</v>
      </c>
      <c r="AK94" s="131" cm="1">
        <f t="array" ref="AK94">SUMPRODUCT(--ISNUMBER(SEARCH(_xlfn.TEXTSPLIT(D94," "), G94))) / COUNTA(_xlfn.TEXTSPLIT(D94," "))</f>
        <v>0.22448979591836735</v>
      </c>
      <c r="AL94" s="131">
        <f t="shared" si="17"/>
        <v>22.448979591836736</v>
      </c>
      <c r="AM94" s="131" t="str" cm="1">
        <f t="array" ref="AM94">IF(
   SUMPRODUCT(--ISNUMBER(SEARCH(_xlfn.TEXTSPLIT(D94," "), G94))) / COUNTA(_xlfn.TEXTSPLIT(D94," ")) = 1,
   "Full Match",
   IF(
      SUMPRODUCT(--ISNUMBER(SEARCH(_xlfn.TEXTSPLIT(D94," "), G94))) / COUNTA(_xlfn.TEXTSPLIT(D94," ")) &gt; 0.5,
      "Partial Match",
      "No Match"
   )
)</f>
        <v>No Match</v>
      </c>
      <c r="AS94" s="96"/>
    </row>
    <row r="95" spans="1:45" ht="15.45">
      <c r="A95" s="117" t="s">
        <v>278</v>
      </c>
      <c r="B95" s="118"/>
      <c r="C95" s="117" t="s">
        <v>61</v>
      </c>
      <c r="D95" s="119" t="s">
        <v>282</v>
      </c>
      <c r="E95" s="118" t="s">
        <v>16</v>
      </c>
      <c r="F95" s="117" t="s">
        <v>280</v>
      </c>
      <c r="G95" s="117" t="s">
        <v>281</v>
      </c>
      <c r="H95" s="118"/>
      <c r="I95" s="118" t="e" cm="1" vm="87">
        <f t="array" ref="I95">_xldudf_BOARDFLARE_FMATCH(D95,G95)</f>
        <v>#VALUE!</v>
      </c>
      <c r="J95" s="105">
        <f t="shared" si="10"/>
        <v>0</v>
      </c>
      <c r="K95" s="104"/>
      <c r="L95" s="97" t="e" cm="1" vm="88">
        <f t="array" ref="L95">_xldudf_BOARDFLARE_FMATCH(G95,D95)</f>
        <v>#VALUE!</v>
      </c>
      <c r="M95" s="98" cm="1">
        <f t="array" ref="M95">_FV(L95,"Similarity",TRUE)</f>
        <v>0</v>
      </c>
      <c r="N95" s="97" t="e" cm="1" vm="87">
        <f t="array" ref="N95">_xldudf_BOARDFLARE_FMATCH(D95,G95)</f>
        <v>#VALUE!</v>
      </c>
      <c r="O95" s="98" cm="1">
        <f t="array" ref="O95">_FV(N95,"Similarity",TRUE)</f>
        <v>0</v>
      </c>
      <c r="R95" s="96"/>
      <c r="S95" s="96"/>
      <c r="T95" s="96"/>
      <c r="U95" s="96"/>
      <c r="V95" s="96"/>
      <c r="W95" s="96"/>
      <c r="X95" s="96"/>
      <c r="Y95" s="96"/>
      <c r="Z95" s="96"/>
      <c r="AA95" s="96"/>
      <c r="AB95" s="96"/>
      <c r="AD95" s="118"/>
      <c r="AE95" s="118"/>
      <c r="AF95" s="118"/>
      <c r="AG95" s="118"/>
      <c r="AI95" s="118" t="s">
        <v>97</v>
      </c>
      <c r="AJ95" s="118" t="s">
        <v>125</v>
      </c>
      <c r="AK95" s="131" cm="1">
        <f t="array" ref="AK95">SUMPRODUCT(--ISNUMBER(SEARCH(_xlfn.TEXTSPLIT(D95," "), G95))) / COUNTA(_xlfn.TEXTSPLIT(D95," "))</f>
        <v>0.12820512820512819</v>
      </c>
      <c r="AL95" s="131">
        <f t="shared" si="17"/>
        <v>12.820512820512819</v>
      </c>
      <c r="AM95" s="131" t="str" cm="1">
        <f t="array" ref="AM95">IF(
   SUMPRODUCT(--ISNUMBER(SEARCH(_xlfn.TEXTSPLIT(D95," "), G95))) / COUNTA(_xlfn.TEXTSPLIT(D95," ")) = 1,
   "Full Match",
   IF(
      SUMPRODUCT(--ISNUMBER(SEARCH(_xlfn.TEXTSPLIT(D95," "), G95))) / COUNTA(_xlfn.TEXTSPLIT(D95," ")) &gt; 0.5,
      "Partial Match",
      "No Match"
   )
)</f>
        <v>No Match</v>
      </c>
      <c r="AS95" s="96"/>
    </row>
    <row r="96" spans="1:45" ht="15.45" hidden="1">
      <c r="A96" s="117" t="s">
        <v>283</v>
      </c>
      <c r="B96" s="118"/>
      <c r="C96" s="117"/>
      <c r="D96" s="119"/>
      <c r="E96" s="118" t="s">
        <v>16</v>
      </c>
      <c r="F96" s="117"/>
      <c r="G96" s="117"/>
      <c r="H96" s="118"/>
      <c r="I96" s="118" t="e" cm="1" vm="8">
        <f t="array" ref="I96">_xldudf_BOARDFLARE_FMATCH(D96,G96)</f>
        <v>#VALUE!</v>
      </c>
      <c r="J96" s="105">
        <f t="shared" si="10"/>
        <v>0</v>
      </c>
      <c r="K96" s="104"/>
      <c r="L96" s="97" t="e" cm="1" vm="8">
        <f t="array" ref="L96">_xldudf_BOARDFLARE_FMATCH(G96,D96)</f>
        <v>#VALUE!</v>
      </c>
      <c r="M96" s="98" cm="1">
        <f t="array" ref="M96">_FV(L96,"Similarity",TRUE)</f>
        <v>0</v>
      </c>
      <c r="N96" s="97" t="e" cm="1" vm="8">
        <f t="array" ref="N96">_xldudf_BOARDFLARE_FMATCH(D96,G96)</f>
        <v>#VALUE!</v>
      </c>
      <c r="O96" s="98" cm="1">
        <f t="array" ref="O96">_FV(N96,"Similarity",TRUE)</f>
        <v>0</v>
      </c>
      <c r="R96" s="96"/>
      <c r="S96" s="96"/>
      <c r="T96" s="96"/>
      <c r="U96" s="96"/>
      <c r="V96" s="96"/>
      <c r="W96" s="96"/>
      <c r="X96" s="96"/>
      <c r="Y96" s="96"/>
      <c r="Z96" s="96"/>
      <c r="AA96" s="96"/>
      <c r="AB96" s="96"/>
      <c r="AD96" s="118"/>
      <c r="AE96" s="118"/>
      <c r="AF96" s="118"/>
      <c r="AG96" s="118"/>
      <c r="AI96" s="118" t="s">
        <v>97</v>
      </c>
      <c r="AJ96" s="118"/>
      <c r="AK96" s="118"/>
      <c r="AL96" s="118"/>
      <c r="AM96" s="96"/>
      <c r="AN96" s="96"/>
      <c r="AO96" s="96"/>
      <c r="AP96" s="96"/>
      <c r="AQ96" s="96"/>
      <c r="AR96" s="96"/>
      <c r="AS96" s="96"/>
    </row>
    <row r="97" spans="1:45" ht="14.6" hidden="1">
      <c r="A97" s="117" t="s">
        <v>157</v>
      </c>
      <c r="B97" s="118"/>
      <c r="C97" s="117"/>
      <c r="D97" s="118"/>
      <c r="E97" s="118" t="s">
        <v>16</v>
      </c>
      <c r="F97" s="117"/>
      <c r="G97" s="117"/>
      <c r="H97" s="118"/>
      <c r="I97" s="118" t="e" cm="1" vm="8">
        <f t="array" ref="I97">_xldudf_BOARDFLARE_FMATCH(D97,G97)</f>
        <v>#VALUE!</v>
      </c>
      <c r="J97" s="105">
        <f t="shared" si="10"/>
        <v>0</v>
      </c>
      <c r="K97" s="104"/>
      <c r="L97" s="97" t="e" cm="1" vm="8">
        <f t="array" ref="L97">_xldudf_BOARDFLARE_FMATCH(G97,D97)</f>
        <v>#VALUE!</v>
      </c>
      <c r="M97" s="98" cm="1">
        <f t="array" ref="M97">_FV(L97,"Similarity",TRUE)</f>
        <v>0</v>
      </c>
      <c r="N97" s="97" t="e" cm="1" vm="8">
        <f t="array" ref="N97">_xldudf_BOARDFLARE_FMATCH(D97,G97)</f>
        <v>#VALUE!</v>
      </c>
      <c r="O97" s="98" cm="1">
        <f t="array" ref="O97">_FV(N97,"Similarity",TRUE)</f>
        <v>0</v>
      </c>
      <c r="R97" s="96"/>
      <c r="S97" s="96"/>
      <c r="T97" s="96"/>
      <c r="U97" s="96"/>
      <c r="V97" s="96"/>
      <c r="W97" s="96"/>
      <c r="X97" s="96"/>
      <c r="Y97" s="96"/>
      <c r="Z97" s="96"/>
      <c r="AA97" s="96"/>
      <c r="AB97" s="96"/>
      <c r="AD97" s="118"/>
      <c r="AE97" s="118"/>
      <c r="AF97" s="118"/>
      <c r="AG97" s="118"/>
      <c r="AI97" s="118" t="s">
        <v>97</v>
      </c>
      <c r="AJ97" s="118"/>
      <c r="AK97" s="118"/>
      <c r="AL97" s="118"/>
      <c r="AM97" s="96"/>
      <c r="AN97" s="96"/>
      <c r="AO97" s="96"/>
      <c r="AP97" s="96"/>
      <c r="AQ97" s="96"/>
      <c r="AR97" s="96"/>
      <c r="AS97" s="96"/>
    </row>
    <row r="98" spans="1:45" ht="15.45" hidden="1">
      <c r="A98" s="117" t="s">
        <v>115</v>
      </c>
      <c r="B98" s="118"/>
      <c r="C98" s="120" t="s">
        <v>62</v>
      </c>
      <c r="D98" s="121" t="s">
        <v>116</v>
      </c>
      <c r="E98" s="118" t="s">
        <v>16</v>
      </c>
      <c r="F98" s="117" t="s">
        <v>284</v>
      </c>
      <c r="G98" s="117" t="s">
        <v>159</v>
      </c>
      <c r="H98" s="118"/>
      <c r="I98" s="118" t="e" cm="1" vm="31">
        <f t="array" ref="I98">_xldudf_BOARDFLARE_FMATCH(D98,G98)</f>
        <v>#VALUE!</v>
      </c>
      <c r="J98" s="105">
        <f t="shared" si="10"/>
        <v>1</v>
      </c>
      <c r="K98" s="104"/>
      <c r="L98" s="97" t="e" cm="1" vm="32">
        <f t="array" ref="L98">_xldudf_BOARDFLARE_FMATCH(G98,D98)</f>
        <v>#VALUE!</v>
      </c>
      <c r="M98" s="98" cm="1">
        <f t="array" ref="M98">_FV(L98,"Similarity",TRUE)</f>
        <v>1</v>
      </c>
      <c r="N98" s="97" t="e" cm="1" vm="31">
        <f t="array" ref="N98">_xldudf_BOARDFLARE_FMATCH(D98,G98)</f>
        <v>#VALUE!</v>
      </c>
      <c r="O98" s="98" cm="1">
        <f t="array" ref="O98">_FV(N98,"Similarity",TRUE)</f>
        <v>1</v>
      </c>
      <c r="R98" s="96"/>
      <c r="S98" s="96"/>
      <c r="T98" s="96"/>
      <c r="U98" s="96"/>
      <c r="V98" s="96"/>
      <c r="W98" s="96"/>
      <c r="X98" s="96"/>
      <c r="Y98" s="96"/>
      <c r="Z98" s="96"/>
      <c r="AA98" s="96"/>
      <c r="AB98" s="96"/>
      <c r="AD98" s="118"/>
      <c r="AE98" s="118"/>
      <c r="AF98" s="118"/>
      <c r="AG98" s="118"/>
      <c r="AI98" s="118" t="s">
        <v>97</v>
      </c>
      <c r="AJ98" s="118"/>
      <c r="AK98" s="118"/>
      <c r="AL98" s="118"/>
      <c r="AM98" s="96"/>
      <c r="AN98" s="96"/>
      <c r="AO98" s="131" cm="1">
        <f t="array" ref="AO98">MAX(
SUMPRODUCT(--ISNUMBER(MATCH(_xlfn.TEXTSPLIT(LOWER(D98)," "), _xlfn.TEXTSPLIT(LOWER(G98)," "),0))) / COUNTA(_xlfn.TEXTSPLIT(D98," ")),
SUMPRODUCT(--ISNUMBER(SEARCH(LEFT(_xlfn.TEXTSPLIT(LOWER(D98)," "),LEN(_xlfn.TEXTSPLIT(LOWER(D98)," "))-1), LOWER(G98)))) / COUNTA(_xlfn.TEXTSPLIT(D98," "))
)</f>
        <v>1</v>
      </c>
      <c r="AP98" s="131" t="str">
        <f t="shared" ref="AP98:AP99" si="18">IF(AO98&gt;=0.8,"Match","No Match")</f>
        <v>Match</v>
      </c>
    </row>
    <row r="99" spans="1:45" ht="14.6" hidden="1">
      <c r="A99" s="117" t="s">
        <v>285</v>
      </c>
      <c r="B99" s="118"/>
      <c r="C99" s="120" t="s">
        <v>62</v>
      </c>
      <c r="D99" s="118" t="s">
        <v>286</v>
      </c>
      <c r="E99" s="118" t="s">
        <v>16</v>
      </c>
      <c r="F99" s="117"/>
      <c r="G99" s="117"/>
      <c r="H99" s="118"/>
      <c r="I99" s="118" t="e" cm="1" vm="89">
        <f t="array" ref="I99">_xldudf_BOARDFLARE_FMATCH(D99,G99)</f>
        <v>#VALUE!</v>
      </c>
      <c r="J99" s="105">
        <f t="shared" ref="J99:J110" si="19">IF(M99&gt;O99, M99,O99)</f>
        <v>0</v>
      </c>
      <c r="K99" s="104"/>
      <c r="L99" s="97" t="e" cm="1" vm="8">
        <f t="array" ref="L99">_xldudf_BOARDFLARE_FMATCH(G99,D99)</f>
        <v>#VALUE!</v>
      </c>
      <c r="M99" s="98" cm="1">
        <f t="array" ref="M99">_FV(L99,"Similarity",TRUE)</f>
        <v>0</v>
      </c>
      <c r="N99" s="97" t="e" cm="1" vm="89">
        <f t="array" ref="N99">_xldudf_BOARDFLARE_FMATCH(D99,G99)</f>
        <v>#VALUE!</v>
      </c>
      <c r="O99" s="98" cm="1">
        <f t="array" ref="O99">_FV(N99,"Similarity",TRUE)</f>
        <v>0</v>
      </c>
      <c r="R99" s="96"/>
      <c r="S99" s="96"/>
      <c r="T99" s="96"/>
      <c r="U99" s="96"/>
      <c r="V99" s="96"/>
      <c r="W99" s="96"/>
      <c r="X99" s="96"/>
      <c r="Y99" s="96"/>
      <c r="Z99" s="96"/>
      <c r="AA99" s="96"/>
      <c r="AB99" s="96"/>
      <c r="AD99" s="118"/>
      <c r="AE99" s="118"/>
      <c r="AF99" s="118"/>
      <c r="AG99" s="118"/>
      <c r="AI99" s="118" t="s">
        <v>97</v>
      </c>
      <c r="AJ99" s="118"/>
      <c r="AK99" s="118"/>
      <c r="AL99" s="118"/>
      <c r="AM99" s="96"/>
      <c r="AN99" s="96"/>
      <c r="AO99" s="131" cm="1">
        <f t="array" ref="AO99">MAX(
SUMPRODUCT(--ISNUMBER(MATCH(_xlfn.TEXTSPLIT(LOWER(D99)," "), _xlfn.TEXTSPLIT(LOWER(G99)," "),0))) / COUNTA(_xlfn.TEXTSPLIT(D99," ")),
SUMPRODUCT(--ISNUMBER(SEARCH(LEFT(_xlfn.TEXTSPLIT(LOWER(D99)," "),LEN(_xlfn.TEXTSPLIT(LOWER(D99)," "))-1), LOWER(G99)))) / COUNTA(_xlfn.TEXTSPLIT(D99," "))
)</f>
        <v>0</v>
      </c>
      <c r="AP99" s="131" t="str">
        <f t="shared" si="18"/>
        <v>No Match</v>
      </c>
    </row>
    <row r="100" spans="1:45" ht="14.6">
      <c r="A100" s="117" t="s">
        <v>157</v>
      </c>
      <c r="B100" s="118"/>
      <c r="C100" s="117" t="s">
        <v>61</v>
      </c>
      <c r="D100" s="118"/>
      <c r="E100" s="118" t="s">
        <v>16</v>
      </c>
      <c r="F100" s="117" t="s">
        <v>287</v>
      </c>
      <c r="G100" s="117" t="s">
        <v>288</v>
      </c>
      <c r="H100" s="118"/>
      <c r="I100" s="118" t="e" cm="1" vm="8">
        <f t="array" ref="I100">_xldudf_BOARDFLARE_FMATCH(D100,G100)</f>
        <v>#VALUE!</v>
      </c>
      <c r="J100" s="105">
        <f t="shared" si="19"/>
        <v>0</v>
      </c>
      <c r="K100" s="104"/>
      <c r="L100" s="97" t="e" cm="1" vm="90">
        <f t="array" ref="L100">_xldudf_BOARDFLARE_FMATCH(G100,D100)</f>
        <v>#VALUE!</v>
      </c>
      <c r="M100" s="98" cm="1">
        <f t="array" ref="M100">_FV(L100,"Similarity",TRUE)</f>
        <v>0</v>
      </c>
      <c r="N100" s="97" t="e" cm="1" vm="8">
        <f t="array" ref="N100">_xldudf_BOARDFLARE_FMATCH(D100,G100)</f>
        <v>#VALUE!</v>
      </c>
      <c r="O100" s="98" cm="1">
        <f t="array" ref="O100">_FV(N100,"Similarity",TRUE)</f>
        <v>0</v>
      </c>
      <c r="R100" s="96"/>
      <c r="S100" s="96"/>
      <c r="T100" s="96"/>
      <c r="U100" s="96"/>
      <c r="V100" s="96"/>
      <c r="W100" s="96"/>
      <c r="X100" s="96"/>
      <c r="Y100" s="96"/>
      <c r="Z100" s="96"/>
      <c r="AA100" s="96"/>
      <c r="AB100" s="96"/>
      <c r="AD100" s="118"/>
      <c r="AE100" s="118"/>
      <c r="AF100" s="118"/>
      <c r="AG100" s="118"/>
      <c r="AI100" s="118" t="s">
        <v>97</v>
      </c>
      <c r="AJ100" s="118" t="s">
        <v>97</v>
      </c>
      <c r="AK100" s="131" cm="1">
        <f t="array" ref="AK100">SUMPRODUCT(--ISNUMBER(SEARCH(_xlfn.TEXTSPLIT(D100," "), G100))) / COUNTA(_xlfn.TEXTSPLIT(D100," "))</f>
        <v>0</v>
      </c>
      <c r="AL100" s="131">
        <f>AK100*100</f>
        <v>0</v>
      </c>
      <c r="AM100" s="131" t="str" cm="1">
        <f t="array" ref="AM100">IF(
   SUMPRODUCT(--ISNUMBER(SEARCH(_xlfn.TEXTSPLIT(D100," "), G100))) / COUNTA(_xlfn.TEXTSPLIT(D100," ")) = 1,
   "Full Match",
   IF(
      SUMPRODUCT(--ISNUMBER(SEARCH(_xlfn.TEXTSPLIT(D100," "), G100))) / COUNTA(_xlfn.TEXTSPLIT(D100," ")) &gt; 0.5,
      "Partial Match",
      "No Match"
   )
)</f>
        <v>No Match</v>
      </c>
      <c r="AS100" s="96"/>
    </row>
    <row r="101" spans="1:45" ht="14.6" hidden="1">
      <c r="A101" s="117" t="s">
        <v>289</v>
      </c>
      <c r="B101" s="118"/>
      <c r="C101" s="117"/>
      <c r="D101" s="118"/>
      <c r="E101" s="118" t="s">
        <v>16</v>
      </c>
      <c r="F101" s="117"/>
      <c r="G101" s="117"/>
      <c r="H101" s="118"/>
      <c r="I101" s="118" t="e" cm="1" vm="8">
        <f t="array" ref="I101">_xldudf_BOARDFLARE_FMATCH(D101,G101)</f>
        <v>#VALUE!</v>
      </c>
      <c r="J101" s="105">
        <f t="shared" si="19"/>
        <v>0</v>
      </c>
      <c r="K101" s="104"/>
      <c r="L101" s="97" t="e" cm="1" vm="8">
        <f t="array" ref="L101">_xldudf_BOARDFLARE_FMATCH(G101,D101)</f>
        <v>#VALUE!</v>
      </c>
      <c r="M101" s="98" cm="1">
        <f t="array" ref="M101">_FV(L101,"Similarity",TRUE)</f>
        <v>0</v>
      </c>
      <c r="N101" s="97" t="e" cm="1" vm="8">
        <f t="array" ref="N101">_xldudf_BOARDFLARE_FMATCH(D101,G101)</f>
        <v>#VALUE!</v>
      </c>
      <c r="O101" s="98" cm="1">
        <f t="array" ref="O101">_FV(N101,"Similarity",TRUE)</f>
        <v>0</v>
      </c>
      <c r="R101" s="96"/>
      <c r="S101" s="96"/>
      <c r="T101" s="96"/>
      <c r="U101" s="96"/>
      <c r="V101" s="96"/>
      <c r="W101" s="96"/>
      <c r="X101" s="96"/>
      <c r="Y101" s="96"/>
      <c r="Z101" s="96"/>
      <c r="AA101" s="96"/>
      <c r="AB101" s="96"/>
      <c r="AD101" s="118"/>
      <c r="AE101" s="118"/>
      <c r="AF101" s="118"/>
      <c r="AG101" s="118"/>
      <c r="AI101" s="118" t="s">
        <v>97</v>
      </c>
      <c r="AJ101" s="118"/>
      <c r="AK101" s="96"/>
      <c r="AL101" s="96"/>
      <c r="AM101" s="96"/>
      <c r="AN101" s="96"/>
      <c r="AO101" s="96"/>
      <c r="AP101" s="96"/>
      <c r="AQ101" s="96"/>
      <c r="AR101" s="96"/>
      <c r="AS101" s="96"/>
    </row>
    <row r="102" spans="1:45" ht="14.6" hidden="1">
      <c r="A102" s="117" t="s">
        <v>149</v>
      </c>
      <c r="B102" s="118"/>
      <c r="C102" s="120" t="s">
        <v>62</v>
      </c>
      <c r="D102" s="118" t="s">
        <v>150</v>
      </c>
      <c r="E102" s="118" t="s">
        <v>16</v>
      </c>
      <c r="F102" s="117"/>
      <c r="G102" s="117"/>
      <c r="H102" s="118"/>
      <c r="I102" s="118" t="e" cm="1" vm="27">
        <f t="array" ref="I102">_xldudf_BOARDFLARE_FMATCH(D102,G102)</f>
        <v>#VALUE!</v>
      </c>
      <c r="J102" s="105">
        <f t="shared" si="19"/>
        <v>0</v>
      </c>
      <c r="K102" s="104"/>
      <c r="L102" s="97" t="e" cm="1" vm="8">
        <f t="array" ref="L102">_xldudf_BOARDFLARE_FMATCH(G102,D102)</f>
        <v>#VALUE!</v>
      </c>
      <c r="M102" s="98" cm="1">
        <f t="array" ref="M102">_FV(L102,"Similarity",TRUE)</f>
        <v>0</v>
      </c>
      <c r="N102" s="97" t="e" cm="1" vm="27">
        <f t="array" ref="N102">_xldudf_BOARDFLARE_FMATCH(D102,G102)</f>
        <v>#VALUE!</v>
      </c>
      <c r="O102" s="98" cm="1">
        <f t="array" ref="O102">_FV(N102,"Similarity",TRUE)</f>
        <v>0</v>
      </c>
      <c r="R102" s="96"/>
      <c r="S102" s="96"/>
      <c r="T102" s="96"/>
      <c r="U102" s="96"/>
      <c r="V102" s="96"/>
      <c r="W102" s="96"/>
      <c r="X102" s="96"/>
      <c r="Y102" s="96"/>
      <c r="Z102" s="96"/>
      <c r="AA102" s="96"/>
      <c r="AB102" s="96"/>
      <c r="AD102" s="118"/>
      <c r="AE102" s="118"/>
      <c r="AF102" s="118"/>
      <c r="AG102" s="118"/>
      <c r="AI102" s="118" t="s">
        <v>97</v>
      </c>
      <c r="AJ102" s="118"/>
      <c r="AK102" s="96"/>
      <c r="AL102" s="96"/>
      <c r="AM102" s="96"/>
      <c r="AN102" s="96"/>
      <c r="AO102" s="131" cm="1">
        <f t="array" ref="AO102">MAX(
SUMPRODUCT(--ISNUMBER(MATCH(_xlfn.TEXTSPLIT(LOWER(D102)," "), _xlfn.TEXTSPLIT(LOWER(G102)," "),0))) / COUNTA(_xlfn.TEXTSPLIT(D102," ")),
SUMPRODUCT(--ISNUMBER(SEARCH(LEFT(_xlfn.TEXTSPLIT(LOWER(D102)," "),LEN(_xlfn.TEXTSPLIT(LOWER(D102)," "))-1), LOWER(G102)))) / COUNTA(_xlfn.TEXTSPLIT(D102," "))
)</f>
        <v>0</v>
      </c>
      <c r="AP102" s="131" t="str">
        <f t="shared" ref="AP102:AP103" si="20">IF(AO102&gt;=0.8,"Match","No Match")</f>
        <v>No Match</v>
      </c>
    </row>
    <row r="103" spans="1:45" ht="14.6" hidden="1">
      <c r="A103" s="117" t="s">
        <v>285</v>
      </c>
      <c r="B103" s="118"/>
      <c r="C103" s="120" t="s">
        <v>62</v>
      </c>
      <c r="D103" s="118" t="s">
        <v>286</v>
      </c>
      <c r="E103" s="118" t="s">
        <v>16</v>
      </c>
      <c r="F103" s="117"/>
      <c r="G103" s="117"/>
      <c r="H103" s="118"/>
      <c r="I103" s="118" t="e" cm="1" vm="89">
        <f t="array" ref="I103">_xldudf_BOARDFLARE_FMATCH(D103,G103)</f>
        <v>#VALUE!</v>
      </c>
      <c r="J103" s="105">
        <f t="shared" si="19"/>
        <v>0</v>
      </c>
      <c r="K103" s="104"/>
      <c r="L103" s="97" t="e" cm="1" vm="8">
        <f t="array" ref="L103">_xldudf_BOARDFLARE_FMATCH(G103,D103)</f>
        <v>#VALUE!</v>
      </c>
      <c r="M103" s="98" cm="1">
        <f t="array" ref="M103">_FV(L103,"Similarity",TRUE)</f>
        <v>0</v>
      </c>
      <c r="N103" s="97" t="e" cm="1" vm="89">
        <f t="array" ref="N103">_xldudf_BOARDFLARE_FMATCH(D103,G103)</f>
        <v>#VALUE!</v>
      </c>
      <c r="O103" s="98" cm="1">
        <f t="array" ref="O103">_FV(N103,"Similarity",TRUE)</f>
        <v>0</v>
      </c>
      <c r="R103" s="96"/>
      <c r="S103" s="96"/>
      <c r="T103" s="96"/>
      <c r="U103" s="96"/>
      <c r="V103" s="96"/>
      <c r="W103" s="96"/>
      <c r="X103" s="96"/>
      <c r="Y103" s="96"/>
      <c r="Z103" s="96"/>
      <c r="AA103" s="96"/>
      <c r="AB103" s="96"/>
      <c r="AD103" s="118"/>
      <c r="AE103" s="118"/>
      <c r="AF103" s="118"/>
      <c r="AG103" s="118"/>
      <c r="AI103" s="118" t="s">
        <v>97</v>
      </c>
      <c r="AJ103" s="118"/>
      <c r="AK103" s="96"/>
      <c r="AL103" s="96"/>
      <c r="AM103" s="96"/>
      <c r="AN103" s="96"/>
      <c r="AO103" s="131" cm="1">
        <f t="array" ref="AO103">MAX(
SUMPRODUCT(--ISNUMBER(MATCH(_xlfn.TEXTSPLIT(LOWER(D103)," "), _xlfn.TEXTSPLIT(LOWER(G103)," "),0))) / COUNTA(_xlfn.TEXTSPLIT(D103," ")),
SUMPRODUCT(--ISNUMBER(SEARCH(LEFT(_xlfn.TEXTSPLIT(LOWER(D103)," "),LEN(_xlfn.TEXTSPLIT(LOWER(D103)," "))-1), LOWER(G103)))) / COUNTA(_xlfn.TEXTSPLIT(D103," "))
)</f>
        <v>0</v>
      </c>
      <c r="AP103" s="131" t="str">
        <f t="shared" si="20"/>
        <v>No Match</v>
      </c>
    </row>
    <row r="104" spans="1:45" ht="14.6">
      <c r="A104" s="117" t="s">
        <v>157</v>
      </c>
      <c r="B104" s="118"/>
      <c r="C104" s="117" t="s">
        <v>61</v>
      </c>
      <c r="D104" s="118"/>
      <c r="E104" s="118" t="s">
        <v>16</v>
      </c>
      <c r="F104" s="117" t="s">
        <v>290</v>
      </c>
      <c r="G104" s="117" t="s">
        <v>291</v>
      </c>
      <c r="H104" s="118"/>
      <c r="I104" s="118" t="e" cm="1" vm="8">
        <f t="array" ref="I104">_xldudf_BOARDFLARE_FMATCH(D104,G104)</f>
        <v>#VALUE!</v>
      </c>
      <c r="J104" s="105">
        <f t="shared" si="19"/>
        <v>0</v>
      </c>
      <c r="K104" s="104"/>
      <c r="L104" s="97" t="e" cm="1" vm="91">
        <f t="array" ref="L104">_xldudf_BOARDFLARE_FMATCH(G104,D104)</f>
        <v>#VALUE!</v>
      </c>
      <c r="M104" s="98" cm="1">
        <f t="array" ref="M104">_FV(L104,"Similarity",TRUE)</f>
        <v>0</v>
      </c>
      <c r="N104" s="97" t="e" cm="1" vm="8">
        <f t="array" ref="N104">_xldudf_BOARDFLARE_FMATCH(D104,G104)</f>
        <v>#VALUE!</v>
      </c>
      <c r="O104" s="98" cm="1">
        <f t="array" ref="O104">_FV(N104,"Similarity",TRUE)</f>
        <v>0</v>
      </c>
      <c r="R104" s="96"/>
      <c r="S104" s="96"/>
      <c r="T104" s="96"/>
      <c r="U104" s="96"/>
      <c r="V104" s="96"/>
      <c r="W104" s="96"/>
      <c r="X104" s="96"/>
      <c r="Y104" s="96"/>
      <c r="Z104" s="96"/>
      <c r="AA104" s="96"/>
      <c r="AB104" s="96"/>
      <c r="AD104" s="118"/>
      <c r="AE104" s="118"/>
      <c r="AF104" s="118"/>
      <c r="AG104" s="118"/>
      <c r="AI104" s="118" t="s">
        <v>97</v>
      </c>
      <c r="AJ104" s="118" t="s">
        <v>125</v>
      </c>
      <c r="AK104" s="131" cm="1">
        <f t="array" ref="AK104">SUMPRODUCT(--ISNUMBER(SEARCH(_xlfn.TEXTSPLIT(D104," "), G104))) / COUNTA(_xlfn.TEXTSPLIT(D104," "))</f>
        <v>0</v>
      </c>
      <c r="AL104" s="131">
        <f>AK104*100</f>
        <v>0</v>
      </c>
      <c r="AM104" s="131" t="str" cm="1">
        <f t="array" ref="AM104">IF(
   SUMPRODUCT(--ISNUMBER(SEARCH(_xlfn.TEXTSPLIT(D104," "), G104))) / COUNTA(_xlfn.TEXTSPLIT(D104," ")) = 1,
   "Full Match",
   IF(
      SUMPRODUCT(--ISNUMBER(SEARCH(_xlfn.TEXTSPLIT(D104," "), G104))) / COUNTA(_xlfn.TEXTSPLIT(D104," ")) &gt; 0.5,
      "Partial Match",
      "No Match"
   )
)</f>
        <v>No Match</v>
      </c>
      <c r="AS104" s="96"/>
    </row>
    <row r="105" spans="1:45" ht="14.6" hidden="1">
      <c r="A105" s="117" t="s">
        <v>289</v>
      </c>
      <c r="B105" s="118"/>
      <c r="C105" s="117"/>
      <c r="D105" s="118"/>
      <c r="E105" s="118" t="s">
        <v>16</v>
      </c>
      <c r="F105" s="117"/>
      <c r="G105" s="117"/>
      <c r="H105" s="118"/>
      <c r="I105" s="118" t="e" cm="1" vm="8">
        <f t="array" ref="I105">_xldudf_BOARDFLARE_FMATCH(D105,G105)</f>
        <v>#VALUE!</v>
      </c>
      <c r="J105" s="105">
        <f t="shared" si="19"/>
        <v>0</v>
      </c>
      <c r="K105" s="104"/>
      <c r="L105" s="97" t="e" cm="1" vm="8">
        <f t="array" ref="L105">_xldudf_BOARDFLARE_FMATCH(G105,D105)</f>
        <v>#VALUE!</v>
      </c>
      <c r="M105" s="98" cm="1">
        <f t="array" ref="M105">_FV(L105,"Similarity",TRUE)</f>
        <v>0</v>
      </c>
      <c r="N105" s="97" t="e" cm="1" vm="8">
        <f t="array" ref="N105">_xldudf_BOARDFLARE_FMATCH(D105,G105)</f>
        <v>#VALUE!</v>
      </c>
      <c r="O105" s="98" cm="1">
        <f t="array" ref="O105">_FV(N105,"Similarity",TRUE)</f>
        <v>0</v>
      </c>
      <c r="R105" s="96"/>
      <c r="S105" s="96"/>
      <c r="T105" s="96"/>
      <c r="U105" s="96"/>
      <c r="V105" s="96"/>
      <c r="W105" s="96"/>
      <c r="X105" s="96"/>
      <c r="Y105" s="96"/>
      <c r="Z105" s="96"/>
      <c r="AA105" s="96"/>
      <c r="AB105" s="96"/>
      <c r="AD105" s="118"/>
      <c r="AE105" s="118"/>
      <c r="AF105" s="118"/>
      <c r="AG105" s="118"/>
      <c r="AI105" s="118" t="s">
        <v>97</v>
      </c>
      <c r="AJ105" s="118"/>
      <c r="AK105" s="96"/>
      <c r="AL105" s="96"/>
      <c r="AM105" s="96"/>
      <c r="AN105" s="96"/>
      <c r="AO105" s="96"/>
      <c r="AP105" s="96"/>
      <c r="AQ105" s="96"/>
      <c r="AR105" s="96"/>
      <c r="AS105" s="96"/>
    </row>
    <row r="106" spans="1:45" ht="14.6" hidden="1">
      <c r="A106" s="117" t="s">
        <v>292</v>
      </c>
      <c r="B106" s="118"/>
      <c r="C106" s="120" t="s">
        <v>62</v>
      </c>
      <c r="D106" s="118" t="s">
        <v>150</v>
      </c>
      <c r="E106" s="118" t="s">
        <v>16</v>
      </c>
      <c r="F106" s="117"/>
      <c r="G106" s="117"/>
      <c r="H106" s="118"/>
      <c r="I106" s="118" t="e" cm="1" vm="27">
        <f t="array" ref="I106">_xldudf_BOARDFLARE_FMATCH(D106,G106)</f>
        <v>#VALUE!</v>
      </c>
      <c r="J106" s="105">
        <f t="shared" si="19"/>
        <v>0</v>
      </c>
      <c r="K106" s="104"/>
      <c r="L106" s="97" t="e" cm="1" vm="8">
        <f t="array" ref="L106">_xldudf_BOARDFLARE_FMATCH(G106,D106)</f>
        <v>#VALUE!</v>
      </c>
      <c r="M106" s="98" cm="1">
        <f t="array" ref="M106">_FV(L106,"Similarity",TRUE)</f>
        <v>0</v>
      </c>
      <c r="N106" s="97" t="e" cm="1" vm="27">
        <f t="array" ref="N106">_xldudf_BOARDFLARE_FMATCH(D106,G106)</f>
        <v>#VALUE!</v>
      </c>
      <c r="O106" s="98" cm="1">
        <f t="array" ref="O106">_FV(N106,"Similarity",TRUE)</f>
        <v>0</v>
      </c>
      <c r="R106" s="96"/>
      <c r="S106" s="96"/>
      <c r="T106" s="96"/>
      <c r="U106" s="96"/>
      <c r="V106" s="96"/>
      <c r="W106" s="96"/>
      <c r="X106" s="96"/>
      <c r="Y106" s="96"/>
      <c r="Z106" s="96"/>
      <c r="AA106" s="96"/>
      <c r="AB106" s="96"/>
      <c r="AD106" s="118"/>
      <c r="AE106" s="118"/>
      <c r="AF106" s="118"/>
      <c r="AG106" s="118"/>
      <c r="AI106" s="118" t="s">
        <v>97</v>
      </c>
      <c r="AJ106" s="118"/>
      <c r="AK106" s="96"/>
      <c r="AL106" s="96"/>
      <c r="AM106" s="96"/>
      <c r="AN106" s="96"/>
      <c r="AO106" s="131" cm="1">
        <f t="array" ref="AO106">MAX(
SUMPRODUCT(--ISNUMBER(MATCH(_xlfn.TEXTSPLIT(LOWER(D106)," "), _xlfn.TEXTSPLIT(LOWER(G106)," "),0))) / COUNTA(_xlfn.TEXTSPLIT(D106," ")),
SUMPRODUCT(--ISNUMBER(SEARCH(LEFT(_xlfn.TEXTSPLIT(LOWER(D106)," "),LEN(_xlfn.TEXTSPLIT(LOWER(D106)," "))-1), LOWER(G106)))) / COUNTA(_xlfn.TEXTSPLIT(D106," "))
)</f>
        <v>0</v>
      </c>
      <c r="AP106" s="131" t="str">
        <f t="shared" ref="AP106:AP108" si="21">IF(AO106&gt;=0.8,"Match","No Match")</f>
        <v>No Match</v>
      </c>
    </row>
    <row r="107" spans="1:45" ht="15.45" hidden="1">
      <c r="A107" s="117" t="s">
        <v>293</v>
      </c>
      <c r="B107" s="118"/>
      <c r="C107" s="120" t="s">
        <v>62</v>
      </c>
      <c r="D107" s="119" t="s">
        <v>294</v>
      </c>
      <c r="E107" s="118" t="s">
        <v>16</v>
      </c>
      <c r="F107" s="117" t="s">
        <v>295</v>
      </c>
      <c r="G107" s="117" t="s">
        <v>294</v>
      </c>
      <c r="H107" s="118"/>
      <c r="I107" s="118" t="e" cm="1" vm="92">
        <f t="array" ref="I107">_xldudf_BOARDFLARE_FMATCH(D107,G107)</f>
        <v>#VALUE!</v>
      </c>
      <c r="J107" s="105">
        <f t="shared" si="19"/>
        <v>1</v>
      </c>
      <c r="K107" s="104"/>
      <c r="L107" s="97" t="e" cm="1" vm="92">
        <f t="array" ref="L107">_xldudf_BOARDFLARE_FMATCH(G107,D107)</f>
        <v>#VALUE!</v>
      </c>
      <c r="M107" s="98" cm="1">
        <f t="array" ref="M107">_FV(L107,"Similarity",TRUE)</f>
        <v>1</v>
      </c>
      <c r="N107" s="97" t="e" cm="1" vm="92">
        <f t="array" ref="N107">_xldudf_BOARDFLARE_FMATCH(D107,G107)</f>
        <v>#VALUE!</v>
      </c>
      <c r="O107" s="98" cm="1">
        <f t="array" ref="O107">_FV(N107,"Similarity",TRUE)</f>
        <v>1</v>
      </c>
      <c r="R107" s="96"/>
      <c r="S107" s="96"/>
      <c r="T107" s="96"/>
      <c r="U107" s="96"/>
      <c r="V107" s="96"/>
      <c r="W107" s="96"/>
      <c r="X107" s="96"/>
      <c r="Y107" s="96"/>
      <c r="Z107" s="96"/>
      <c r="AA107" s="96"/>
      <c r="AB107" s="96"/>
      <c r="AD107" s="118"/>
      <c r="AE107" s="118"/>
      <c r="AF107" s="118"/>
      <c r="AG107" s="118"/>
      <c r="AI107" s="118" t="s">
        <v>97</v>
      </c>
      <c r="AJ107" s="118"/>
      <c r="AK107" s="96"/>
      <c r="AL107" s="96"/>
      <c r="AM107" s="96"/>
      <c r="AN107" s="96"/>
      <c r="AO107" s="131" cm="1">
        <f t="array" ref="AO107">MAX(
SUMPRODUCT(--ISNUMBER(MATCH(_xlfn.TEXTSPLIT(LOWER(D107)," "), _xlfn.TEXTSPLIT(LOWER(G107)," "),0))) / COUNTA(_xlfn.TEXTSPLIT(D107," ")),
SUMPRODUCT(--ISNUMBER(SEARCH(LEFT(_xlfn.TEXTSPLIT(LOWER(D107)," "),LEN(_xlfn.TEXTSPLIT(LOWER(D107)," "))-1), LOWER(G107)))) / COUNTA(_xlfn.TEXTSPLIT(D107," "))
)</f>
        <v>1</v>
      </c>
      <c r="AP107" s="131" t="str">
        <f t="shared" si="21"/>
        <v>Match</v>
      </c>
    </row>
    <row r="108" spans="1:45" ht="14.6" hidden="1">
      <c r="A108" s="117" t="s">
        <v>149</v>
      </c>
      <c r="B108" s="118"/>
      <c r="C108" s="120" t="s">
        <v>62</v>
      </c>
      <c r="D108" s="118" t="s">
        <v>150</v>
      </c>
      <c r="E108" s="118" t="s">
        <v>16</v>
      </c>
      <c r="F108" s="117"/>
      <c r="G108" s="117"/>
      <c r="H108" s="118"/>
      <c r="I108" s="118" t="e" cm="1" vm="27">
        <f t="array" ref="I108">_xldudf_BOARDFLARE_FMATCH(D108,G108)</f>
        <v>#VALUE!</v>
      </c>
      <c r="J108" s="105">
        <f t="shared" si="19"/>
        <v>0</v>
      </c>
      <c r="K108" s="104"/>
      <c r="L108" s="97" t="e" cm="1" vm="8">
        <f t="array" ref="L108">_xldudf_BOARDFLARE_FMATCH(G108,D108)</f>
        <v>#VALUE!</v>
      </c>
      <c r="M108" s="98" cm="1">
        <f t="array" ref="M108">_FV(L108,"Similarity",TRUE)</f>
        <v>0</v>
      </c>
      <c r="N108" s="97" t="e" cm="1" vm="27">
        <f t="array" ref="N108">_xldudf_BOARDFLARE_FMATCH(D108,G108)</f>
        <v>#VALUE!</v>
      </c>
      <c r="O108" s="98" cm="1">
        <f t="array" ref="O108">_FV(N108,"Similarity",TRUE)</f>
        <v>0</v>
      </c>
      <c r="R108" s="96"/>
      <c r="S108" s="96"/>
      <c r="T108" s="96"/>
      <c r="U108" s="96"/>
      <c r="V108" s="96"/>
      <c r="W108" s="96"/>
      <c r="X108" s="96"/>
      <c r="Y108" s="96"/>
      <c r="Z108" s="96"/>
      <c r="AA108" s="96"/>
      <c r="AB108" s="96"/>
      <c r="AD108" s="118"/>
      <c r="AE108" s="118"/>
      <c r="AF108" s="118"/>
      <c r="AG108" s="118"/>
      <c r="AI108" s="118" t="s">
        <v>97</v>
      </c>
      <c r="AJ108" s="118"/>
      <c r="AK108" s="118"/>
      <c r="AL108" s="118"/>
      <c r="AM108" s="96"/>
      <c r="AN108" s="96"/>
      <c r="AO108" s="131" cm="1">
        <f t="array" ref="AO108">MAX(
SUMPRODUCT(--ISNUMBER(MATCH(_xlfn.TEXTSPLIT(LOWER(D108)," "), _xlfn.TEXTSPLIT(LOWER(G108)," "),0))) / COUNTA(_xlfn.TEXTSPLIT(D108," ")),
SUMPRODUCT(--ISNUMBER(SEARCH(LEFT(_xlfn.TEXTSPLIT(LOWER(D108)," "),LEN(_xlfn.TEXTSPLIT(LOWER(D108)," "))-1), LOWER(G108)))) / COUNTA(_xlfn.TEXTSPLIT(D108," "))
)</f>
        <v>0</v>
      </c>
      <c r="AP108" s="131" t="str">
        <f t="shared" si="21"/>
        <v>No Match</v>
      </c>
    </row>
    <row r="109" spans="1:45" ht="14.6">
      <c r="A109" s="117" t="s">
        <v>296</v>
      </c>
      <c r="B109" s="118"/>
      <c r="C109" s="117" t="s">
        <v>61</v>
      </c>
      <c r="D109" s="118" t="s">
        <v>297</v>
      </c>
      <c r="E109" s="118" t="s">
        <v>16</v>
      </c>
      <c r="F109" s="117" t="s">
        <v>298</v>
      </c>
      <c r="G109" s="117" t="s">
        <v>299</v>
      </c>
      <c r="H109" s="118"/>
      <c r="I109" s="118" t="e" cm="1" vm="93">
        <f t="array" ref="I109">_xldudf_BOARDFLARE_FMATCH(D109,G109)</f>
        <v>#VALUE!</v>
      </c>
      <c r="J109" s="105">
        <f t="shared" si="19"/>
        <v>0</v>
      </c>
      <c r="K109" s="104"/>
      <c r="L109" s="97" t="e" cm="1" vm="94">
        <f t="array" ref="L109">_xldudf_BOARDFLARE_FMATCH(G109,D109)</f>
        <v>#VALUE!</v>
      </c>
      <c r="M109" s="98" cm="1">
        <f t="array" ref="M109">_FV(L109,"Similarity",TRUE)</f>
        <v>0</v>
      </c>
      <c r="N109" s="97" t="e" cm="1" vm="93">
        <f t="array" ref="N109">_xldudf_BOARDFLARE_FMATCH(D109,G109)</f>
        <v>#VALUE!</v>
      </c>
      <c r="O109" s="98" cm="1">
        <f t="array" ref="O109">_FV(N109,"Similarity",TRUE)</f>
        <v>0</v>
      </c>
      <c r="R109" s="96"/>
      <c r="S109" s="96"/>
      <c r="T109" s="96"/>
      <c r="U109" s="96"/>
      <c r="V109" s="96"/>
      <c r="W109" s="96"/>
      <c r="X109" s="96"/>
      <c r="Y109" s="96"/>
      <c r="Z109" s="96"/>
      <c r="AA109" s="96"/>
      <c r="AB109" s="96"/>
      <c r="AD109" s="118"/>
      <c r="AE109" s="118"/>
      <c r="AF109" s="118"/>
      <c r="AG109" s="118"/>
      <c r="AI109" s="118" t="s">
        <v>97</v>
      </c>
      <c r="AJ109" s="118" t="s">
        <v>97</v>
      </c>
      <c r="AK109" s="131" cm="1">
        <f t="array" ref="AK109">SUMPRODUCT(--ISNUMBER(SEARCH(_xlfn.TEXTSPLIT(D109," "), G109))) / COUNTA(_xlfn.TEXTSPLIT(D109," "))</f>
        <v>0.16666666666666666</v>
      </c>
      <c r="AL109" s="131">
        <f t="shared" ref="AL109:AL112" si="22">AK109*100</f>
        <v>16.666666666666664</v>
      </c>
      <c r="AM109" s="131" t="str" cm="1">
        <f t="array" ref="AM109">IF(
   SUMPRODUCT(--ISNUMBER(SEARCH(_xlfn.TEXTSPLIT(D109," "), G109))) / COUNTA(_xlfn.TEXTSPLIT(D109," ")) = 1,
   "Full Match",
   IF(
      SUMPRODUCT(--ISNUMBER(SEARCH(_xlfn.TEXTSPLIT(D109," "), G109))) / COUNTA(_xlfn.TEXTSPLIT(D109," ")) &gt; 0.5,
      "Partial Match",
      "No Match"
   )
)</f>
        <v>No Match</v>
      </c>
      <c r="AS109" s="96"/>
    </row>
    <row r="110" spans="1:45" ht="15.45">
      <c r="A110" s="117" t="s">
        <v>296</v>
      </c>
      <c r="B110" s="118"/>
      <c r="C110" s="117" t="s">
        <v>61</v>
      </c>
      <c r="D110" s="119" t="s">
        <v>300</v>
      </c>
      <c r="E110" s="118" t="s">
        <v>16</v>
      </c>
      <c r="F110" s="117" t="s">
        <v>301</v>
      </c>
      <c r="G110" s="117" t="s">
        <v>302</v>
      </c>
      <c r="H110" s="118"/>
      <c r="I110" s="118" t="e" cm="1" vm="95">
        <f t="array" ref="I110">_xldudf_BOARDFLARE_FMATCH(D110,G110)</f>
        <v>#VALUE!</v>
      </c>
      <c r="J110" s="105">
        <f t="shared" si="19"/>
        <v>0</v>
      </c>
      <c r="K110" s="104"/>
      <c r="L110" s="97" t="e" cm="1" vm="96">
        <f t="array" ref="L110">_xldudf_BOARDFLARE_FMATCH(G110,D110)</f>
        <v>#VALUE!</v>
      </c>
      <c r="M110" s="98" cm="1">
        <f t="array" ref="M110">_FV(L110,"Similarity",TRUE)</f>
        <v>0</v>
      </c>
      <c r="N110" s="97" t="e" cm="1" vm="95">
        <f t="array" ref="N110">_xldudf_BOARDFLARE_FMATCH(D110,G110)</f>
        <v>#VALUE!</v>
      </c>
      <c r="O110" s="98" cm="1">
        <f t="array" ref="O110">_FV(N110,"Similarity",TRUE)</f>
        <v>0</v>
      </c>
      <c r="R110" s="96"/>
      <c r="S110" s="96"/>
      <c r="T110" s="96"/>
      <c r="U110" s="96"/>
      <c r="V110" s="96"/>
      <c r="W110" s="96"/>
      <c r="X110" s="96"/>
      <c r="Y110" s="96"/>
      <c r="Z110" s="96"/>
      <c r="AA110" s="96"/>
      <c r="AB110" s="96"/>
      <c r="AD110" s="118"/>
      <c r="AE110" s="118"/>
      <c r="AF110" s="118"/>
      <c r="AG110" s="118"/>
      <c r="AI110" s="118" t="s">
        <v>97</v>
      </c>
      <c r="AJ110" s="118" t="s">
        <v>97</v>
      </c>
      <c r="AK110" s="131" cm="1">
        <f t="array" ref="AK110">SUMPRODUCT(--ISNUMBER(SEARCH(_xlfn.TEXTSPLIT(D110," "), G110))) / COUNTA(_xlfn.TEXTSPLIT(D110," "))</f>
        <v>0.19642857142857142</v>
      </c>
      <c r="AL110" s="131">
        <f t="shared" si="22"/>
        <v>19.642857142857142</v>
      </c>
      <c r="AM110" s="131" t="str" cm="1">
        <f t="array" ref="AM110">IF(
   SUMPRODUCT(--ISNUMBER(SEARCH(_xlfn.TEXTSPLIT(D110," "), G110))) / COUNTA(_xlfn.TEXTSPLIT(D110," ")) = 1,
   "Full Match",
   IF(
      SUMPRODUCT(--ISNUMBER(SEARCH(_xlfn.TEXTSPLIT(D110," "), G110))) / COUNTA(_xlfn.TEXTSPLIT(D110," ")) &gt; 0.5,
      "Partial Match",
      "No Match"
   )
)</f>
        <v>No Match</v>
      </c>
      <c r="AS110" s="96"/>
    </row>
    <row r="111" spans="1:45" ht="15.45">
      <c r="A111" s="117" t="s">
        <v>296</v>
      </c>
      <c r="B111" s="118"/>
      <c r="C111" s="117" t="s">
        <v>61</v>
      </c>
      <c r="D111" s="119" t="s">
        <v>300</v>
      </c>
      <c r="E111" s="118" t="s">
        <v>16</v>
      </c>
      <c r="F111" s="117" t="s">
        <v>303</v>
      </c>
      <c r="G111" s="117" t="s">
        <v>304</v>
      </c>
      <c r="H111" s="118"/>
      <c r="I111" s="118" t="e" cm="1" vm="95">
        <f t="array" ref="I111">_xldudf_BOARDFLARE_FMATCH(D111,G111)</f>
        <v>#VALUE!</v>
      </c>
      <c r="R111" s="96"/>
      <c r="S111" s="96"/>
      <c r="T111" s="96"/>
      <c r="U111" s="96"/>
      <c r="V111" s="96"/>
      <c r="W111" s="96"/>
      <c r="X111" s="96"/>
      <c r="Y111" s="96"/>
      <c r="Z111" s="96"/>
      <c r="AA111" s="96"/>
      <c r="AB111" s="96"/>
      <c r="AD111" s="118"/>
      <c r="AE111" s="118"/>
      <c r="AF111" s="118"/>
      <c r="AG111" s="118"/>
      <c r="AI111" s="118" t="s">
        <v>97</v>
      </c>
      <c r="AJ111" s="118" t="s">
        <v>97</v>
      </c>
      <c r="AK111" s="131" cm="1">
        <f t="array" ref="AK111">SUMPRODUCT(--ISNUMBER(SEARCH(_xlfn.TEXTSPLIT(D111," "), G111))) / COUNTA(_xlfn.TEXTSPLIT(D111," "))</f>
        <v>0.21428571428571427</v>
      </c>
      <c r="AL111" s="131">
        <f t="shared" si="22"/>
        <v>21.428571428571427</v>
      </c>
      <c r="AM111" s="131" t="str" cm="1">
        <f t="array" ref="AM111">IF(
   SUMPRODUCT(--ISNUMBER(SEARCH(_xlfn.TEXTSPLIT(D111," "), G111))) / COUNTA(_xlfn.TEXTSPLIT(D111," ")) = 1,
   "Full Match",
   IF(
      SUMPRODUCT(--ISNUMBER(SEARCH(_xlfn.TEXTSPLIT(D111," "), G111))) / COUNTA(_xlfn.TEXTSPLIT(D111," ")) &gt; 0.5,
      "Partial Match",
      "No Match"
   )
)</f>
        <v>No Match</v>
      </c>
      <c r="AS111" s="96"/>
    </row>
    <row r="112" spans="1:45" ht="15.45">
      <c r="A112" s="117" t="s">
        <v>296</v>
      </c>
      <c r="B112" s="118"/>
      <c r="C112" s="117" t="s">
        <v>61</v>
      </c>
      <c r="D112" s="119" t="s">
        <v>305</v>
      </c>
      <c r="E112" s="118" t="s">
        <v>16</v>
      </c>
      <c r="F112" s="117" t="s">
        <v>306</v>
      </c>
      <c r="G112" s="117" t="s">
        <v>307</v>
      </c>
      <c r="H112" s="118"/>
      <c r="I112" s="118" t="e" cm="1" vm="97">
        <f t="array" ref="I112">_xldudf_BOARDFLARE_FMATCH(D112,G112)</f>
        <v>#VALUE!</v>
      </c>
      <c r="R112" s="96"/>
      <c r="S112" s="96"/>
      <c r="T112" s="96"/>
      <c r="U112" s="96"/>
      <c r="V112" s="96"/>
      <c r="W112" s="96"/>
      <c r="X112" s="96"/>
      <c r="Y112" s="96"/>
      <c r="Z112" s="96"/>
      <c r="AA112" s="96"/>
      <c r="AB112" s="96"/>
      <c r="AD112" s="118"/>
      <c r="AE112" s="118"/>
      <c r="AF112" s="118"/>
      <c r="AG112" s="118"/>
      <c r="AI112" s="118" t="s">
        <v>97</v>
      </c>
      <c r="AJ112" s="118" t="s">
        <v>97</v>
      </c>
      <c r="AK112" s="131" cm="1">
        <f t="array" ref="AK112">SUMPRODUCT(--ISNUMBER(SEARCH(_xlfn.TEXTSPLIT(D112," "), G112))) / COUNTA(_xlfn.TEXTSPLIT(D112," "))</f>
        <v>0.10256410256410256</v>
      </c>
      <c r="AL112" s="131">
        <f t="shared" si="22"/>
        <v>10.256410256410255</v>
      </c>
      <c r="AM112" s="131" t="str" cm="1">
        <f t="array" ref="AM112">IF(
   SUMPRODUCT(--ISNUMBER(SEARCH(_xlfn.TEXTSPLIT(D112," "), G112))) / COUNTA(_xlfn.TEXTSPLIT(D112," ")) = 1,
   "Full Match",
   IF(
      SUMPRODUCT(--ISNUMBER(SEARCH(_xlfn.TEXTSPLIT(D112," "), G112))) / COUNTA(_xlfn.TEXTSPLIT(D112," ")) &gt; 0.5,
      "Partial Match",
      "No Match"
   )
)</f>
        <v>No Match</v>
      </c>
      <c r="AS112" s="96"/>
    </row>
    <row r="113" spans="1:45" ht="14.6" hidden="1">
      <c r="A113" s="117" t="s">
        <v>149</v>
      </c>
      <c r="B113" s="118"/>
      <c r="C113" s="120" t="s">
        <v>62</v>
      </c>
      <c r="D113" s="118" t="s">
        <v>150</v>
      </c>
      <c r="E113" s="118" t="s">
        <v>16</v>
      </c>
      <c r="F113" s="117"/>
      <c r="G113" s="117"/>
      <c r="H113" s="118"/>
      <c r="I113" s="118" t="e" cm="1" vm="27">
        <f t="array" ref="I113">_xldudf_BOARDFLARE_FMATCH(D113,G113)</f>
        <v>#VALUE!</v>
      </c>
      <c r="R113" s="96"/>
      <c r="S113" s="96"/>
      <c r="T113" s="96"/>
      <c r="U113" s="96"/>
      <c r="V113" s="96"/>
      <c r="W113" s="96"/>
      <c r="X113" s="96"/>
      <c r="Y113" s="96"/>
      <c r="Z113" s="96"/>
      <c r="AA113" s="96"/>
      <c r="AB113" s="96"/>
      <c r="AD113" s="118"/>
      <c r="AE113" s="118"/>
      <c r="AF113" s="118"/>
      <c r="AG113" s="118"/>
      <c r="AI113" s="118" t="s">
        <v>97</v>
      </c>
      <c r="AJ113" s="118"/>
      <c r="AK113" s="118"/>
      <c r="AL113" s="118"/>
      <c r="AM113" s="96"/>
      <c r="AN113" s="96"/>
    </row>
    <row r="114" spans="1:45" ht="15.45">
      <c r="A114" s="117" t="s">
        <v>296</v>
      </c>
      <c r="B114" s="118"/>
      <c r="C114" s="117" t="s">
        <v>61</v>
      </c>
      <c r="D114" s="119" t="s">
        <v>305</v>
      </c>
      <c r="E114" s="118" t="s">
        <v>16</v>
      </c>
      <c r="F114" s="117" t="s">
        <v>308</v>
      </c>
      <c r="G114" s="117" t="s">
        <v>309</v>
      </c>
      <c r="H114" s="118"/>
      <c r="I114" s="118" t="e" cm="1" vm="97">
        <f t="array" ref="I114">_xldudf_BOARDFLARE_FMATCH(D114,G114)</f>
        <v>#VALUE!</v>
      </c>
      <c r="R114" s="96"/>
      <c r="S114" s="96"/>
      <c r="T114" s="96"/>
      <c r="U114" s="96"/>
      <c r="V114" s="96"/>
      <c r="W114" s="96"/>
      <c r="X114" s="96"/>
      <c r="Y114" s="96"/>
      <c r="Z114" s="96"/>
      <c r="AA114" s="96"/>
      <c r="AB114" s="96"/>
      <c r="AD114" s="118"/>
      <c r="AE114" s="118"/>
      <c r="AF114" s="118"/>
      <c r="AG114" s="118"/>
      <c r="AI114" s="118" t="s">
        <v>97</v>
      </c>
      <c r="AJ114" s="118" t="s">
        <v>97</v>
      </c>
      <c r="AK114" s="131" cm="1">
        <f t="array" ref="AK114">SUMPRODUCT(--ISNUMBER(SEARCH(_xlfn.TEXTSPLIT(D114," "), G114))) / COUNTA(_xlfn.TEXTSPLIT(D114," "))</f>
        <v>0.10256410256410256</v>
      </c>
      <c r="AL114" s="131">
        <f t="shared" ref="AL114:AL117" si="23">AK114*100</f>
        <v>10.256410256410255</v>
      </c>
      <c r="AM114" s="131" t="str" cm="1">
        <f t="array" ref="AM114">IF(
   SUMPRODUCT(--ISNUMBER(SEARCH(_xlfn.TEXTSPLIT(D114," "), G114))) / COUNTA(_xlfn.TEXTSPLIT(D114," ")) = 1,
   "Full Match",
   IF(
      SUMPRODUCT(--ISNUMBER(SEARCH(_xlfn.TEXTSPLIT(D114," "), G114))) / COUNTA(_xlfn.TEXTSPLIT(D114," ")) &gt; 0.5,
      "Partial Match",
      "No Match"
   )
)</f>
        <v>No Match</v>
      </c>
      <c r="AS114" s="96"/>
    </row>
    <row r="115" spans="1:45" ht="15.45">
      <c r="A115" s="117" t="s">
        <v>296</v>
      </c>
      <c r="B115" s="118"/>
      <c r="C115" s="117" t="s">
        <v>61</v>
      </c>
      <c r="D115" s="119" t="s">
        <v>300</v>
      </c>
      <c r="E115" s="118" t="s">
        <v>16</v>
      </c>
      <c r="F115" s="117" t="s">
        <v>310</v>
      </c>
      <c r="G115" s="117" t="s">
        <v>311</v>
      </c>
      <c r="H115" s="118"/>
      <c r="I115" s="118" t="e" cm="1" vm="95">
        <f t="array" ref="I115">_xldudf_BOARDFLARE_FMATCH(D115,G115)</f>
        <v>#VALUE!</v>
      </c>
      <c r="R115" s="96"/>
      <c r="S115" s="96"/>
      <c r="T115" s="96"/>
      <c r="U115" s="96"/>
      <c r="V115" s="96"/>
      <c r="W115" s="96"/>
      <c r="X115" s="96"/>
      <c r="Y115" s="96"/>
      <c r="Z115" s="96"/>
      <c r="AA115" s="96"/>
      <c r="AB115" s="96"/>
      <c r="AD115" s="118"/>
      <c r="AE115" s="118"/>
      <c r="AF115" s="118"/>
      <c r="AG115" s="118"/>
      <c r="AI115" s="118" t="s">
        <v>97</v>
      </c>
      <c r="AJ115" s="118" t="s">
        <v>97</v>
      </c>
      <c r="AK115" s="131" cm="1">
        <f t="array" ref="AK115">SUMPRODUCT(--ISNUMBER(SEARCH(_xlfn.TEXTSPLIT(D115," "), G115))) / COUNTA(_xlfn.TEXTSPLIT(D115," "))</f>
        <v>0.35714285714285715</v>
      </c>
      <c r="AL115" s="131">
        <f t="shared" si="23"/>
        <v>35.714285714285715</v>
      </c>
      <c r="AM115" s="131" t="str" cm="1">
        <f t="array" ref="AM115">IF(
   SUMPRODUCT(--ISNUMBER(SEARCH(_xlfn.TEXTSPLIT(D115," "), G115))) / COUNTA(_xlfn.TEXTSPLIT(D115," ")) = 1,
   "Full Match",
   IF(
      SUMPRODUCT(--ISNUMBER(SEARCH(_xlfn.TEXTSPLIT(D115," "), G115))) / COUNTA(_xlfn.TEXTSPLIT(D115," ")) &gt; 0.5,
      "Partial Match",
      "No Match"
   )
)</f>
        <v>No Match</v>
      </c>
      <c r="AS115" s="96"/>
    </row>
    <row r="116" spans="1:45" ht="14.6">
      <c r="A116" s="117" t="s">
        <v>296</v>
      </c>
      <c r="B116" s="118"/>
      <c r="C116" s="117" t="s">
        <v>61</v>
      </c>
      <c r="D116" s="118" t="s">
        <v>297</v>
      </c>
      <c r="E116" s="118" t="s">
        <v>16</v>
      </c>
      <c r="F116" s="117" t="s">
        <v>312</v>
      </c>
      <c r="G116" s="117" t="s">
        <v>313</v>
      </c>
      <c r="H116" s="118"/>
      <c r="I116" s="118" t="e" cm="1" vm="93">
        <f t="array" ref="I116">_xldudf_BOARDFLARE_FMATCH(D116,G116)</f>
        <v>#VALUE!</v>
      </c>
      <c r="R116" s="96"/>
      <c r="S116" s="96"/>
      <c r="T116" s="96"/>
      <c r="U116" s="96"/>
      <c r="V116" s="96"/>
      <c r="W116" s="96"/>
      <c r="X116" s="96"/>
      <c r="Y116" s="96"/>
      <c r="Z116" s="96"/>
      <c r="AA116" s="96"/>
      <c r="AB116" s="96"/>
      <c r="AD116" s="118"/>
      <c r="AE116" s="118"/>
      <c r="AF116" s="118"/>
      <c r="AG116" s="118"/>
      <c r="AI116" s="118" t="s">
        <v>97</v>
      </c>
      <c r="AJ116" s="118" t="s">
        <v>97</v>
      </c>
      <c r="AK116" s="131" cm="1">
        <f t="array" ref="AK116">SUMPRODUCT(--ISNUMBER(SEARCH(_xlfn.TEXTSPLIT(D116," "), G116))) / COUNTA(_xlfn.TEXTSPLIT(D116," "))</f>
        <v>0.16666666666666666</v>
      </c>
      <c r="AL116" s="131">
        <f t="shared" si="23"/>
        <v>16.666666666666664</v>
      </c>
      <c r="AM116" s="131" t="str" cm="1">
        <f t="array" ref="AM116">IF(
   SUMPRODUCT(--ISNUMBER(SEARCH(_xlfn.TEXTSPLIT(D116," "), G116))) / COUNTA(_xlfn.TEXTSPLIT(D116," ")) = 1,
   "Full Match",
   IF(
      SUMPRODUCT(--ISNUMBER(SEARCH(_xlfn.TEXTSPLIT(D116," "), G116))) / COUNTA(_xlfn.TEXTSPLIT(D116," ")) &gt; 0.5,
      "Partial Match",
      "No Match"
   )
)</f>
        <v>No Match</v>
      </c>
      <c r="AS116" s="96"/>
    </row>
    <row r="117" spans="1:45" ht="15.45">
      <c r="A117" s="117" t="s">
        <v>296</v>
      </c>
      <c r="B117" s="118"/>
      <c r="C117" s="117" t="s">
        <v>61</v>
      </c>
      <c r="D117" s="119" t="s">
        <v>300</v>
      </c>
      <c r="E117" s="118" t="s">
        <v>16</v>
      </c>
      <c r="F117" s="117" t="s">
        <v>314</v>
      </c>
      <c r="G117" s="117" t="s">
        <v>315</v>
      </c>
      <c r="H117" s="118"/>
      <c r="I117" s="118" t="e" cm="1" vm="95">
        <f t="array" ref="I117">_xldudf_BOARDFLARE_FMATCH(D117,G117)</f>
        <v>#VALUE!</v>
      </c>
      <c r="R117" s="96"/>
      <c r="S117" s="96"/>
      <c r="T117" s="96"/>
      <c r="U117" s="96"/>
      <c r="V117" s="96"/>
      <c r="W117" s="96"/>
      <c r="X117" s="96"/>
      <c r="Y117" s="96"/>
      <c r="Z117" s="96"/>
      <c r="AA117" s="96"/>
      <c r="AB117" s="96"/>
      <c r="AD117" s="118"/>
      <c r="AE117" s="118"/>
      <c r="AF117" s="118"/>
      <c r="AG117" s="118"/>
      <c r="AI117" s="118" t="s">
        <v>97</v>
      </c>
      <c r="AJ117" s="118" t="s">
        <v>97</v>
      </c>
      <c r="AK117" s="131" cm="1">
        <f t="array" ref="AK117">SUMPRODUCT(--ISNUMBER(SEARCH(_xlfn.TEXTSPLIT(D117," "), G117))) / COUNTA(_xlfn.TEXTSPLIT(D117," "))</f>
        <v>0.21428571428571427</v>
      </c>
      <c r="AL117" s="131">
        <f t="shared" si="23"/>
        <v>21.428571428571427</v>
      </c>
      <c r="AM117" s="131" t="str" cm="1">
        <f t="array" ref="AM117">IF(
   SUMPRODUCT(--ISNUMBER(SEARCH(_xlfn.TEXTSPLIT(D117," "), G117))) / COUNTA(_xlfn.TEXTSPLIT(D117," ")) = 1,
   "Full Match",
   IF(
      SUMPRODUCT(--ISNUMBER(SEARCH(_xlfn.TEXTSPLIT(D117," "), G117))) / COUNTA(_xlfn.TEXTSPLIT(D117," ")) &gt; 0.5,
      "Partial Match",
      "No Match"
   )
)</f>
        <v>No Match</v>
      </c>
      <c r="AS117" s="96"/>
    </row>
    <row r="118" spans="1:45" ht="409.6" hidden="1">
      <c r="A118" s="117" t="s">
        <v>316</v>
      </c>
      <c r="B118" s="118"/>
      <c r="C118" s="117" t="s">
        <v>60</v>
      </c>
      <c r="D118" s="126" t="s">
        <v>317</v>
      </c>
      <c r="E118" s="118" t="s">
        <v>16</v>
      </c>
      <c r="F118" s="117" t="s">
        <v>318</v>
      </c>
      <c r="G118" s="117" t="s">
        <v>319</v>
      </c>
      <c r="H118" s="118"/>
      <c r="I118" s="118" t="e" cm="1" vm="98">
        <f t="array" ref="I118">_xldudf_BOARDFLARE_FMATCH(D118,G118)</f>
        <v>#VALUE!</v>
      </c>
      <c r="R118" s="96"/>
      <c r="S118" s="96"/>
      <c r="T118" s="96"/>
      <c r="U118" s="96"/>
      <c r="V118" s="96"/>
      <c r="W118" s="96"/>
      <c r="X118" s="96"/>
      <c r="Y118" s="96"/>
      <c r="Z118" s="96"/>
      <c r="AA118" s="96"/>
      <c r="AB118" s="96"/>
      <c r="AD118" s="127">
        <v>0</v>
      </c>
      <c r="AE118" s="127">
        <v>6</v>
      </c>
      <c r="AF118" s="127" t="s">
        <v>125</v>
      </c>
      <c r="AG118" s="127" t="str">
        <f>AF118</f>
        <v>no</v>
      </c>
      <c r="AH118" s="96" t="str" cm="1">
        <f t="array" ref="AH118">IF(
   SUMPRODUCT(--ISNUMBER(SEARCH(_xlfn.TEXTSPLIT(D118," "), G118))) / COUNTA(_xlfn.TEXTSPLIT(D118," ")) = 1,
   "Full Match",
   IF(
      SUMPRODUCT(--ISNUMBER(SEARCH(_xlfn.TEXTSPLIT(D118," "), G118))) / COUNTA(_xlfn.TEXTSPLIT(D118," ")) &gt; 0.5,
      "Partial Match",
      "No Match"
   )
)</f>
        <v>No Match</v>
      </c>
      <c r="AI118" s="118" t="s">
        <v>97</v>
      </c>
      <c r="AJ118" s="118"/>
      <c r="AK118" s="118"/>
      <c r="AL118" s="118"/>
      <c r="AM118" s="96"/>
      <c r="AN118" s="96"/>
      <c r="AO118" s="96"/>
      <c r="AP118" s="96"/>
      <c r="AQ118" s="96"/>
      <c r="AR118" s="96"/>
      <c r="AS118" s="96"/>
    </row>
    <row r="119" spans="1:45" ht="92.6">
      <c r="A119" s="117" t="s">
        <v>320</v>
      </c>
      <c r="B119" s="118"/>
      <c r="C119" s="117" t="s">
        <v>61</v>
      </c>
      <c r="D119" s="128" t="s">
        <v>321</v>
      </c>
      <c r="E119" s="118" t="s">
        <v>16</v>
      </c>
      <c r="F119" s="117" t="s">
        <v>322</v>
      </c>
      <c r="G119" s="117" t="s">
        <v>323</v>
      </c>
      <c r="H119" s="118"/>
      <c r="I119" s="118" t="e" cm="1" vm="99">
        <f t="array" ref="I119">_xldudf_BOARDFLARE_FMATCH(D119,G119)</f>
        <v>#VALUE!</v>
      </c>
      <c r="R119" s="96"/>
      <c r="S119" s="96"/>
      <c r="T119" s="96"/>
      <c r="U119" s="96"/>
      <c r="V119" s="96"/>
      <c r="W119" s="96"/>
      <c r="X119" s="96"/>
      <c r="Y119" s="96"/>
      <c r="Z119" s="96"/>
      <c r="AA119" s="96"/>
      <c r="AB119" s="96"/>
      <c r="AD119" s="118"/>
      <c r="AE119" s="118"/>
      <c r="AF119" s="118"/>
      <c r="AG119" s="118"/>
      <c r="AI119" s="118" t="s">
        <v>97</v>
      </c>
      <c r="AJ119" s="118" t="s">
        <v>97</v>
      </c>
      <c r="AK119" s="131" cm="1">
        <f t="array" ref="AK119">SUMPRODUCT(--ISNUMBER(SEARCH(_xlfn.TEXTSPLIT(D119," "), G119))) / COUNTA(_xlfn.TEXTSPLIT(D119," "))</f>
        <v>0.54054054054054057</v>
      </c>
      <c r="AL119" s="131">
        <f>AK119*100</f>
        <v>54.054054054054056</v>
      </c>
      <c r="AM119" s="131" t="str" cm="1">
        <f t="array" ref="AM119">IF(
   SUMPRODUCT(--ISNUMBER(SEARCH(_xlfn.TEXTSPLIT(D119," "), G119))) / COUNTA(_xlfn.TEXTSPLIT(D119," ")) = 1,
   "Full Match",
   IF(
      SUMPRODUCT(--ISNUMBER(SEARCH(_xlfn.TEXTSPLIT(D119," "), G119))) / COUNTA(_xlfn.TEXTSPLIT(D119," ")) &gt; 0.5,
      "Partial Match",
      "No Match"
   )
)</f>
        <v>Partial Match</v>
      </c>
      <c r="AS119" s="96"/>
    </row>
    <row r="120" spans="1:45" ht="15.45" hidden="1">
      <c r="A120" s="117" t="s">
        <v>324</v>
      </c>
      <c r="B120" s="118"/>
      <c r="C120" s="117" t="s">
        <v>60</v>
      </c>
      <c r="D120" s="119" t="s">
        <v>325</v>
      </c>
      <c r="E120" s="118" t="s">
        <v>16</v>
      </c>
      <c r="F120" s="117" t="s">
        <v>326</v>
      </c>
      <c r="G120" s="117" t="s">
        <v>327</v>
      </c>
      <c r="H120" s="118"/>
      <c r="I120" s="118" t="e" cm="1" vm="100">
        <f t="array" ref="I120">_xldudf_BOARDFLARE_FMATCH(D120,G120)</f>
        <v>#VALUE!</v>
      </c>
      <c r="R120" s="96"/>
      <c r="S120" s="96"/>
      <c r="T120" s="96"/>
      <c r="U120" s="96"/>
      <c r="V120" s="96"/>
      <c r="W120" s="96"/>
      <c r="X120" s="96"/>
      <c r="Y120" s="96"/>
      <c r="Z120" s="96"/>
      <c r="AA120" s="96"/>
      <c r="AB120" s="96"/>
      <c r="AD120" s="127">
        <v>1</v>
      </c>
      <c r="AE120" s="127">
        <v>8</v>
      </c>
      <c r="AF120" s="127" t="s">
        <v>125</v>
      </c>
      <c r="AG120" s="127" t="str">
        <f t="shared" ref="AG120:AG123" si="24">AF120</f>
        <v>no</v>
      </c>
      <c r="AH120" s="96" t="str" cm="1">
        <f t="array" ref="AH120">IF(
   SUMPRODUCT(--ISNUMBER(SEARCH(_xlfn.TEXTSPLIT(D120," "), G120))) / COUNTA(_xlfn.TEXTSPLIT(D120," ")) = 1,
   "Full Match",
   IF(
      SUMPRODUCT(--ISNUMBER(SEARCH(_xlfn.TEXTSPLIT(D120," "), G120))) / COUNTA(_xlfn.TEXTSPLIT(D120," ")) &gt; 0.5,
      "Partial Match",
      "No Match"
   )
)</f>
        <v>Partial Match</v>
      </c>
      <c r="AI120" s="118" t="s">
        <v>97</v>
      </c>
      <c r="AJ120" s="118"/>
      <c r="AK120" s="118"/>
      <c r="AL120" s="118"/>
      <c r="AM120" s="96"/>
      <c r="AN120" s="96"/>
      <c r="AO120" s="96"/>
      <c r="AP120" s="96"/>
      <c r="AQ120" s="96"/>
      <c r="AR120" s="96"/>
      <c r="AS120" s="96"/>
    </row>
    <row r="121" spans="1:45" ht="409.6" hidden="1">
      <c r="A121" s="117" t="s">
        <v>328</v>
      </c>
      <c r="B121" s="118"/>
      <c r="C121" s="117" t="s">
        <v>60</v>
      </c>
      <c r="D121" s="126" t="s">
        <v>198</v>
      </c>
      <c r="E121" s="118" t="s">
        <v>16</v>
      </c>
      <c r="F121" s="117" t="s">
        <v>329</v>
      </c>
      <c r="G121" s="117"/>
      <c r="H121" s="118"/>
      <c r="I121" s="118" t="e" cm="1" vm="52">
        <f t="array" ref="I121">_xldudf_BOARDFLARE_FMATCH(D121,G121)</f>
        <v>#VALUE!</v>
      </c>
      <c r="R121" s="96"/>
      <c r="S121" s="96"/>
      <c r="T121" s="96"/>
      <c r="U121" s="96"/>
      <c r="V121" s="96"/>
      <c r="W121" s="96"/>
      <c r="X121" s="96"/>
      <c r="Y121" s="96"/>
      <c r="Z121" s="96"/>
      <c r="AA121" s="96"/>
      <c r="AB121" s="96"/>
      <c r="AD121" s="127">
        <v>9</v>
      </c>
      <c r="AE121" s="127">
        <v>0</v>
      </c>
      <c r="AF121" s="127" t="s">
        <v>125</v>
      </c>
      <c r="AG121" s="127" t="str">
        <f t="shared" si="24"/>
        <v>no</v>
      </c>
      <c r="AH121" s="96" t="str" cm="1">
        <f t="array" ref="AH121">IF(
   SUMPRODUCT(--ISNUMBER(SEARCH(_xlfn.TEXTSPLIT(D121," "), G121))) / COUNTA(_xlfn.TEXTSPLIT(D121," ")) = 1,
   "Full Match",
   IF(
      SUMPRODUCT(--ISNUMBER(SEARCH(_xlfn.TEXTSPLIT(D121," "), G121))) / COUNTA(_xlfn.TEXTSPLIT(D121," ")) &gt; 0.5,
      "Partial Match",
      "No Match"
   )
)</f>
        <v>No Match</v>
      </c>
      <c r="AI121" s="118" t="s">
        <v>97</v>
      </c>
      <c r="AJ121" s="118"/>
      <c r="AK121" s="118"/>
      <c r="AL121" s="118"/>
      <c r="AM121" s="96"/>
      <c r="AN121" s="96"/>
      <c r="AO121" s="96"/>
      <c r="AP121" s="96"/>
      <c r="AQ121" s="96"/>
      <c r="AR121" s="96"/>
      <c r="AS121" s="96"/>
    </row>
    <row r="122" spans="1:45" ht="220.3" hidden="1">
      <c r="A122" s="117" t="s">
        <v>330</v>
      </c>
      <c r="B122" s="118"/>
      <c r="C122" s="117" t="s">
        <v>60</v>
      </c>
      <c r="D122" s="126" t="s">
        <v>331</v>
      </c>
      <c r="E122" s="118" t="s">
        <v>16</v>
      </c>
      <c r="F122" s="117" t="s">
        <v>332</v>
      </c>
      <c r="G122" s="117" t="s">
        <v>333</v>
      </c>
      <c r="H122" s="118"/>
      <c r="I122" s="118" t="e" cm="1" vm="101">
        <f t="array" ref="I122">_xldudf_BOARDFLARE_FMATCH(D122,G122)</f>
        <v>#VALUE!</v>
      </c>
      <c r="R122" s="96"/>
      <c r="S122" s="96"/>
      <c r="T122" s="96"/>
      <c r="U122" s="96"/>
      <c r="V122" s="96"/>
      <c r="W122" s="96"/>
      <c r="X122" s="96"/>
      <c r="Y122" s="96"/>
      <c r="Z122" s="96"/>
      <c r="AA122" s="96"/>
      <c r="AB122" s="96"/>
      <c r="AD122" s="127">
        <v>9</v>
      </c>
      <c r="AE122" s="127">
        <v>9</v>
      </c>
      <c r="AF122" s="127" t="s">
        <v>97</v>
      </c>
      <c r="AG122" s="127" t="str">
        <f t="shared" si="24"/>
        <v>yes</v>
      </c>
      <c r="AH122" s="96" t="str" cm="1">
        <f t="array" ref="AH122">IF(
   SUMPRODUCT(--ISNUMBER(SEARCH(_xlfn.TEXTSPLIT(D122," "), G122))) / COUNTA(_xlfn.TEXTSPLIT(D122," ")) = 1,
   "Full Match",
   IF(
      SUMPRODUCT(--ISNUMBER(SEARCH(_xlfn.TEXTSPLIT(D122," "), G122))) / COUNTA(_xlfn.TEXTSPLIT(D122," ")) &gt; 0.5,
      "Partial Match",
      "No Match"
   )
)</f>
        <v>Partial Match</v>
      </c>
      <c r="AI122" s="118" t="s">
        <v>97</v>
      </c>
      <c r="AJ122" s="118"/>
      <c r="AK122" s="96"/>
      <c r="AL122" s="96"/>
      <c r="AM122" s="96"/>
      <c r="AN122" s="96"/>
      <c r="AO122" s="96"/>
      <c r="AP122" s="96"/>
      <c r="AQ122" s="96"/>
      <c r="AR122" s="96"/>
      <c r="AS122" s="96"/>
    </row>
    <row r="123" spans="1:45" ht="357.45" hidden="1">
      <c r="A123" s="117" t="s">
        <v>334</v>
      </c>
      <c r="B123" s="118"/>
      <c r="C123" s="117" t="s">
        <v>60</v>
      </c>
      <c r="D123" s="126" t="s">
        <v>335</v>
      </c>
      <c r="E123" s="118" t="s">
        <v>16</v>
      </c>
      <c r="F123" s="117" t="s">
        <v>336</v>
      </c>
      <c r="G123" s="117" t="s">
        <v>337</v>
      </c>
      <c r="H123" s="118"/>
      <c r="I123" s="118" t="e" cm="1" vm="102">
        <f t="array" ref="I123">_xldudf_BOARDFLARE_FMATCH(D123,G123)</f>
        <v>#VALUE!</v>
      </c>
      <c r="R123" s="96"/>
      <c r="S123" s="96"/>
      <c r="T123" s="96"/>
      <c r="U123" s="96"/>
      <c r="V123" s="96"/>
      <c r="W123" s="96"/>
      <c r="X123" s="96"/>
      <c r="Y123" s="96"/>
      <c r="Z123" s="96"/>
      <c r="AA123" s="96"/>
      <c r="AB123" s="96"/>
      <c r="AD123" s="127">
        <v>7</v>
      </c>
      <c r="AE123" s="127">
        <v>8</v>
      </c>
      <c r="AF123" s="127" t="s">
        <v>125</v>
      </c>
      <c r="AG123" s="127" t="str">
        <f t="shared" si="24"/>
        <v>no</v>
      </c>
      <c r="AH123" s="96" t="str" cm="1">
        <f t="array" ref="AH123">IF(
   SUMPRODUCT(--ISNUMBER(SEARCH(_xlfn.TEXTSPLIT(D123," "), G123))) / COUNTA(_xlfn.TEXTSPLIT(D123," ")) = 1,
   "Full Match",
   IF(
      SUMPRODUCT(--ISNUMBER(SEARCH(_xlfn.TEXTSPLIT(D123," "), G123))) / COUNTA(_xlfn.TEXTSPLIT(D123," ")) &gt; 0.5,
      "Partial Match",
      "No Match"
   )
)</f>
        <v>Partial Match</v>
      </c>
      <c r="AI123" s="118" t="s">
        <v>97</v>
      </c>
      <c r="AJ123" s="118"/>
      <c r="AK123" s="118"/>
      <c r="AL123" s="118"/>
      <c r="AM123" s="96"/>
      <c r="AN123" s="96"/>
      <c r="AO123" s="96"/>
      <c r="AP123" s="96"/>
      <c r="AQ123" s="96"/>
      <c r="AR123" s="96"/>
      <c r="AS123" s="96"/>
    </row>
    <row r="124" spans="1:45" ht="15.45">
      <c r="A124" s="117" t="s">
        <v>338</v>
      </c>
      <c r="B124" s="118"/>
      <c r="C124" s="117" t="s">
        <v>61</v>
      </c>
      <c r="D124" s="119" t="s">
        <v>339</v>
      </c>
      <c r="E124" s="118" t="s">
        <v>16</v>
      </c>
      <c r="F124" s="117" t="s">
        <v>340</v>
      </c>
      <c r="G124" s="117" t="s">
        <v>200</v>
      </c>
      <c r="H124" s="118"/>
      <c r="I124" s="118" t="e" cm="1" vm="103">
        <f t="array" ref="I124">_xldudf_BOARDFLARE_FMATCH(D124,G124)</f>
        <v>#VALUE!</v>
      </c>
      <c r="R124" s="96"/>
      <c r="S124" s="96"/>
      <c r="T124" s="96"/>
      <c r="U124" s="96"/>
      <c r="V124" s="96"/>
      <c r="W124" s="96"/>
      <c r="X124" s="96"/>
      <c r="Y124" s="96"/>
      <c r="Z124" s="96"/>
      <c r="AA124" s="96"/>
      <c r="AB124" s="96"/>
      <c r="AD124" s="96"/>
      <c r="AE124" s="96"/>
      <c r="AF124" s="96"/>
      <c r="AG124" s="96"/>
      <c r="AI124" s="118" t="s">
        <v>97</v>
      </c>
      <c r="AJ124" s="118" t="s">
        <v>125</v>
      </c>
      <c r="AK124" s="131" cm="1">
        <f t="array" ref="AK124">SUMPRODUCT(--ISNUMBER(SEARCH(_xlfn.TEXTSPLIT(D124," "), G124))) / COUNTA(_xlfn.TEXTSPLIT(D124," "))</f>
        <v>2.3809523809523808E-2</v>
      </c>
      <c r="AL124" s="131">
        <f>AK124*100</f>
        <v>2.3809523809523809</v>
      </c>
      <c r="AM124" s="131" t="str" cm="1">
        <f t="array" ref="AM124">IF(
   SUMPRODUCT(--ISNUMBER(SEARCH(_xlfn.TEXTSPLIT(D124," "), G124))) / COUNTA(_xlfn.TEXTSPLIT(D124," ")) = 1,
   "Full Match",
   IF(
      SUMPRODUCT(--ISNUMBER(SEARCH(_xlfn.TEXTSPLIT(D124," "), G124))) / COUNTA(_xlfn.TEXTSPLIT(D124," ")) &gt; 0.5,
      "Partial Match",
      "No Match"
   )
)</f>
        <v>No Match</v>
      </c>
      <c r="AS124" s="96"/>
    </row>
    <row r="125" spans="1:45" ht="15.45" hidden="1">
      <c r="A125" s="117" t="s">
        <v>341</v>
      </c>
      <c r="B125" s="118"/>
      <c r="C125" s="117" t="s">
        <v>62</v>
      </c>
      <c r="D125" s="119" t="s">
        <v>342</v>
      </c>
      <c r="E125" s="118" t="s">
        <v>16</v>
      </c>
      <c r="F125" s="117" t="s">
        <v>343</v>
      </c>
      <c r="G125" s="117" t="s">
        <v>344</v>
      </c>
      <c r="H125" s="118"/>
      <c r="I125" s="118" t="e" cm="1" vm="104">
        <f t="array" ref="I125">_xldudf_BOARDFLARE_FMATCH(D125,G125)</f>
        <v>#VALUE!</v>
      </c>
      <c r="R125" s="96"/>
      <c r="S125" s="96"/>
      <c r="T125" s="96"/>
      <c r="U125" s="96"/>
      <c r="V125" s="96"/>
      <c r="W125" s="96"/>
      <c r="X125" s="96"/>
      <c r="Y125" s="96"/>
      <c r="Z125" s="96"/>
      <c r="AA125" s="96"/>
      <c r="AB125" s="96"/>
      <c r="AD125" s="96"/>
      <c r="AE125" s="96"/>
      <c r="AF125" s="96"/>
      <c r="AG125" s="96"/>
      <c r="AI125" s="118"/>
      <c r="AJ125" s="118"/>
      <c r="AK125" s="96"/>
      <c r="AL125" s="96"/>
      <c r="AM125" s="96"/>
      <c r="AN125" s="96"/>
    </row>
    <row r="126" spans="1:45" ht="14.6" hidden="1">
      <c r="A126" s="117" t="s">
        <v>345</v>
      </c>
      <c r="B126" s="118"/>
      <c r="C126" s="117"/>
      <c r="D126" s="118"/>
      <c r="E126" s="118" t="s">
        <v>16</v>
      </c>
      <c r="F126" s="117" t="s">
        <v>346</v>
      </c>
      <c r="G126" s="117"/>
      <c r="H126" s="118"/>
      <c r="I126" s="118" t="e" cm="1" vm="8">
        <f t="array" ref="I126">_xldudf_BOARDFLARE_FMATCH(D126,G126)</f>
        <v>#VALUE!</v>
      </c>
      <c r="R126" s="96"/>
      <c r="S126" s="96"/>
      <c r="T126" s="96"/>
      <c r="U126" s="96"/>
      <c r="V126" s="96"/>
      <c r="W126" s="96"/>
      <c r="X126" s="96"/>
      <c r="Y126" s="96"/>
      <c r="Z126" s="96"/>
      <c r="AA126" s="96"/>
      <c r="AB126" s="96"/>
      <c r="AD126" s="96"/>
      <c r="AE126" s="96"/>
      <c r="AF126" s="96"/>
      <c r="AG126" s="96"/>
      <c r="AI126" s="118"/>
      <c r="AJ126" s="118"/>
      <c r="AK126" s="96"/>
      <c r="AL126" s="96"/>
      <c r="AM126" s="96"/>
      <c r="AN126" s="96"/>
      <c r="AO126" s="96"/>
      <c r="AP126" s="96"/>
      <c r="AQ126" s="96"/>
      <c r="AR126" s="96"/>
      <c r="AS126" s="96"/>
    </row>
    <row r="127" spans="1:45" ht="15.45" hidden="1">
      <c r="A127" s="117"/>
      <c r="B127" s="118"/>
      <c r="C127" s="120"/>
      <c r="D127" s="119"/>
      <c r="E127" s="118"/>
      <c r="F127" s="117"/>
      <c r="G127" s="117"/>
      <c r="H127" s="118"/>
      <c r="I127" s="118" t="e" cm="1" vm="8">
        <f t="array" ref="I127">_xldudf_BOARDFLARE_FMATCH(D127,G127)</f>
        <v>#VALUE!</v>
      </c>
      <c r="R127" s="96"/>
      <c r="S127" s="96"/>
      <c r="T127" s="96"/>
      <c r="U127" s="96"/>
      <c r="V127" s="96"/>
      <c r="W127" s="96"/>
      <c r="X127" s="96"/>
      <c r="Y127" s="96"/>
      <c r="Z127" s="96"/>
      <c r="AA127" s="96"/>
      <c r="AB127" s="96"/>
      <c r="AD127" s="96"/>
      <c r="AE127" s="96"/>
      <c r="AF127" s="96"/>
      <c r="AG127" s="96"/>
      <c r="AI127" s="118"/>
      <c r="AJ127" s="118"/>
      <c r="AK127" s="96"/>
      <c r="AL127" s="96"/>
      <c r="AM127" s="96"/>
      <c r="AN127" s="96"/>
      <c r="AO127" s="96"/>
      <c r="AP127" s="96"/>
      <c r="AQ127" s="96"/>
      <c r="AR127" s="96"/>
      <c r="AS127" s="96"/>
    </row>
    <row r="128" spans="1:45" ht="15.45" hidden="1">
      <c r="A128" s="117"/>
      <c r="B128" s="118"/>
      <c r="C128" s="117"/>
      <c r="D128" s="119"/>
      <c r="E128" s="118"/>
      <c r="F128" s="117"/>
      <c r="G128" s="117"/>
      <c r="H128" s="118"/>
      <c r="I128" s="118" t="e" cm="1" vm="8">
        <f t="array" ref="I128">_xldudf_BOARDFLARE_FMATCH(D128,G128)</f>
        <v>#VALUE!</v>
      </c>
      <c r="R128" s="96"/>
      <c r="S128" s="96"/>
      <c r="T128" s="96"/>
      <c r="U128" s="96"/>
      <c r="V128" s="96"/>
      <c r="W128" s="96"/>
      <c r="X128" s="96"/>
      <c r="Y128" s="96"/>
      <c r="Z128" s="96"/>
      <c r="AA128" s="96"/>
      <c r="AB128" s="96"/>
      <c r="AD128" s="96"/>
      <c r="AE128" s="96"/>
      <c r="AF128" s="96"/>
      <c r="AG128" s="96"/>
      <c r="AI128" s="118"/>
      <c r="AJ128" s="118"/>
      <c r="AK128" s="118"/>
      <c r="AL128" s="118"/>
      <c r="AM128" s="96"/>
      <c r="AN128" s="96"/>
      <c r="AO128" s="96"/>
      <c r="AP128" s="96"/>
      <c r="AQ128" s="96"/>
      <c r="AR128" s="96"/>
      <c r="AS128" s="96"/>
    </row>
    <row r="129" spans="1:45" ht="15.45" hidden="1">
      <c r="A129" s="117"/>
      <c r="B129" s="118"/>
      <c r="C129" s="117"/>
      <c r="D129" s="119"/>
      <c r="E129" s="118"/>
      <c r="F129" s="117"/>
      <c r="G129" s="117"/>
      <c r="H129" s="118"/>
      <c r="I129" s="118" t="e" cm="1" vm="8">
        <f t="array" ref="I129">_xldudf_BOARDFLARE_FMATCH(D129,G129)</f>
        <v>#VALUE!</v>
      </c>
      <c r="R129" s="96"/>
      <c r="S129" s="96"/>
      <c r="T129" s="96"/>
      <c r="U129" s="96"/>
      <c r="V129" s="96"/>
      <c r="W129" s="96"/>
      <c r="X129" s="96"/>
      <c r="Y129" s="96"/>
      <c r="Z129" s="96"/>
      <c r="AA129" s="96"/>
      <c r="AB129" s="96"/>
      <c r="AD129" s="96"/>
      <c r="AE129" s="96"/>
      <c r="AF129" s="96"/>
      <c r="AG129" s="96"/>
      <c r="AK129" s="96"/>
      <c r="AL129" s="96"/>
      <c r="AM129" s="96"/>
      <c r="AN129" s="96"/>
      <c r="AO129" s="96"/>
      <c r="AP129" s="96"/>
      <c r="AQ129" s="96"/>
      <c r="AR129" s="96"/>
      <c r="AS129" s="96"/>
    </row>
    <row r="130" spans="1:45" ht="14.6" hidden="1">
      <c r="A130" s="117"/>
      <c r="B130" s="118"/>
      <c r="C130" s="117"/>
      <c r="D130" s="126"/>
      <c r="E130" s="118"/>
      <c r="F130" s="117"/>
      <c r="G130" s="117"/>
      <c r="H130" s="118"/>
      <c r="I130" s="118" t="e" cm="1" vm="8">
        <f t="array" ref="I130">_xldudf_BOARDFLARE_FMATCH(D130,G130)</f>
        <v>#VALUE!</v>
      </c>
      <c r="R130" s="96"/>
      <c r="S130" s="96"/>
      <c r="T130" s="96"/>
      <c r="U130" s="96"/>
      <c r="V130" s="96"/>
      <c r="W130" s="96"/>
      <c r="X130" s="96"/>
      <c r="Y130" s="96"/>
      <c r="Z130" s="96"/>
      <c r="AA130" s="96"/>
      <c r="AB130" s="96"/>
      <c r="AD130" s="96"/>
      <c r="AE130" s="96"/>
      <c r="AF130" s="96"/>
      <c r="AG130" s="96"/>
      <c r="AK130" s="96"/>
      <c r="AL130" s="96"/>
      <c r="AM130" s="96"/>
      <c r="AN130" s="96"/>
      <c r="AO130" s="96"/>
      <c r="AP130" s="96"/>
      <c r="AQ130" s="96"/>
      <c r="AR130" s="96"/>
      <c r="AS130" s="96"/>
    </row>
    <row r="131" spans="1:45" ht="14.6" hidden="1">
      <c r="A131" s="117"/>
      <c r="B131" s="118"/>
      <c r="C131" s="117"/>
      <c r="D131" s="126"/>
      <c r="E131" s="118"/>
      <c r="F131" s="117"/>
      <c r="G131" s="117"/>
      <c r="H131" s="118"/>
      <c r="I131" s="118" t="e" cm="1" vm="8">
        <f t="array" ref="I131">_xldudf_BOARDFLARE_FMATCH(D131,G131)</f>
        <v>#VALUE!</v>
      </c>
      <c r="R131" s="96"/>
      <c r="S131" s="96"/>
      <c r="T131" s="96"/>
      <c r="U131" s="96"/>
      <c r="V131" s="96"/>
      <c r="W131" s="96"/>
      <c r="X131" s="96"/>
      <c r="Y131" s="96"/>
      <c r="Z131" s="96"/>
      <c r="AA131" s="96"/>
      <c r="AB131" s="96"/>
      <c r="AD131" s="96"/>
      <c r="AE131" s="96"/>
      <c r="AF131" s="96"/>
      <c r="AG131" s="96"/>
      <c r="AK131" s="96"/>
      <c r="AL131" s="96"/>
      <c r="AM131" s="96"/>
      <c r="AN131" s="96"/>
      <c r="AO131" s="96"/>
      <c r="AP131" s="96"/>
      <c r="AQ131" s="96"/>
      <c r="AR131" s="96"/>
      <c r="AS131" s="96"/>
    </row>
    <row r="132" spans="1:45" ht="14.6" hidden="1">
      <c r="A132" s="117"/>
      <c r="B132" s="118"/>
      <c r="C132" s="117"/>
      <c r="D132" s="126"/>
      <c r="E132" s="118"/>
      <c r="F132" s="117"/>
      <c r="G132" s="117"/>
      <c r="H132" s="118"/>
      <c r="I132" s="118" t="e" cm="1" vm="8">
        <f t="array" ref="I132">_xldudf_BOARDFLARE_FMATCH(D132,G132)</f>
        <v>#VALUE!</v>
      </c>
      <c r="R132" s="96"/>
      <c r="S132" s="96"/>
      <c r="T132" s="96"/>
      <c r="U132" s="96"/>
      <c r="V132" s="96"/>
      <c r="W132" s="96"/>
      <c r="X132" s="96"/>
      <c r="Y132" s="96"/>
      <c r="Z132" s="96"/>
      <c r="AA132" s="96"/>
      <c r="AB132" s="96"/>
      <c r="AD132" s="96"/>
      <c r="AE132" s="96"/>
      <c r="AF132" s="96"/>
      <c r="AG132" s="96"/>
      <c r="AK132" s="96"/>
      <c r="AL132" s="96"/>
      <c r="AM132" s="96"/>
      <c r="AN132" s="96"/>
      <c r="AO132" s="96"/>
      <c r="AP132" s="96"/>
      <c r="AQ132" s="96"/>
      <c r="AR132" s="96"/>
      <c r="AS132" s="96"/>
    </row>
    <row r="133" spans="1:45" ht="15.45" hidden="1">
      <c r="A133" s="117"/>
      <c r="B133" s="118"/>
      <c r="C133" s="117"/>
      <c r="D133" s="119"/>
      <c r="E133" s="118"/>
      <c r="F133" s="117"/>
      <c r="G133" s="117"/>
      <c r="H133" s="118"/>
      <c r="I133" s="118" t="e" cm="1" vm="8">
        <f t="array" ref="I133">_xldudf_BOARDFLARE_FMATCH(D133,G133)</f>
        <v>#VALUE!</v>
      </c>
      <c r="R133" s="96"/>
      <c r="S133" s="96"/>
      <c r="T133" s="96"/>
      <c r="U133" s="96"/>
      <c r="V133" s="96"/>
      <c r="W133" s="96"/>
      <c r="X133" s="96"/>
      <c r="Y133" s="96"/>
      <c r="Z133" s="96"/>
      <c r="AA133" s="96"/>
      <c r="AB133" s="96"/>
      <c r="AD133" s="96"/>
      <c r="AE133" s="96"/>
      <c r="AF133" s="96"/>
      <c r="AG133" s="96"/>
      <c r="AK133" s="96"/>
      <c r="AL133" s="96"/>
      <c r="AM133" s="96"/>
      <c r="AN133" s="96"/>
      <c r="AO133" s="96"/>
      <c r="AP133" s="96"/>
      <c r="AQ133" s="96"/>
      <c r="AR133" s="96"/>
      <c r="AS133" s="96"/>
    </row>
    <row r="134" spans="1:45" ht="14.6" hidden="1">
      <c r="A134" s="117"/>
      <c r="B134" s="118"/>
      <c r="C134" s="117"/>
      <c r="D134" s="126"/>
      <c r="E134" s="118"/>
      <c r="F134" s="117"/>
      <c r="G134" s="117"/>
      <c r="H134" s="118"/>
      <c r="I134" s="118" t="e" cm="1" vm="8">
        <f t="array" ref="I134">_xldudf_BOARDFLARE_FMATCH(D134,G134)</f>
        <v>#VALUE!</v>
      </c>
      <c r="R134" s="96"/>
      <c r="S134" s="96"/>
      <c r="T134" s="96"/>
      <c r="U134" s="96"/>
      <c r="V134" s="96"/>
      <c r="W134" s="96"/>
      <c r="X134" s="96"/>
      <c r="Y134" s="96"/>
      <c r="Z134" s="96"/>
      <c r="AA134" s="96"/>
      <c r="AB134" s="96"/>
      <c r="AD134" s="96"/>
      <c r="AE134" s="96"/>
      <c r="AF134" s="96"/>
      <c r="AG134" s="96"/>
      <c r="AK134" s="96"/>
      <c r="AL134" s="96"/>
      <c r="AM134" s="96"/>
      <c r="AN134" s="96"/>
      <c r="AO134" s="96"/>
      <c r="AP134" s="96"/>
      <c r="AQ134" s="96"/>
      <c r="AR134" s="96"/>
      <c r="AS134" s="96"/>
    </row>
    <row r="135" spans="1:45" ht="14.6" hidden="1">
      <c r="A135" s="117"/>
      <c r="B135" s="118"/>
      <c r="C135" s="120"/>
      <c r="D135" s="117"/>
      <c r="E135" s="118"/>
      <c r="F135" s="117"/>
      <c r="G135" s="117"/>
      <c r="H135" s="118"/>
      <c r="I135" s="118" t="e" cm="1" vm="8">
        <f t="array" ref="I135">_xldudf_BOARDFLARE_FMATCH(D135,G135)</f>
        <v>#VALUE!</v>
      </c>
      <c r="R135" s="96"/>
      <c r="S135" s="96"/>
      <c r="T135" s="96"/>
      <c r="U135" s="96"/>
      <c r="V135" s="96"/>
      <c r="W135" s="96"/>
      <c r="X135" s="96"/>
      <c r="Y135" s="96"/>
      <c r="Z135" s="96"/>
      <c r="AA135" s="96"/>
      <c r="AB135" s="96"/>
      <c r="AD135" s="96"/>
      <c r="AE135" s="96"/>
      <c r="AF135" s="96"/>
      <c r="AG135" s="96"/>
      <c r="AK135" s="96"/>
      <c r="AL135" s="96"/>
      <c r="AM135" s="96"/>
      <c r="AN135" s="96"/>
      <c r="AO135" s="96"/>
      <c r="AP135" s="96"/>
      <c r="AQ135" s="96"/>
      <c r="AR135" s="96"/>
      <c r="AS135" s="96"/>
    </row>
    <row r="136" spans="1:45" ht="15.45" hidden="1">
      <c r="A136" s="117"/>
      <c r="B136" s="118"/>
      <c r="C136" s="117"/>
      <c r="D136" s="119"/>
      <c r="E136" s="118"/>
      <c r="F136" s="117"/>
      <c r="G136" s="117"/>
      <c r="H136" s="118"/>
      <c r="I136" s="118" t="e" cm="1" vm="8">
        <f t="array" ref="I136">_xldudf_BOARDFLARE_FMATCH(D136,G136)</f>
        <v>#VALUE!</v>
      </c>
      <c r="R136" s="96"/>
      <c r="S136" s="96"/>
      <c r="T136" s="96"/>
      <c r="U136" s="96"/>
      <c r="V136" s="96"/>
      <c r="W136" s="96"/>
      <c r="X136" s="96"/>
      <c r="Y136" s="96"/>
      <c r="Z136" s="96"/>
      <c r="AA136" s="96"/>
      <c r="AB136" s="96"/>
      <c r="AD136" s="96"/>
      <c r="AE136" s="96"/>
      <c r="AF136" s="96"/>
      <c r="AG136" s="96"/>
      <c r="AK136" s="96"/>
      <c r="AL136" s="96"/>
      <c r="AM136" s="96"/>
      <c r="AN136" s="96"/>
      <c r="AO136" s="96"/>
      <c r="AP136" s="96"/>
      <c r="AQ136" s="96"/>
      <c r="AR136" s="96"/>
      <c r="AS136" s="96"/>
    </row>
    <row r="137" spans="1:45" ht="14.6" hidden="1">
      <c r="A137" s="117"/>
      <c r="B137" s="118"/>
      <c r="C137" s="117"/>
      <c r="D137" s="126"/>
      <c r="E137" s="118"/>
      <c r="F137" s="117"/>
      <c r="G137" s="117"/>
      <c r="H137" s="118"/>
      <c r="I137" s="118" t="e" cm="1" vm="8">
        <f t="array" ref="I137">_xldudf_BOARDFLARE_FMATCH(D137,G137)</f>
        <v>#VALUE!</v>
      </c>
      <c r="R137" s="96"/>
      <c r="S137" s="96"/>
      <c r="T137" s="96"/>
      <c r="U137" s="96"/>
      <c r="V137" s="96"/>
      <c r="W137" s="96"/>
      <c r="X137" s="96"/>
      <c r="Y137" s="96"/>
      <c r="Z137" s="96"/>
      <c r="AA137" s="96"/>
      <c r="AB137" s="96"/>
      <c r="AD137" s="96"/>
      <c r="AE137" s="96"/>
      <c r="AF137" s="96"/>
      <c r="AG137" s="96"/>
      <c r="AK137" s="96"/>
      <c r="AL137" s="96"/>
      <c r="AM137" s="96"/>
      <c r="AN137" s="96"/>
      <c r="AO137" s="96"/>
      <c r="AP137" s="96"/>
      <c r="AQ137" s="96"/>
      <c r="AR137" s="96"/>
      <c r="AS137" s="96"/>
    </row>
    <row r="138" spans="1:45" ht="15.45" hidden="1">
      <c r="A138" s="117"/>
      <c r="B138" s="118"/>
      <c r="C138" s="120"/>
      <c r="D138" s="119"/>
      <c r="E138" s="118"/>
      <c r="F138" s="117"/>
      <c r="G138" s="117"/>
      <c r="H138" s="118"/>
      <c r="I138" s="118" t="e" cm="1" vm="8">
        <f t="array" ref="I138">_xldudf_BOARDFLARE_FMATCH(D138,G138)</f>
        <v>#VALUE!</v>
      </c>
      <c r="R138" s="96"/>
      <c r="S138" s="96"/>
      <c r="T138" s="96"/>
      <c r="U138" s="96"/>
      <c r="V138" s="96"/>
      <c r="W138" s="96"/>
      <c r="X138" s="96"/>
      <c r="Y138" s="96"/>
      <c r="Z138" s="96"/>
      <c r="AA138" s="96"/>
      <c r="AB138" s="96"/>
      <c r="AD138" s="96"/>
      <c r="AE138" s="96"/>
      <c r="AF138" s="96"/>
      <c r="AG138" s="96"/>
      <c r="AK138" s="96"/>
      <c r="AL138" s="96"/>
      <c r="AM138" s="96"/>
      <c r="AN138" s="96"/>
      <c r="AO138" s="96"/>
      <c r="AP138" s="96"/>
      <c r="AQ138" s="96"/>
      <c r="AR138" s="96"/>
      <c r="AS138" s="96"/>
    </row>
    <row r="139" spans="1:45" ht="15.45" hidden="1">
      <c r="A139" s="117"/>
      <c r="B139" s="118"/>
      <c r="C139" s="120"/>
      <c r="D139" s="119"/>
      <c r="E139" s="118"/>
      <c r="F139" s="117"/>
      <c r="G139" s="117"/>
      <c r="H139" s="118"/>
      <c r="I139" s="118" t="e" cm="1" vm="8">
        <f t="array" ref="I139">_xldudf_BOARDFLARE_FMATCH(D139,G139)</f>
        <v>#VALUE!</v>
      </c>
      <c r="R139" s="96"/>
      <c r="S139" s="96"/>
      <c r="T139" s="96"/>
      <c r="U139" s="96"/>
      <c r="V139" s="96"/>
      <c r="W139" s="96"/>
      <c r="X139" s="96"/>
      <c r="Y139" s="96"/>
      <c r="Z139" s="96"/>
      <c r="AA139" s="96"/>
      <c r="AB139" s="96"/>
      <c r="AD139" s="96"/>
      <c r="AE139" s="96"/>
      <c r="AF139" s="96"/>
      <c r="AG139" s="96"/>
      <c r="AK139" s="96"/>
      <c r="AL139" s="96"/>
      <c r="AM139" s="96"/>
      <c r="AN139" s="96"/>
      <c r="AO139" s="96"/>
      <c r="AP139" s="96"/>
      <c r="AQ139" s="96"/>
      <c r="AR139" s="96"/>
      <c r="AS139" s="96"/>
    </row>
    <row r="140" spans="1:45" ht="14.6" hidden="1">
      <c r="A140" s="117"/>
      <c r="B140" s="118"/>
      <c r="C140" s="117"/>
      <c r="D140" s="126"/>
      <c r="E140" s="118"/>
      <c r="F140" s="117"/>
      <c r="G140" s="117"/>
      <c r="H140" s="118"/>
      <c r="I140" s="118" t="e" cm="1" vm="8">
        <f t="array" ref="I140">_xldudf_BOARDFLARE_FMATCH(D140,G140)</f>
        <v>#VALUE!</v>
      </c>
      <c r="R140" s="96"/>
      <c r="S140" s="96"/>
      <c r="T140" s="96"/>
      <c r="U140" s="96"/>
      <c r="V140" s="96"/>
      <c r="W140" s="96"/>
      <c r="X140" s="96"/>
      <c r="Y140" s="96"/>
      <c r="Z140" s="96"/>
      <c r="AA140" s="96"/>
      <c r="AB140" s="96"/>
      <c r="AD140" s="96"/>
      <c r="AE140" s="96"/>
      <c r="AF140" s="96"/>
      <c r="AG140" s="96"/>
      <c r="AK140" s="96"/>
      <c r="AL140" s="96"/>
      <c r="AM140" s="96"/>
      <c r="AN140" s="96"/>
      <c r="AO140" s="96"/>
      <c r="AP140" s="96"/>
      <c r="AQ140" s="96"/>
      <c r="AR140" s="96"/>
      <c r="AS140" s="96"/>
    </row>
    <row r="141" spans="1:45" ht="14.6" hidden="1">
      <c r="A141" s="117"/>
      <c r="B141" s="118"/>
      <c r="C141" s="117"/>
      <c r="D141" s="126"/>
      <c r="E141" s="118"/>
      <c r="F141" s="117"/>
      <c r="G141" s="117"/>
      <c r="H141" s="118"/>
      <c r="I141" s="118" t="e" cm="1" vm="8">
        <f t="array" ref="I141">_xldudf_BOARDFLARE_FMATCH(D141,G141)</f>
        <v>#VALUE!</v>
      </c>
      <c r="R141" s="96"/>
      <c r="S141" s="96"/>
      <c r="T141" s="96"/>
      <c r="U141" s="96"/>
      <c r="V141" s="96"/>
      <c r="W141" s="96"/>
      <c r="X141" s="96"/>
      <c r="Y141" s="96"/>
      <c r="Z141" s="96"/>
      <c r="AA141" s="96"/>
      <c r="AB141" s="96"/>
      <c r="AD141" s="96"/>
      <c r="AE141" s="96"/>
      <c r="AF141" s="96"/>
      <c r="AG141" s="96"/>
      <c r="AK141" s="96"/>
      <c r="AL141" s="96"/>
      <c r="AM141" s="96"/>
      <c r="AN141" s="96"/>
      <c r="AO141" s="96"/>
      <c r="AP141" s="96"/>
      <c r="AQ141" s="96"/>
      <c r="AR141" s="96"/>
      <c r="AS141" s="96"/>
    </row>
    <row r="142" spans="1:45" ht="14.6" hidden="1">
      <c r="A142" s="117"/>
      <c r="B142" s="118"/>
      <c r="C142" s="117"/>
      <c r="D142" s="118"/>
      <c r="E142" s="118"/>
      <c r="F142" s="117"/>
      <c r="G142" s="117"/>
      <c r="H142" s="118"/>
      <c r="I142" s="118" t="e" cm="1" vm="8">
        <f t="array" ref="I142">_xldudf_BOARDFLARE_FMATCH(D142,G142)</f>
        <v>#VALUE!</v>
      </c>
      <c r="R142" s="96"/>
      <c r="S142" s="96"/>
      <c r="T142" s="96"/>
      <c r="U142" s="96"/>
      <c r="V142" s="96"/>
      <c r="W142" s="96"/>
      <c r="X142" s="96"/>
      <c r="Y142" s="96"/>
      <c r="Z142" s="96"/>
      <c r="AA142" s="96"/>
      <c r="AB142" s="96"/>
      <c r="AD142" s="96"/>
      <c r="AE142" s="96"/>
      <c r="AF142" s="96"/>
      <c r="AG142" s="96"/>
      <c r="AK142" s="96"/>
      <c r="AL142" s="96"/>
      <c r="AM142" s="96"/>
      <c r="AN142" s="96"/>
      <c r="AO142" s="96"/>
      <c r="AP142" s="96"/>
      <c r="AQ142" s="96"/>
      <c r="AR142" s="96"/>
      <c r="AS142" s="96"/>
    </row>
    <row r="143" spans="1:45" ht="15.45" hidden="1">
      <c r="A143" s="117"/>
      <c r="B143" s="118"/>
      <c r="C143" s="117"/>
      <c r="D143" s="119"/>
      <c r="E143" s="118"/>
      <c r="F143" s="117"/>
      <c r="G143" s="117"/>
      <c r="H143" s="118"/>
      <c r="I143" s="118" t="e" cm="1" vm="8">
        <f t="array" ref="I143">_xldudf_BOARDFLARE_FMATCH(D143,G143)</f>
        <v>#VALUE!</v>
      </c>
      <c r="R143" s="96"/>
      <c r="S143" s="96"/>
      <c r="T143" s="96"/>
      <c r="U143" s="96"/>
      <c r="V143" s="96"/>
      <c r="W143" s="96"/>
      <c r="X143" s="96"/>
      <c r="Y143" s="96"/>
      <c r="Z143" s="96"/>
      <c r="AA143" s="96"/>
      <c r="AB143" s="96"/>
      <c r="AD143" s="96"/>
      <c r="AE143" s="96"/>
      <c r="AF143" s="96"/>
      <c r="AG143" s="96"/>
      <c r="AK143" s="96"/>
      <c r="AL143" s="96"/>
      <c r="AM143" s="96"/>
      <c r="AN143" s="96"/>
      <c r="AO143" s="96"/>
      <c r="AP143" s="96"/>
      <c r="AQ143" s="96"/>
      <c r="AR143" s="96"/>
      <c r="AS143" s="96"/>
    </row>
    <row r="144" spans="1:45" ht="14.6" hidden="1">
      <c r="A144" s="117"/>
      <c r="B144" s="118"/>
      <c r="C144" s="117"/>
      <c r="D144" s="126"/>
      <c r="E144" s="118"/>
      <c r="F144" s="117"/>
      <c r="G144" s="117"/>
      <c r="H144" s="118"/>
      <c r="I144" s="118" t="e" cm="1" vm="8">
        <f t="array" ref="I144">_xldudf_BOARDFLARE_FMATCH(D144,G144)</f>
        <v>#VALUE!</v>
      </c>
      <c r="R144" s="96"/>
      <c r="S144" s="96"/>
      <c r="T144" s="96"/>
      <c r="U144" s="96"/>
      <c r="V144" s="96"/>
      <c r="W144" s="96"/>
      <c r="X144" s="96"/>
      <c r="Y144" s="96"/>
      <c r="Z144" s="96"/>
      <c r="AA144" s="96"/>
      <c r="AB144" s="96"/>
      <c r="AD144" s="96"/>
      <c r="AE144" s="96"/>
      <c r="AF144" s="96"/>
      <c r="AG144" s="96"/>
      <c r="AK144" s="96"/>
      <c r="AL144" s="96"/>
      <c r="AM144" s="96"/>
      <c r="AN144" s="96"/>
      <c r="AO144" s="96"/>
      <c r="AP144" s="96"/>
      <c r="AQ144" s="96"/>
      <c r="AR144" s="96"/>
      <c r="AS144" s="96"/>
    </row>
    <row r="145" spans="1:45" ht="14.6" hidden="1">
      <c r="A145" s="117"/>
      <c r="B145" s="118"/>
      <c r="C145" s="120"/>
      <c r="D145" s="117"/>
      <c r="E145" s="118"/>
      <c r="F145" s="117"/>
      <c r="G145" s="117"/>
      <c r="H145" s="118"/>
      <c r="I145" s="118" t="e" cm="1" vm="8">
        <f t="array" ref="I145">_xldudf_BOARDFLARE_FMATCH(D145,G145)</f>
        <v>#VALUE!</v>
      </c>
      <c r="R145" s="96"/>
      <c r="S145" s="96"/>
      <c r="T145" s="96"/>
      <c r="U145" s="96"/>
      <c r="V145" s="96"/>
      <c r="W145" s="96"/>
      <c r="X145" s="96"/>
      <c r="Y145" s="96"/>
      <c r="Z145" s="96"/>
      <c r="AA145" s="96"/>
      <c r="AB145" s="96"/>
      <c r="AD145" s="96"/>
      <c r="AE145" s="96"/>
      <c r="AF145" s="96"/>
      <c r="AG145" s="96"/>
      <c r="AK145" s="96"/>
      <c r="AL145" s="96"/>
      <c r="AM145" s="96"/>
      <c r="AN145" s="96"/>
      <c r="AO145" s="96"/>
      <c r="AP145" s="96"/>
      <c r="AQ145" s="96"/>
      <c r="AR145" s="96"/>
      <c r="AS145" s="96"/>
    </row>
    <row r="146" spans="1:45" ht="15.45" hidden="1">
      <c r="A146" s="117"/>
      <c r="B146" s="118"/>
      <c r="C146" s="117"/>
      <c r="D146" s="119"/>
      <c r="E146" s="118"/>
      <c r="F146" s="117"/>
      <c r="G146" s="117"/>
      <c r="H146" s="118"/>
      <c r="I146" s="118" t="e" cm="1" vm="8">
        <f t="array" ref="I146">_xldudf_BOARDFLARE_FMATCH(D146,G146)</f>
        <v>#VALUE!</v>
      </c>
      <c r="R146" s="96"/>
      <c r="S146" s="96"/>
      <c r="T146" s="96"/>
      <c r="U146" s="96"/>
      <c r="V146" s="96"/>
      <c r="W146" s="96"/>
      <c r="X146" s="96"/>
      <c r="Y146" s="96"/>
      <c r="Z146" s="96"/>
      <c r="AA146" s="96"/>
      <c r="AB146" s="96"/>
      <c r="AD146" s="96"/>
      <c r="AE146" s="96"/>
      <c r="AF146" s="96"/>
      <c r="AG146" s="96"/>
      <c r="AK146" s="96"/>
      <c r="AL146" s="96"/>
      <c r="AM146" s="96"/>
      <c r="AN146" s="96"/>
      <c r="AO146" s="96"/>
      <c r="AP146" s="96"/>
      <c r="AQ146" s="96"/>
      <c r="AR146" s="96"/>
      <c r="AS146" s="96"/>
    </row>
    <row r="147" spans="1:45" ht="14.6" hidden="1">
      <c r="A147" s="117"/>
      <c r="B147" s="118"/>
      <c r="C147" s="117"/>
      <c r="D147" s="126"/>
      <c r="E147" s="118"/>
      <c r="F147" s="117"/>
      <c r="G147" s="117"/>
      <c r="H147" s="118"/>
      <c r="I147" s="118" t="e" cm="1" vm="8">
        <f t="array" ref="I147">_xldudf_BOARDFLARE_FMATCH(D147,G147)</f>
        <v>#VALUE!</v>
      </c>
      <c r="R147" s="96"/>
      <c r="S147" s="96"/>
      <c r="T147" s="96"/>
      <c r="U147" s="96"/>
      <c r="V147" s="96"/>
      <c r="W147" s="96"/>
      <c r="X147" s="96"/>
      <c r="Y147" s="96"/>
      <c r="Z147" s="96"/>
      <c r="AA147" s="96"/>
      <c r="AB147" s="96"/>
      <c r="AD147" s="96"/>
      <c r="AE147" s="96"/>
      <c r="AF147" s="96"/>
      <c r="AG147" s="96"/>
      <c r="AK147" s="96"/>
      <c r="AL147" s="96"/>
      <c r="AM147" s="96"/>
      <c r="AN147" s="96"/>
      <c r="AO147" s="96"/>
      <c r="AP147" s="96"/>
      <c r="AQ147" s="96"/>
      <c r="AR147" s="96"/>
      <c r="AS147" s="96"/>
    </row>
    <row r="148" spans="1:45" ht="15.45" hidden="1">
      <c r="A148" s="117"/>
      <c r="B148" s="118"/>
      <c r="C148" s="120"/>
      <c r="D148" s="119"/>
      <c r="E148" s="118"/>
      <c r="F148" s="117"/>
      <c r="G148" s="117"/>
      <c r="H148" s="118"/>
      <c r="I148" s="118" t="e" cm="1" vm="8">
        <f t="array" ref="I148">_xldudf_BOARDFLARE_FMATCH(D148,G148)</f>
        <v>#VALUE!</v>
      </c>
      <c r="R148" s="96"/>
      <c r="S148" s="96"/>
      <c r="T148" s="96"/>
      <c r="U148" s="96"/>
      <c r="V148" s="96"/>
      <c r="W148" s="96"/>
      <c r="X148" s="96"/>
      <c r="Y148" s="96"/>
      <c r="Z148" s="96"/>
      <c r="AA148" s="96"/>
      <c r="AB148" s="96"/>
      <c r="AD148" s="96"/>
      <c r="AE148" s="96"/>
      <c r="AF148" s="96"/>
      <c r="AG148" s="96"/>
      <c r="AK148" s="96"/>
      <c r="AL148" s="96"/>
      <c r="AM148" s="96"/>
      <c r="AN148" s="96"/>
      <c r="AO148" s="96"/>
      <c r="AP148" s="96"/>
      <c r="AQ148" s="96"/>
      <c r="AR148" s="96"/>
      <c r="AS148" s="96"/>
    </row>
    <row r="149" spans="1:45" ht="15.45" hidden="1">
      <c r="A149" s="117"/>
      <c r="B149" s="118"/>
      <c r="C149" s="120"/>
      <c r="D149" s="119"/>
      <c r="E149" s="118"/>
      <c r="F149" s="117"/>
      <c r="G149" s="117"/>
      <c r="H149" s="118"/>
      <c r="I149" s="118" t="e" cm="1" vm="8">
        <f t="array" ref="I149">_xldudf_BOARDFLARE_FMATCH(D149,G149)</f>
        <v>#VALUE!</v>
      </c>
      <c r="R149" s="96"/>
      <c r="S149" s="96"/>
      <c r="T149" s="96"/>
      <c r="U149" s="96"/>
      <c r="V149" s="96"/>
      <c r="W149" s="96"/>
      <c r="X149" s="96"/>
      <c r="Y149" s="96"/>
      <c r="Z149" s="96"/>
      <c r="AA149" s="96"/>
      <c r="AB149" s="96"/>
      <c r="AD149" s="96"/>
      <c r="AE149" s="96"/>
      <c r="AF149" s="96"/>
      <c r="AG149" s="96"/>
      <c r="AK149" s="96"/>
      <c r="AL149" s="96"/>
      <c r="AM149" s="96"/>
      <c r="AN149" s="96"/>
      <c r="AO149" s="96"/>
      <c r="AP149" s="96"/>
      <c r="AQ149" s="96"/>
      <c r="AR149" s="96"/>
      <c r="AS149" s="96"/>
    </row>
    <row r="150" spans="1:45" ht="14.6" hidden="1">
      <c r="A150" s="117"/>
      <c r="B150" s="118"/>
      <c r="C150" s="117"/>
      <c r="D150" s="126"/>
      <c r="E150" s="118"/>
      <c r="F150" s="117"/>
      <c r="G150" s="117"/>
      <c r="H150" s="118"/>
      <c r="I150" s="118" t="e" cm="1" vm="8">
        <f t="array" ref="I150">_xldudf_BOARDFLARE_FMATCH(D150,G150)</f>
        <v>#VALUE!</v>
      </c>
      <c r="R150" s="96"/>
      <c r="S150" s="96"/>
      <c r="T150" s="96"/>
      <c r="U150" s="96"/>
      <c r="V150" s="96"/>
      <c r="W150" s="96"/>
      <c r="X150" s="96"/>
      <c r="Y150" s="96"/>
      <c r="Z150" s="96"/>
      <c r="AA150" s="96"/>
      <c r="AB150" s="96"/>
      <c r="AD150" s="96"/>
      <c r="AE150" s="96"/>
      <c r="AF150" s="96"/>
      <c r="AG150" s="96"/>
      <c r="AK150" s="96"/>
      <c r="AL150" s="96"/>
      <c r="AM150" s="96"/>
      <c r="AN150" s="96"/>
      <c r="AO150" s="96"/>
      <c r="AP150" s="96"/>
      <c r="AQ150" s="96"/>
      <c r="AR150" s="96"/>
      <c r="AS150" s="96"/>
    </row>
    <row r="151" spans="1:45" ht="14.6" hidden="1">
      <c r="A151" s="117"/>
      <c r="B151" s="118"/>
      <c r="C151" s="117"/>
      <c r="D151" s="118"/>
      <c r="E151" s="118"/>
      <c r="F151" s="117"/>
      <c r="G151" s="117"/>
      <c r="H151" s="118"/>
      <c r="I151" s="118" t="e" cm="1" vm="8">
        <f t="array" ref="I151">_xldudf_BOARDFLARE_FMATCH(D151,G151)</f>
        <v>#VALUE!</v>
      </c>
      <c r="R151" s="96"/>
      <c r="S151" s="96"/>
      <c r="T151" s="96"/>
      <c r="U151" s="96"/>
      <c r="V151" s="96"/>
      <c r="W151" s="96"/>
      <c r="X151" s="96"/>
      <c r="Y151" s="96"/>
      <c r="Z151" s="96"/>
      <c r="AA151" s="96"/>
      <c r="AB151" s="96"/>
      <c r="AD151" s="96"/>
      <c r="AE151" s="96"/>
      <c r="AF151" s="96"/>
      <c r="AG151" s="96"/>
      <c r="AK151" s="96"/>
      <c r="AL151" s="96"/>
      <c r="AM151" s="96"/>
      <c r="AN151" s="96"/>
      <c r="AO151" s="96"/>
      <c r="AP151" s="96"/>
      <c r="AQ151" s="96"/>
      <c r="AR151" s="96"/>
      <c r="AS151" s="96"/>
    </row>
    <row r="152" spans="1:45" ht="14.6" hidden="1">
      <c r="A152" s="117"/>
      <c r="B152" s="118"/>
      <c r="C152" s="117"/>
      <c r="D152" s="126"/>
      <c r="E152" s="118"/>
      <c r="F152" s="117"/>
      <c r="G152" s="117"/>
      <c r="H152" s="118"/>
      <c r="I152" s="118" t="e" cm="1" vm="8">
        <f t="array" ref="I152">_xldudf_BOARDFLARE_FMATCH(D152,G152)</f>
        <v>#VALUE!</v>
      </c>
      <c r="R152" s="96"/>
      <c r="S152" s="96"/>
      <c r="T152" s="96"/>
      <c r="U152" s="96"/>
      <c r="V152" s="96"/>
      <c r="W152" s="96"/>
      <c r="X152" s="96"/>
      <c r="Y152" s="96"/>
      <c r="Z152" s="96"/>
      <c r="AA152" s="96"/>
      <c r="AB152" s="96"/>
      <c r="AD152" s="96"/>
      <c r="AE152" s="96"/>
      <c r="AF152" s="96"/>
      <c r="AG152" s="96"/>
      <c r="AK152" s="96"/>
      <c r="AL152" s="96"/>
      <c r="AM152" s="96"/>
      <c r="AN152" s="96"/>
      <c r="AO152" s="96"/>
      <c r="AP152" s="96"/>
      <c r="AQ152" s="96"/>
      <c r="AR152" s="96"/>
      <c r="AS152" s="96"/>
    </row>
    <row r="153" spans="1:45" ht="14.6" hidden="1">
      <c r="A153" s="117"/>
      <c r="B153" s="118"/>
      <c r="C153" s="117"/>
      <c r="D153" s="126"/>
      <c r="E153" s="118"/>
      <c r="F153" s="117"/>
      <c r="G153" s="117"/>
      <c r="H153" s="118"/>
      <c r="I153" s="118" t="e" cm="1" vm="8">
        <f t="array" ref="I153">_xldudf_BOARDFLARE_FMATCH(D153,G153)</f>
        <v>#VALUE!</v>
      </c>
      <c r="R153" s="96"/>
      <c r="S153" s="96"/>
      <c r="T153" s="96"/>
      <c r="U153" s="96"/>
      <c r="V153" s="96"/>
      <c r="W153" s="96"/>
      <c r="X153" s="96"/>
      <c r="Y153" s="96"/>
      <c r="Z153" s="96"/>
      <c r="AA153" s="96"/>
      <c r="AB153" s="96"/>
      <c r="AD153" s="96"/>
      <c r="AE153" s="96"/>
      <c r="AF153" s="96"/>
      <c r="AG153" s="96"/>
      <c r="AK153" s="96"/>
      <c r="AL153" s="96"/>
      <c r="AM153" s="96"/>
      <c r="AN153" s="96"/>
      <c r="AO153" s="96"/>
      <c r="AP153" s="96"/>
      <c r="AQ153" s="96"/>
      <c r="AR153" s="96"/>
      <c r="AS153" s="96"/>
    </row>
    <row r="154" spans="1:45" ht="14.6" hidden="1">
      <c r="A154" s="117"/>
      <c r="B154" s="118"/>
      <c r="C154" s="117"/>
      <c r="D154" s="118"/>
      <c r="E154" s="118"/>
      <c r="F154" s="117"/>
      <c r="G154" s="117"/>
      <c r="H154" s="118"/>
      <c r="I154" s="118" t="e" cm="1" vm="8">
        <f t="array" ref="I154">_xldudf_BOARDFLARE_FMATCH(D154,G154)</f>
        <v>#VALUE!</v>
      </c>
      <c r="R154" s="96"/>
      <c r="S154" s="96"/>
      <c r="T154" s="96"/>
      <c r="U154" s="96"/>
      <c r="V154" s="96"/>
      <c r="W154" s="96"/>
      <c r="X154" s="96"/>
      <c r="Y154" s="96"/>
      <c r="Z154" s="96"/>
      <c r="AA154" s="96"/>
      <c r="AB154" s="96"/>
      <c r="AD154" s="96"/>
      <c r="AE154" s="96"/>
      <c r="AF154" s="96"/>
      <c r="AG154" s="96"/>
      <c r="AK154" s="96"/>
      <c r="AL154" s="96"/>
      <c r="AM154" s="96"/>
      <c r="AN154" s="96"/>
      <c r="AO154" s="96"/>
      <c r="AP154" s="96"/>
      <c r="AQ154" s="96"/>
      <c r="AR154" s="96"/>
      <c r="AS154" s="96"/>
    </row>
    <row r="155" spans="1:45" ht="14.6" hidden="1">
      <c r="A155" s="117"/>
      <c r="B155" s="118"/>
      <c r="C155" s="117"/>
      <c r="D155" s="126"/>
      <c r="E155" s="118"/>
      <c r="F155" s="117"/>
      <c r="G155" s="117"/>
      <c r="H155" s="118"/>
      <c r="I155" s="118" t="e" cm="1" vm="8">
        <f t="array" ref="I155">_xldudf_BOARDFLARE_FMATCH(D155,G155)</f>
        <v>#VALUE!</v>
      </c>
      <c r="R155" s="96"/>
      <c r="S155" s="96"/>
      <c r="T155" s="96"/>
      <c r="U155" s="96"/>
      <c r="V155" s="96"/>
      <c r="W155" s="96"/>
      <c r="X155" s="96"/>
      <c r="Y155" s="96"/>
      <c r="Z155" s="96"/>
      <c r="AA155" s="96"/>
      <c r="AB155" s="96"/>
      <c r="AD155" s="96"/>
      <c r="AE155" s="96"/>
      <c r="AF155" s="96"/>
      <c r="AG155" s="96"/>
      <c r="AK155" s="96"/>
      <c r="AL155" s="96"/>
      <c r="AM155" s="96"/>
      <c r="AN155" s="96"/>
      <c r="AO155" s="96"/>
      <c r="AP155" s="96"/>
      <c r="AQ155" s="96"/>
      <c r="AR155" s="96"/>
      <c r="AS155" s="96"/>
    </row>
    <row r="156" spans="1:45" ht="14.6" hidden="1">
      <c r="A156" s="117"/>
      <c r="B156" s="118"/>
      <c r="C156" s="117"/>
      <c r="D156" s="118"/>
      <c r="E156" s="118"/>
      <c r="F156" s="117"/>
      <c r="G156" s="117"/>
      <c r="H156" s="118"/>
      <c r="I156" s="118" t="e" cm="1" vm="8">
        <f t="array" ref="I156">_xldudf_BOARDFLARE_FMATCH(D156,G156)</f>
        <v>#VALUE!</v>
      </c>
      <c r="R156" s="96"/>
      <c r="S156" s="96"/>
      <c r="T156" s="96"/>
      <c r="U156" s="96"/>
      <c r="V156" s="96"/>
      <c r="W156" s="96"/>
      <c r="X156" s="96"/>
      <c r="Y156" s="96"/>
      <c r="Z156" s="96"/>
      <c r="AA156" s="96"/>
      <c r="AB156" s="96"/>
      <c r="AD156" s="96"/>
      <c r="AE156" s="96"/>
      <c r="AF156" s="96"/>
      <c r="AG156" s="96"/>
      <c r="AK156" s="96"/>
      <c r="AL156" s="96"/>
      <c r="AM156" s="96"/>
      <c r="AN156" s="96"/>
      <c r="AO156" s="96"/>
      <c r="AP156" s="96"/>
      <c r="AQ156" s="96"/>
      <c r="AR156" s="96"/>
      <c r="AS156" s="96"/>
    </row>
    <row r="157" spans="1:45" ht="14.6" hidden="1">
      <c r="A157" s="117"/>
      <c r="B157" s="118"/>
      <c r="C157" s="117"/>
      <c r="D157" s="118"/>
      <c r="E157" s="118"/>
      <c r="F157" s="117"/>
      <c r="G157" s="117"/>
      <c r="H157" s="118"/>
      <c r="I157" s="118" t="e" cm="1" vm="8">
        <f t="array" ref="I157">_xldudf_BOARDFLARE_FMATCH(D157,G157)</f>
        <v>#VALUE!</v>
      </c>
      <c r="R157" s="96"/>
      <c r="S157" s="96"/>
      <c r="T157" s="96"/>
      <c r="U157" s="96"/>
      <c r="V157" s="96"/>
      <c r="W157" s="96"/>
      <c r="X157" s="96"/>
      <c r="Y157" s="96"/>
      <c r="Z157" s="96"/>
      <c r="AA157" s="96"/>
      <c r="AB157" s="96"/>
      <c r="AD157" s="96"/>
      <c r="AE157" s="96"/>
      <c r="AF157" s="96"/>
      <c r="AG157" s="96"/>
      <c r="AK157" s="96"/>
      <c r="AL157" s="96"/>
      <c r="AM157" s="96"/>
      <c r="AN157" s="96"/>
      <c r="AO157" s="96"/>
      <c r="AP157" s="96"/>
      <c r="AQ157" s="96"/>
      <c r="AR157" s="96"/>
      <c r="AS157" s="96"/>
    </row>
    <row r="158" spans="1:45" ht="14.6" hidden="1">
      <c r="A158" s="117"/>
      <c r="B158" s="118"/>
      <c r="C158" s="117"/>
      <c r="D158" s="126"/>
      <c r="E158" s="118"/>
      <c r="F158" s="117"/>
      <c r="G158" s="117"/>
      <c r="H158" s="118"/>
      <c r="I158" s="118" t="e" cm="1" vm="8">
        <f t="array" ref="I158">_xldudf_BOARDFLARE_FMATCH(D158,G158)</f>
        <v>#VALUE!</v>
      </c>
      <c r="R158" s="96"/>
      <c r="S158" s="96"/>
      <c r="T158" s="96"/>
      <c r="U158" s="96"/>
      <c r="V158" s="96"/>
      <c r="W158" s="96"/>
      <c r="X158" s="96"/>
      <c r="Y158" s="96"/>
      <c r="Z158" s="96"/>
      <c r="AA158" s="96"/>
      <c r="AB158" s="96"/>
      <c r="AD158" s="96"/>
      <c r="AE158" s="96"/>
      <c r="AF158" s="96"/>
      <c r="AG158" s="96"/>
      <c r="AK158" s="96"/>
      <c r="AL158" s="96"/>
      <c r="AM158" s="96"/>
      <c r="AN158" s="96"/>
      <c r="AO158" s="96"/>
      <c r="AP158" s="96"/>
      <c r="AQ158" s="96"/>
      <c r="AR158" s="96"/>
      <c r="AS158" s="96"/>
    </row>
    <row r="159" spans="1:45" ht="14.6" hidden="1">
      <c r="A159" s="117"/>
      <c r="B159" s="118"/>
      <c r="C159" s="117"/>
      <c r="D159" s="126"/>
      <c r="E159" s="118"/>
      <c r="F159" s="117"/>
      <c r="G159" s="117"/>
      <c r="H159" s="118"/>
      <c r="I159" s="118" t="e" cm="1" vm="8">
        <f t="array" ref="I159">_xldudf_BOARDFLARE_FMATCH(D159,G159)</f>
        <v>#VALUE!</v>
      </c>
      <c r="R159" s="96"/>
      <c r="S159" s="96"/>
      <c r="T159" s="96"/>
      <c r="U159" s="96"/>
      <c r="V159" s="96"/>
      <c r="W159" s="96"/>
      <c r="X159" s="96"/>
      <c r="Y159" s="96"/>
      <c r="Z159" s="96"/>
      <c r="AA159" s="96"/>
      <c r="AB159" s="96"/>
      <c r="AD159" s="96"/>
      <c r="AE159" s="96"/>
      <c r="AF159" s="96"/>
      <c r="AG159" s="96"/>
      <c r="AK159" s="96"/>
      <c r="AL159" s="96"/>
      <c r="AM159" s="96"/>
      <c r="AN159" s="96"/>
      <c r="AO159" s="96"/>
      <c r="AP159" s="96"/>
      <c r="AQ159" s="96"/>
      <c r="AR159" s="96"/>
      <c r="AS159" s="96"/>
    </row>
    <row r="160" spans="1:45" ht="14.6" hidden="1">
      <c r="A160" s="117"/>
      <c r="B160" s="118"/>
      <c r="C160" s="117"/>
      <c r="D160" s="118"/>
      <c r="E160" s="118"/>
      <c r="F160" s="117"/>
      <c r="G160" s="117"/>
      <c r="H160" s="118"/>
      <c r="I160" s="118" t="e" cm="1" vm="8">
        <f t="array" ref="I160">_xldudf_BOARDFLARE_FMATCH(D160,G160)</f>
        <v>#VALUE!</v>
      </c>
      <c r="R160" s="96"/>
      <c r="S160" s="96"/>
      <c r="T160" s="96"/>
      <c r="U160" s="96"/>
      <c r="V160" s="96"/>
      <c r="W160" s="96"/>
      <c r="X160" s="96"/>
      <c r="Y160" s="96"/>
      <c r="Z160" s="96"/>
      <c r="AA160" s="96"/>
      <c r="AB160" s="96"/>
      <c r="AD160" s="96"/>
      <c r="AE160" s="96"/>
      <c r="AF160" s="96"/>
      <c r="AG160" s="96"/>
      <c r="AK160" s="96"/>
      <c r="AL160" s="96"/>
      <c r="AM160" s="96"/>
      <c r="AN160" s="96"/>
      <c r="AO160" s="96"/>
      <c r="AP160" s="96"/>
      <c r="AQ160" s="96"/>
      <c r="AR160" s="96"/>
      <c r="AS160" s="96"/>
    </row>
    <row r="161" spans="1:45" ht="14.6" hidden="1">
      <c r="A161" s="117"/>
      <c r="B161" s="118"/>
      <c r="C161" s="117"/>
      <c r="D161" s="126"/>
      <c r="E161" s="118"/>
      <c r="F161" s="117"/>
      <c r="G161" s="117"/>
      <c r="H161" s="118"/>
      <c r="I161" s="118" t="e" cm="1" vm="8">
        <f t="array" ref="I161">_xldudf_BOARDFLARE_FMATCH(D161,G161)</f>
        <v>#VALUE!</v>
      </c>
      <c r="R161" s="96"/>
      <c r="S161" s="96"/>
      <c r="T161" s="96"/>
      <c r="U161" s="96"/>
      <c r="V161" s="96"/>
      <c r="W161" s="96"/>
      <c r="X161" s="96"/>
      <c r="Y161" s="96"/>
      <c r="Z161" s="96"/>
      <c r="AA161" s="96"/>
      <c r="AB161" s="96"/>
      <c r="AD161" s="96"/>
      <c r="AE161" s="96"/>
      <c r="AF161" s="96"/>
      <c r="AG161" s="96"/>
      <c r="AK161" s="96"/>
      <c r="AL161" s="96"/>
      <c r="AM161" s="96"/>
      <c r="AN161" s="96"/>
      <c r="AO161" s="96"/>
      <c r="AP161" s="96"/>
      <c r="AQ161" s="96"/>
      <c r="AR161" s="96"/>
      <c r="AS161" s="96"/>
    </row>
    <row r="162" spans="1:45" ht="14.6" hidden="1">
      <c r="A162" s="117"/>
      <c r="B162" s="118"/>
      <c r="C162" s="117"/>
      <c r="D162" s="126"/>
      <c r="E162" s="118"/>
      <c r="F162" s="117"/>
      <c r="G162" s="117"/>
      <c r="H162" s="118"/>
      <c r="I162" s="118" t="e" cm="1" vm="8">
        <f t="array" ref="I162">_xldudf_BOARDFLARE_FMATCH(D162,G162)</f>
        <v>#VALUE!</v>
      </c>
      <c r="R162" s="96"/>
      <c r="S162" s="96"/>
      <c r="T162" s="96"/>
      <c r="U162" s="96"/>
      <c r="V162" s="96"/>
      <c r="W162" s="96"/>
      <c r="X162" s="96"/>
      <c r="Y162" s="96"/>
      <c r="Z162" s="96"/>
      <c r="AA162" s="96"/>
      <c r="AB162" s="96"/>
      <c r="AD162" s="96"/>
      <c r="AE162" s="96"/>
      <c r="AF162" s="96"/>
      <c r="AG162" s="96"/>
      <c r="AK162" s="96"/>
      <c r="AL162" s="96"/>
      <c r="AM162" s="96"/>
      <c r="AN162" s="96"/>
      <c r="AO162" s="96"/>
      <c r="AP162" s="96"/>
      <c r="AQ162" s="96"/>
      <c r="AR162" s="96"/>
      <c r="AS162" s="96"/>
    </row>
    <row r="163" spans="1:45" ht="15.45" hidden="1">
      <c r="A163" s="117"/>
      <c r="B163" s="118"/>
      <c r="C163" s="117"/>
      <c r="D163" s="119"/>
      <c r="E163" s="118"/>
      <c r="F163" s="117"/>
      <c r="G163" s="117"/>
      <c r="H163" s="118"/>
      <c r="I163" s="118" t="e" cm="1" vm="8">
        <f t="array" ref="I163">_xldudf_BOARDFLARE_FMATCH(D163,G163)</f>
        <v>#VALUE!</v>
      </c>
      <c r="R163" s="96"/>
      <c r="S163" s="96"/>
      <c r="T163" s="96"/>
      <c r="U163" s="96"/>
      <c r="V163" s="96"/>
      <c r="W163" s="96"/>
      <c r="X163" s="96"/>
      <c r="Y163" s="96"/>
      <c r="Z163" s="96"/>
      <c r="AA163" s="96"/>
      <c r="AB163" s="96"/>
      <c r="AD163" s="96"/>
      <c r="AE163" s="96"/>
      <c r="AF163" s="96"/>
      <c r="AG163" s="96"/>
      <c r="AK163" s="96"/>
      <c r="AL163" s="96"/>
      <c r="AM163" s="96"/>
      <c r="AN163" s="96"/>
      <c r="AO163" s="96"/>
      <c r="AP163" s="96"/>
      <c r="AQ163" s="96"/>
      <c r="AR163" s="96"/>
      <c r="AS163" s="96"/>
    </row>
    <row r="164" spans="1:45" ht="14.6" hidden="1">
      <c r="A164" s="117"/>
      <c r="B164" s="118"/>
      <c r="C164" s="117"/>
      <c r="D164" s="118"/>
      <c r="E164" s="118"/>
      <c r="F164" s="117"/>
      <c r="G164" s="117"/>
      <c r="H164" s="118"/>
      <c r="I164" s="118" t="e" cm="1" vm="8">
        <f t="array" ref="I164">_xldudf_BOARDFLARE_FMATCH(D164,G164)</f>
        <v>#VALUE!</v>
      </c>
      <c r="R164" s="96"/>
      <c r="S164" s="96"/>
      <c r="T164" s="96"/>
      <c r="U164" s="96"/>
      <c r="V164" s="96"/>
      <c r="W164" s="96"/>
      <c r="X164" s="96"/>
      <c r="Y164" s="96"/>
      <c r="Z164" s="96"/>
      <c r="AA164" s="96"/>
      <c r="AB164" s="96"/>
      <c r="AD164" s="96"/>
      <c r="AE164" s="96"/>
      <c r="AF164" s="96"/>
      <c r="AG164" s="96"/>
      <c r="AK164" s="96"/>
      <c r="AL164" s="96"/>
      <c r="AM164" s="96"/>
      <c r="AN164" s="96"/>
      <c r="AO164" s="96"/>
      <c r="AP164" s="96"/>
      <c r="AQ164" s="96"/>
      <c r="AR164" s="96"/>
      <c r="AS164" s="96"/>
    </row>
    <row r="165" spans="1:45" ht="15.45" hidden="1">
      <c r="A165" s="117"/>
      <c r="B165" s="118"/>
      <c r="C165" s="117"/>
      <c r="D165" s="119"/>
      <c r="E165" s="118"/>
      <c r="F165" s="117"/>
      <c r="G165" s="117"/>
      <c r="H165" s="118"/>
      <c r="I165" s="118" t="e" cm="1" vm="8">
        <f t="array" ref="I165">_xldudf_BOARDFLARE_FMATCH(D165,G165)</f>
        <v>#VALUE!</v>
      </c>
      <c r="R165" s="96"/>
      <c r="S165" s="96"/>
      <c r="T165" s="96"/>
      <c r="U165" s="96"/>
      <c r="V165" s="96"/>
      <c r="W165" s="96"/>
      <c r="X165" s="96"/>
      <c r="Y165" s="96"/>
      <c r="Z165" s="96"/>
      <c r="AA165" s="96"/>
      <c r="AB165" s="96"/>
      <c r="AD165" s="96"/>
      <c r="AE165" s="96"/>
      <c r="AF165" s="96"/>
      <c r="AG165" s="96"/>
      <c r="AK165" s="96"/>
      <c r="AL165" s="96"/>
      <c r="AM165" s="96"/>
      <c r="AN165" s="96"/>
      <c r="AO165" s="96"/>
      <c r="AP165" s="96"/>
      <c r="AQ165" s="96"/>
      <c r="AR165" s="96"/>
      <c r="AS165" s="96"/>
    </row>
    <row r="166" spans="1:45" ht="15.45" hidden="1">
      <c r="A166" s="117"/>
      <c r="B166" s="118"/>
      <c r="C166" s="117"/>
      <c r="D166" s="119"/>
      <c r="E166" s="118"/>
      <c r="F166" s="117"/>
      <c r="G166" s="117"/>
      <c r="H166" s="118"/>
      <c r="I166" s="118" t="e" cm="1" vm="8">
        <f t="array" ref="I166">_xldudf_BOARDFLARE_FMATCH(D166,G166)</f>
        <v>#VALUE!</v>
      </c>
      <c r="R166" s="96"/>
      <c r="S166" s="96"/>
      <c r="T166" s="96"/>
      <c r="U166" s="96"/>
      <c r="V166" s="96"/>
      <c r="W166" s="96"/>
      <c r="X166" s="96"/>
      <c r="Y166" s="96"/>
      <c r="Z166" s="96"/>
      <c r="AA166" s="96"/>
      <c r="AB166" s="96"/>
      <c r="AD166" s="96"/>
      <c r="AE166" s="96"/>
      <c r="AF166" s="96"/>
      <c r="AG166" s="96"/>
      <c r="AK166" s="96"/>
      <c r="AL166" s="96"/>
      <c r="AM166" s="96"/>
      <c r="AN166" s="96"/>
      <c r="AO166" s="96"/>
      <c r="AP166" s="96"/>
      <c r="AQ166" s="96"/>
      <c r="AR166" s="96"/>
      <c r="AS166" s="96"/>
    </row>
    <row r="167" spans="1:45" ht="14.6" hidden="1">
      <c r="A167" s="117"/>
      <c r="B167" s="118"/>
      <c r="C167" s="117"/>
      <c r="D167" s="118"/>
      <c r="E167" s="118"/>
      <c r="F167" s="117"/>
      <c r="G167" s="117"/>
      <c r="H167" s="118"/>
      <c r="I167" s="118" t="e" cm="1" vm="8">
        <f t="array" ref="I167">_xldudf_BOARDFLARE_FMATCH(D167,G167)</f>
        <v>#VALUE!</v>
      </c>
      <c r="R167" s="96"/>
      <c r="S167" s="96"/>
      <c r="T167" s="96"/>
      <c r="U167" s="96"/>
      <c r="V167" s="96"/>
      <c r="W167" s="96"/>
      <c r="X167" s="96"/>
      <c r="Y167" s="96"/>
      <c r="Z167" s="96"/>
      <c r="AA167" s="96"/>
      <c r="AB167" s="96"/>
      <c r="AD167" s="96"/>
      <c r="AE167" s="96"/>
      <c r="AF167" s="96"/>
      <c r="AG167" s="96"/>
      <c r="AK167" s="96"/>
      <c r="AL167" s="96"/>
      <c r="AM167" s="96"/>
      <c r="AN167" s="96"/>
      <c r="AO167" s="96"/>
      <c r="AP167" s="96"/>
      <c r="AQ167" s="96"/>
      <c r="AR167" s="96"/>
      <c r="AS167" s="96"/>
    </row>
    <row r="168" spans="1:45" ht="15.45" hidden="1">
      <c r="A168" s="117"/>
      <c r="B168" s="118"/>
      <c r="C168" s="120"/>
      <c r="D168" s="121"/>
      <c r="E168" s="118"/>
      <c r="F168" s="117"/>
      <c r="G168" s="117"/>
      <c r="H168" s="118"/>
      <c r="I168" s="118" t="e" cm="1" vm="8">
        <f t="array" ref="I168">_xldudf_BOARDFLARE_FMATCH(D168,G168)</f>
        <v>#VALUE!</v>
      </c>
      <c r="R168" s="96"/>
      <c r="S168" s="96"/>
      <c r="T168" s="96"/>
      <c r="U168" s="96"/>
      <c r="V168" s="96"/>
      <c r="W168" s="96"/>
      <c r="X168" s="96"/>
      <c r="Y168" s="96"/>
      <c r="Z168" s="96"/>
      <c r="AA168" s="96"/>
      <c r="AB168" s="96"/>
      <c r="AD168" s="96"/>
      <c r="AE168" s="96"/>
      <c r="AF168" s="96"/>
      <c r="AG168" s="96"/>
      <c r="AK168" s="96"/>
      <c r="AL168" s="96"/>
      <c r="AM168" s="96"/>
      <c r="AN168" s="96"/>
      <c r="AO168" s="96"/>
      <c r="AP168" s="96"/>
      <c r="AQ168" s="96"/>
      <c r="AR168" s="96"/>
      <c r="AS168" s="96"/>
    </row>
    <row r="169" spans="1:45" ht="14.6" hidden="1">
      <c r="A169" s="117"/>
      <c r="B169" s="118"/>
      <c r="C169" s="120"/>
      <c r="D169" s="118"/>
      <c r="E169" s="118"/>
      <c r="F169" s="117"/>
      <c r="G169" s="117"/>
      <c r="H169" s="118"/>
      <c r="I169" s="118" t="e" cm="1" vm="8">
        <f t="array" ref="I169">_xldudf_BOARDFLARE_FMATCH(D169,G169)</f>
        <v>#VALUE!</v>
      </c>
      <c r="R169" s="96"/>
      <c r="S169" s="96"/>
      <c r="T169" s="96"/>
      <c r="U169" s="96"/>
      <c r="V169" s="96"/>
      <c r="W169" s="96"/>
      <c r="X169" s="96"/>
      <c r="Y169" s="96"/>
      <c r="Z169" s="96"/>
      <c r="AA169" s="96"/>
      <c r="AB169" s="96"/>
      <c r="AD169" s="96"/>
      <c r="AE169" s="96"/>
      <c r="AF169" s="96"/>
      <c r="AG169" s="96"/>
      <c r="AK169" s="96"/>
      <c r="AL169" s="96"/>
      <c r="AM169" s="96"/>
      <c r="AN169" s="96"/>
      <c r="AO169" s="96"/>
      <c r="AP169" s="96"/>
      <c r="AQ169" s="96"/>
      <c r="AR169" s="96"/>
      <c r="AS169" s="96"/>
    </row>
    <row r="170" spans="1:45" ht="14.6" hidden="1">
      <c r="A170" s="117"/>
      <c r="B170" s="118"/>
      <c r="C170" s="117"/>
      <c r="D170" s="118"/>
      <c r="E170" s="118"/>
      <c r="F170" s="117"/>
      <c r="G170" s="117"/>
      <c r="H170" s="118"/>
      <c r="I170" s="118" t="e" cm="1" vm="8">
        <f t="array" ref="I170">_xldudf_BOARDFLARE_FMATCH(D170,G170)</f>
        <v>#VALUE!</v>
      </c>
      <c r="R170" s="96"/>
      <c r="S170" s="96"/>
      <c r="T170" s="96"/>
      <c r="U170" s="96"/>
      <c r="V170" s="96"/>
      <c r="W170" s="96"/>
      <c r="X170" s="96"/>
      <c r="Y170" s="96"/>
      <c r="Z170" s="96"/>
      <c r="AA170" s="96"/>
      <c r="AB170" s="96"/>
      <c r="AD170" s="96"/>
      <c r="AE170" s="96"/>
      <c r="AF170" s="96"/>
      <c r="AG170" s="96"/>
      <c r="AK170" s="96"/>
      <c r="AL170" s="96"/>
      <c r="AM170" s="96"/>
      <c r="AN170" s="96"/>
      <c r="AO170" s="96"/>
      <c r="AP170" s="96"/>
      <c r="AQ170" s="96"/>
      <c r="AR170" s="96"/>
      <c r="AS170" s="96"/>
    </row>
    <row r="171" spans="1:45" ht="14.6" hidden="1">
      <c r="A171" s="117"/>
      <c r="B171" s="118"/>
      <c r="C171" s="117"/>
      <c r="D171" s="118"/>
      <c r="E171" s="118"/>
      <c r="F171" s="117"/>
      <c r="G171" s="117"/>
      <c r="H171" s="118"/>
      <c r="I171" s="118" t="e" cm="1" vm="8">
        <f t="array" ref="I171">_xldudf_BOARDFLARE_FMATCH(D171,G171)</f>
        <v>#VALUE!</v>
      </c>
      <c r="R171" s="96"/>
      <c r="S171" s="96"/>
      <c r="T171" s="96"/>
      <c r="U171" s="96"/>
      <c r="V171" s="96"/>
      <c r="W171" s="96"/>
      <c r="X171" s="96"/>
      <c r="Y171" s="96"/>
      <c r="Z171" s="96"/>
      <c r="AA171" s="96"/>
      <c r="AB171" s="96"/>
      <c r="AD171" s="96"/>
      <c r="AE171" s="96"/>
      <c r="AF171" s="96"/>
      <c r="AG171" s="96"/>
      <c r="AK171" s="96"/>
      <c r="AL171" s="96"/>
      <c r="AM171" s="96"/>
      <c r="AN171" s="96"/>
      <c r="AO171" s="96"/>
      <c r="AP171" s="96"/>
      <c r="AQ171" s="96"/>
      <c r="AR171" s="96"/>
      <c r="AS171" s="96"/>
    </row>
    <row r="172" spans="1:45" ht="14.6" hidden="1">
      <c r="A172" s="117"/>
      <c r="B172" s="118"/>
      <c r="C172" s="120"/>
      <c r="D172" s="118"/>
      <c r="E172" s="118"/>
      <c r="F172" s="117"/>
      <c r="G172" s="117"/>
      <c r="H172" s="118"/>
      <c r="I172" s="118" t="e" cm="1" vm="8">
        <f t="array" ref="I172">_xldudf_BOARDFLARE_FMATCH(D172,G172)</f>
        <v>#VALUE!</v>
      </c>
      <c r="R172" s="96"/>
      <c r="S172" s="96"/>
      <c r="T172" s="96"/>
      <c r="U172" s="96"/>
      <c r="V172" s="96"/>
      <c r="W172" s="96"/>
      <c r="X172" s="96"/>
      <c r="Y172" s="96"/>
      <c r="Z172" s="96"/>
      <c r="AA172" s="96"/>
      <c r="AB172" s="96"/>
      <c r="AD172" s="96"/>
      <c r="AE172" s="96"/>
      <c r="AF172" s="96"/>
      <c r="AG172" s="96"/>
      <c r="AK172" s="96"/>
      <c r="AL172" s="96"/>
      <c r="AM172" s="96"/>
      <c r="AN172" s="96"/>
      <c r="AO172" s="96"/>
      <c r="AP172" s="96"/>
      <c r="AQ172" s="96"/>
      <c r="AR172" s="96"/>
      <c r="AS172" s="96"/>
    </row>
    <row r="173" spans="1:45" ht="14.6" hidden="1">
      <c r="A173" s="117"/>
      <c r="B173" s="118"/>
      <c r="C173" s="120"/>
      <c r="D173" s="118"/>
      <c r="E173" s="118"/>
      <c r="F173" s="117"/>
      <c r="G173" s="117"/>
      <c r="H173" s="118"/>
      <c r="I173" s="118" t="e" cm="1" vm="8">
        <f t="array" ref="I173">_xldudf_BOARDFLARE_FMATCH(D173,G173)</f>
        <v>#VALUE!</v>
      </c>
      <c r="R173" s="96"/>
      <c r="S173" s="96"/>
      <c r="T173" s="96"/>
      <c r="U173" s="96"/>
      <c r="V173" s="96"/>
      <c r="W173" s="96"/>
      <c r="X173" s="96"/>
      <c r="Y173" s="96"/>
      <c r="Z173" s="96"/>
      <c r="AA173" s="96"/>
      <c r="AB173" s="96"/>
      <c r="AD173" s="96"/>
      <c r="AE173" s="96"/>
      <c r="AF173" s="96"/>
      <c r="AG173" s="96"/>
      <c r="AK173" s="96"/>
      <c r="AL173" s="96"/>
      <c r="AM173" s="96"/>
      <c r="AN173" s="96"/>
      <c r="AO173" s="96"/>
      <c r="AP173" s="96"/>
      <c r="AQ173" s="96"/>
      <c r="AR173" s="96"/>
      <c r="AS173" s="96"/>
    </row>
    <row r="174" spans="1:45" ht="14.6" hidden="1">
      <c r="A174" s="117"/>
      <c r="B174" s="118"/>
      <c r="C174" s="117"/>
      <c r="D174" s="118"/>
      <c r="E174" s="118"/>
      <c r="F174" s="117"/>
      <c r="G174" s="117"/>
      <c r="H174" s="118"/>
      <c r="I174" s="118" t="e" cm="1" vm="8">
        <f t="array" ref="I174">_xldudf_BOARDFLARE_FMATCH(D174,G174)</f>
        <v>#VALUE!</v>
      </c>
      <c r="R174" s="96"/>
      <c r="S174" s="96"/>
      <c r="T174" s="96"/>
      <c r="U174" s="96"/>
      <c r="V174" s="96"/>
      <c r="W174" s="96"/>
      <c r="X174" s="96"/>
      <c r="Y174" s="96"/>
      <c r="Z174" s="96"/>
      <c r="AA174" s="96"/>
      <c r="AB174" s="96"/>
      <c r="AD174" s="96"/>
      <c r="AE174" s="96"/>
      <c r="AF174" s="96"/>
      <c r="AG174" s="96"/>
      <c r="AK174" s="96"/>
      <c r="AL174" s="96"/>
      <c r="AM174" s="96"/>
      <c r="AN174" s="96"/>
      <c r="AO174" s="96"/>
      <c r="AP174" s="96"/>
      <c r="AQ174" s="96"/>
      <c r="AR174" s="96"/>
      <c r="AS174" s="96"/>
    </row>
    <row r="175" spans="1:45" ht="14.6" hidden="1">
      <c r="A175" s="117"/>
      <c r="B175" s="118"/>
      <c r="C175" s="117"/>
      <c r="D175" s="118"/>
      <c r="E175" s="118"/>
      <c r="F175" s="117"/>
      <c r="G175" s="117"/>
      <c r="H175" s="118"/>
      <c r="I175" s="118" t="e" cm="1" vm="8">
        <f t="array" ref="I175">_xldudf_BOARDFLARE_FMATCH(D175,G175)</f>
        <v>#VALUE!</v>
      </c>
      <c r="R175" s="96"/>
      <c r="S175" s="96"/>
      <c r="T175" s="96"/>
      <c r="U175" s="96"/>
      <c r="V175" s="96"/>
      <c r="W175" s="96"/>
      <c r="X175" s="96"/>
      <c r="Y175" s="96"/>
      <c r="Z175" s="96"/>
      <c r="AA175" s="96"/>
      <c r="AB175" s="96"/>
      <c r="AD175" s="96"/>
      <c r="AE175" s="96"/>
      <c r="AF175" s="96"/>
      <c r="AG175" s="96"/>
      <c r="AK175" s="96"/>
      <c r="AL175" s="96"/>
      <c r="AM175" s="96"/>
      <c r="AN175" s="96"/>
      <c r="AO175" s="96"/>
      <c r="AP175" s="96"/>
      <c r="AQ175" s="96"/>
      <c r="AR175" s="96"/>
      <c r="AS175" s="96"/>
    </row>
    <row r="176" spans="1:45" ht="14.6" hidden="1">
      <c r="A176" s="117"/>
      <c r="B176" s="118"/>
      <c r="C176" s="120"/>
      <c r="D176" s="118"/>
      <c r="E176" s="118"/>
      <c r="F176" s="117"/>
      <c r="G176" s="117"/>
      <c r="H176" s="118"/>
      <c r="I176" s="118" t="e" cm="1" vm="8">
        <f t="array" ref="I176">_xldudf_BOARDFLARE_FMATCH(D176,G176)</f>
        <v>#VALUE!</v>
      </c>
      <c r="R176" s="96"/>
      <c r="S176" s="96"/>
      <c r="T176" s="96"/>
      <c r="U176" s="96"/>
      <c r="V176" s="96"/>
      <c r="W176" s="96"/>
      <c r="X176" s="96"/>
      <c r="Y176" s="96"/>
      <c r="Z176" s="96"/>
      <c r="AA176" s="96"/>
      <c r="AB176" s="96"/>
      <c r="AD176" s="96"/>
      <c r="AE176" s="96"/>
      <c r="AF176" s="96"/>
      <c r="AG176" s="96"/>
      <c r="AK176" s="96"/>
      <c r="AL176" s="96"/>
      <c r="AM176" s="96"/>
      <c r="AN176" s="96"/>
      <c r="AO176" s="96"/>
      <c r="AP176" s="96"/>
      <c r="AQ176" s="96"/>
      <c r="AR176" s="96"/>
      <c r="AS176" s="96"/>
    </row>
    <row r="177" spans="1:45" ht="15.45" hidden="1">
      <c r="A177" s="117"/>
      <c r="B177" s="118"/>
      <c r="C177" s="120"/>
      <c r="D177" s="119"/>
      <c r="E177" s="118"/>
      <c r="F177" s="117"/>
      <c r="G177" s="117"/>
      <c r="H177" s="118"/>
      <c r="I177" s="118" t="e" cm="1" vm="8">
        <f t="array" ref="I177">_xldudf_BOARDFLARE_FMATCH(D177,G177)</f>
        <v>#VALUE!</v>
      </c>
      <c r="R177" s="96"/>
      <c r="S177" s="96"/>
      <c r="T177" s="96"/>
      <c r="U177" s="96"/>
      <c r="V177" s="96"/>
      <c r="W177" s="96"/>
      <c r="X177" s="96"/>
      <c r="Y177" s="96"/>
      <c r="Z177" s="96"/>
      <c r="AA177" s="96"/>
      <c r="AB177" s="96"/>
      <c r="AD177" s="96"/>
      <c r="AE177" s="96"/>
      <c r="AF177" s="96"/>
      <c r="AG177" s="96"/>
      <c r="AK177" s="96"/>
      <c r="AL177" s="96"/>
      <c r="AM177" s="96"/>
      <c r="AN177" s="96"/>
      <c r="AO177" s="96"/>
      <c r="AP177" s="96"/>
      <c r="AQ177" s="96"/>
      <c r="AR177" s="96"/>
      <c r="AS177" s="96"/>
    </row>
    <row r="178" spans="1:45" ht="14.6" hidden="1">
      <c r="A178" s="117"/>
      <c r="B178" s="118"/>
      <c r="C178" s="120"/>
      <c r="D178" s="118"/>
      <c r="E178" s="118"/>
      <c r="F178" s="117"/>
      <c r="G178" s="117"/>
      <c r="H178" s="118"/>
      <c r="I178" s="118" t="e" cm="1" vm="8">
        <f t="array" ref="I178">_xldudf_BOARDFLARE_FMATCH(D178,G178)</f>
        <v>#VALUE!</v>
      </c>
      <c r="R178" s="96"/>
      <c r="S178" s="96"/>
      <c r="T178" s="96"/>
      <c r="U178" s="96"/>
      <c r="V178" s="96"/>
      <c r="W178" s="96"/>
      <c r="X178" s="96"/>
      <c r="Y178" s="96"/>
      <c r="Z178" s="96"/>
      <c r="AA178" s="96"/>
      <c r="AB178" s="96"/>
      <c r="AD178" s="96"/>
      <c r="AE178" s="96"/>
      <c r="AF178" s="96"/>
      <c r="AG178" s="96"/>
      <c r="AK178" s="96"/>
      <c r="AL178" s="96"/>
      <c r="AM178" s="96"/>
      <c r="AN178" s="96"/>
      <c r="AO178" s="96"/>
      <c r="AP178" s="96"/>
      <c r="AQ178" s="96"/>
      <c r="AR178" s="96"/>
      <c r="AS178" s="96"/>
    </row>
    <row r="179" spans="1:45" ht="14.6" hidden="1">
      <c r="A179" s="117"/>
      <c r="B179" s="118"/>
      <c r="C179" s="117"/>
      <c r="D179" s="118"/>
      <c r="E179" s="118"/>
      <c r="F179" s="117"/>
      <c r="G179" s="117"/>
      <c r="H179" s="118"/>
      <c r="I179" s="118" t="e" cm="1" vm="8">
        <f t="array" ref="I179">_xldudf_BOARDFLARE_FMATCH(D179,G179)</f>
        <v>#VALUE!</v>
      </c>
      <c r="R179" s="96"/>
      <c r="S179" s="96"/>
      <c r="T179" s="96"/>
      <c r="U179" s="96"/>
      <c r="V179" s="96"/>
      <c r="W179" s="96"/>
      <c r="X179" s="96"/>
      <c r="Y179" s="96"/>
      <c r="Z179" s="96"/>
      <c r="AA179" s="96"/>
      <c r="AB179" s="96"/>
      <c r="AD179" s="96"/>
      <c r="AE179" s="96"/>
      <c r="AF179" s="96"/>
      <c r="AG179" s="96"/>
      <c r="AK179" s="96"/>
      <c r="AL179" s="96"/>
      <c r="AM179" s="96"/>
      <c r="AN179" s="96"/>
      <c r="AO179" s="96"/>
      <c r="AP179" s="96"/>
      <c r="AQ179" s="96"/>
      <c r="AR179" s="96"/>
      <c r="AS179" s="96"/>
    </row>
    <row r="180" spans="1:45" ht="15.45" hidden="1">
      <c r="A180" s="117"/>
      <c r="B180" s="118"/>
      <c r="C180" s="117"/>
      <c r="D180" s="119"/>
      <c r="E180" s="118"/>
      <c r="F180" s="117"/>
      <c r="G180" s="117"/>
      <c r="H180" s="118"/>
      <c r="I180" s="118" t="e" cm="1" vm="8">
        <f t="array" ref="I180">_xldudf_BOARDFLARE_FMATCH(D180,G180)</f>
        <v>#VALUE!</v>
      </c>
      <c r="R180" s="96"/>
      <c r="S180" s="96"/>
      <c r="T180" s="96"/>
      <c r="U180" s="96"/>
      <c r="V180" s="96"/>
      <c r="W180" s="96"/>
      <c r="X180" s="96"/>
      <c r="Y180" s="96"/>
      <c r="Z180" s="96"/>
      <c r="AA180" s="96"/>
      <c r="AB180" s="96"/>
      <c r="AD180" s="96"/>
      <c r="AE180" s="96"/>
      <c r="AF180" s="96"/>
      <c r="AG180" s="96"/>
      <c r="AK180" s="96"/>
      <c r="AL180" s="96"/>
      <c r="AM180" s="96"/>
      <c r="AN180" s="96"/>
      <c r="AO180" s="96"/>
      <c r="AP180" s="96"/>
      <c r="AQ180" s="96"/>
      <c r="AR180" s="96"/>
      <c r="AS180" s="96"/>
    </row>
    <row r="181" spans="1:45" ht="15.45" hidden="1">
      <c r="A181" s="117"/>
      <c r="B181" s="118"/>
      <c r="C181" s="117"/>
      <c r="D181" s="119"/>
      <c r="E181" s="118"/>
      <c r="F181" s="117"/>
      <c r="G181" s="117"/>
      <c r="H181" s="118"/>
      <c r="I181" s="118" t="e" cm="1" vm="8">
        <f t="array" ref="I181">_xldudf_BOARDFLARE_FMATCH(D181,G181)</f>
        <v>#VALUE!</v>
      </c>
      <c r="R181" s="96"/>
      <c r="S181" s="96"/>
      <c r="T181" s="96"/>
      <c r="U181" s="96"/>
      <c r="V181" s="96"/>
      <c r="W181" s="96"/>
      <c r="X181" s="96"/>
      <c r="Y181" s="96"/>
      <c r="Z181" s="96"/>
      <c r="AA181" s="96"/>
      <c r="AB181" s="96"/>
      <c r="AD181" s="96"/>
      <c r="AE181" s="96"/>
      <c r="AF181" s="96"/>
      <c r="AG181" s="96"/>
      <c r="AK181" s="96"/>
      <c r="AL181" s="96"/>
      <c r="AM181" s="96"/>
      <c r="AN181" s="96"/>
      <c r="AO181" s="96"/>
      <c r="AP181" s="96"/>
      <c r="AQ181" s="96"/>
      <c r="AR181" s="96"/>
      <c r="AS181" s="96"/>
    </row>
    <row r="182" spans="1:45" ht="15.45" hidden="1">
      <c r="A182" s="117"/>
      <c r="B182" s="118"/>
      <c r="C182" s="117"/>
      <c r="D182" s="119"/>
      <c r="E182" s="118"/>
      <c r="F182" s="117"/>
      <c r="G182" s="117"/>
      <c r="H182" s="118"/>
      <c r="I182" s="118" t="e" cm="1" vm="8">
        <f t="array" ref="I182">_xldudf_BOARDFLARE_FMATCH(D182,G182)</f>
        <v>#VALUE!</v>
      </c>
      <c r="R182" s="96"/>
      <c r="S182" s="96"/>
      <c r="T182" s="96"/>
      <c r="U182" s="96"/>
      <c r="V182" s="96"/>
      <c r="W182" s="96"/>
      <c r="X182" s="96"/>
      <c r="Y182" s="96"/>
      <c r="Z182" s="96"/>
      <c r="AA182" s="96"/>
      <c r="AB182" s="96"/>
      <c r="AD182" s="96"/>
      <c r="AE182" s="96"/>
      <c r="AF182" s="96"/>
      <c r="AG182" s="96"/>
      <c r="AK182" s="96"/>
      <c r="AL182" s="96"/>
      <c r="AM182" s="96"/>
      <c r="AN182" s="96"/>
      <c r="AO182" s="96"/>
      <c r="AP182" s="96"/>
      <c r="AQ182" s="96"/>
      <c r="AR182" s="96"/>
      <c r="AS182" s="96"/>
    </row>
    <row r="183" spans="1:45" ht="14.6" hidden="1">
      <c r="A183" s="117"/>
      <c r="B183" s="118"/>
      <c r="C183" s="120"/>
      <c r="D183" s="118"/>
      <c r="E183" s="118"/>
      <c r="F183" s="117"/>
      <c r="G183" s="117"/>
      <c r="H183" s="118"/>
      <c r="I183" s="118" t="e" cm="1" vm="8">
        <f t="array" ref="I183">_xldudf_BOARDFLARE_FMATCH(D183,G183)</f>
        <v>#VALUE!</v>
      </c>
      <c r="R183" s="96"/>
      <c r="S183" s="96"/>
      <c r="T183" s="96"/>
      <c r="U183" s="96"/>
      <c r="V183" s="96"/>
      <c r="W183" s="96"/>
      <c r="X183" s="96"/>
      <c r="Y183" s="96"/>
      <c r="Z183" s="96"/>
      <c r="AA183" s="96"/>
      <c r="AB183" s="96"/>
      <c r="AD183" s="96"/>
      <c r="AE183" s="96"/>
      <c r="AF183" s="96"/>
      <c r="AG183" s="96"/>
      <c r="AK183" s="96"/>
      <c r="AL183" s="96"/>
      <c r="AM183" s="96"/>
      <c r="AN183" s="96"/>
      <c r="AO183" s="96"/>
      <c r="AP183" s="96"/>
      <c r="AQ183" s="96"/>
      <c r="AR183" s="96"/>
      <c r="AS183" s="96"/>
    </row>
    <row r="184" spans="1:45" ht="15.45" hidden="1">
      <c r="A184" s="117"/>
      <c r="B184" s="118"/>
      <c r="C184" s="117"/>
      <c r="D184" s="119"/>
      <c r="E184" s="118"/>
      <c r="F184" s="117"/>
      <c r="G184" s="117"/>
      <c r="H184" s="118"/>
      <c r="I184" s="118" t="e" cm="1" vm="8">
        <f t="array" ref="I184">_xldudf_BOARDFLARE_FMATCH(D184,G184)</f>
        <v>#VALUE!</v>
      </c>
      <c r="R184" s="96"/>
      <c r="S184" s="96"/>
      <c r="T184" s="96"/>
      <c r="U184" s="96"/>
      <c r="V184" s="96"/>
      <c r="W184" s="96"/>
      <c r="X184" s="96"/>
      <c r="Y184" s="96"/>
      <c r="Z184" s="96"/>
      <c r="AA184" s="96"/>
      <c r="AB184" s="96"/>
      <c r="AD184" s="96"/>
      <c r="AE184" s="96"/>
      <c r="AF184" s="96"/>
      <c r="AG184" s="96"/>
      <c r="AK184" s="96"/>
      <c r="AL184" s="96"/>
      <c r="AM184" s="96"/>
      <c r="AN184" s="96"/>
      <c r="AO184" s="96"/>
      <c r="AP184" s="96"/>
      <c r="AQ184" s="96"/>
      <c r="AR184" s="96"/>
      <c r="AS184" s="96"/>
    </row>
    <row r="185" spans="1:45" ht="15.45" hidden="1">
      <c r="A185" s="117"/>
      <c r="B185" s="118"/>
      <c r="C185" s="117"/>
      <c r="D185" s="119"/>
      <c r="E185" s="118"/>
      <c r="F185" s="117"/>
      <c r="G185" s="117"/>
      <c r="H185" s="118"/>
      <c r="I185" s="118" t="e" cm="1" vm="8">
        <f t="array" ref="I185">_xldudf_BOARDFLARE_FMATCH(D185,G185)</f>
        <v>#VALUE!</v>
      </c>
      <c r="R185" s="96"/>
      <c r="S185" s="96"/>
      <c r="T185" s="96"/>
      <c r="U185" s="96"/>
      <c r="V185" s="96"/>
      <c r="W185" s="96"/>
      <c r="X185" s="96"/>
      <c r="Y185" s="96"/>
      <c r="Z185" s="96"/>
      <c r="AA185" s="96"/>
      <c r="AB185" s="96"/>
      <c r="AD185" s="96"/>
      <c r="AE185" s="96"/>
      <c r="AF185" s="96"/>
      <c r="AG185" s="96"/>
      <c r="AK185" s="96"/>
      <c r="AL185" s="96"/>
      <c r="AM185" s="96"/>
      <c r="AN185" s="96"/>
      <c r="AO185" s="96"/>
      <c r="AP185" s="96"/>
      <c r="AQ185" s="96"/>
      <c r="AR185" s="96"/>
      <c r="AS185" s="96"/>
    </row>
    <row r="186" spans="1:45" ht="14.6" hidden="1">
      <c r="A186" s="117"/>
      <c r="B186" s="118"/>
      <c r="C186" s="117"/>
      <c r="D186" s="118"/>
      <c r="E186" s="118"/>
      <c r="F186" s="117"/>
      <c r="G186" s="117"/>
      <c r="H186" s="118"/>
      <c r="I186" s="118" t="e" cm="1" vm="8">
        <f t="array" ref="I186">_xldudf_BOARDFLARE_FMATCH(D186,G186)</f>
        <v>#VALUE!</v>
      </c>
      <c r="R186" s="96"/>
      <c r="S186" s="96"/>
      <c r="T186" s="96"/>
      <c r="U186" s="96"/>
      <c r="V186" s="96"/>
      <c r="W186" s="96"/>
      <c r="X186" s="96"/>
      <c r="Y186" s="96"/>
      <c r="Z186" s="96"/>
      <c r="AA186" s="96"/>
      <c r="AB186" s="96"/>
      <c r="AD186" s="96"/>
      <c r="AE186" s="96"/>
      <c r="AF186" s="96"/>
      <c r="AG186" s="96"/>
      <c r="AK186" s="96"/>
      <c r="AL186" s="96"/>
      <c r="AM186" s="96"/>
      <c r="AN186" s="96"/>
      <c r="AO186" s="96"/>
      <c r="AP186" s="96"/>
      <c r="AQ186" s="96"/>
      <c r="AR186" s="96"/>
      <c r="AS186" s="96"/>
    </row>
    <row r="187" spans="1:45" ht="15.45" hidden="1">
      <c r="A187" s="117"/>
      <c r="B187" s="118"/>
      <c r="C187" s="117"/>
      <c r="D187" s="119"/>
      <c r="E187" s="118"/>
      <c r="F187" s="117"/>
      <c r="G187" s="117"/>
      <c r="H187" s="118"/>
      <c r="I187" s="118" t="e" cm="1" vm="8">
        <f t="array" ref="I187">_xldudf_BOARDFLARE_FMATCH(D187,G187)</f>
        <v>#VALUE!</v>
      </c>
      <c r="R187" s="96"/>
      <c r="S187" s="96"/>
      <c r="T187" s="96"/>
      <c r="U187" s="96"/>
      <c r="V187" s="96"/>
      <c r="W187" s="96"/>
      <c r="X187" s="96"/>
      <c r="Y187" s="96"/>
      <c r="Z187" s="96"/>
      <c r="AA187" s="96"/>
      <c r="AB187" s="96"/>
      <c r="AD187" s="96"/>
      <c r="AE187" s="96"/>
      <c r="AF187" s="96"/>
      <c r="AG187" s="96"/>
      <c r="AK187" s="96"/>
      <c r="AL187" s="96"/>
      <c r="AM187" s="96"/>
      <c r="AN187" s="96"/>
      <c r="AO187" s="96"/>
      <c r="AP187" s="96"/>
      <c r="AQ187" s="96"/>
      <c r="AR187" s="96"/>
      <c r="AS187" s="96"/>
    </row>
    <row r="188" spans="1:45" ht="14.6" hidden="1">
      <c r="A188" s="117"/>
      <c r="B188" s="118"/>
      <c r="C188" s="117"/>
      <c r="D188" s="126"/>
      <c r="E188" s="118"/>
      <c r="F188" s="117"/>
      <c r="G188" s="117"/>
      <c r="H188" s="118"/>
      <c r="I188" s="118" t="e" cm="1" vm="8">
        <f t="array" ref="I188">_xldudf_BOARDFLARE_FMATCH(D188,G188)</f>
        <v>#VALUE!</v>
      </c>
      <c r="R188" s="96"/>
      <c r="S188" s="96"/>
      <c r="T188" s="96"/>
      <c r="U188" s="96"/>
      <c r="V188" s="96"/>
      <c r="W188" s="96"/>
      <c r="X188" s="96"/>
      <c r="Y188" s="96"/>
      <c r="Z188" s="96"/>
      <c r="AA188" s="96"/>
      <c r="AB188" s="96"/>
      <c r="AD188" s="96"/>
      <c r="AE188" s="96"/>
      <c r="AF188" s="96"/>
      <c r="AG188" s="96"/>
      <c r="AK188" s="96"/>
      <c r="AL188" s="96"/>
      <c r="AM188" s="96"/>
      <c r="AN188" s="96"/>
      <c r="AO188" s="96"/>
      <c r="AP188" s="96"/>
      <c r="AQ188" s="96"/>
      <c r="AR188" s="96"/>
      <c r="AS188" s="96"/>
    </row>
    <row r="189" spans="1:45" ht="15.45" hidden="1">
      <c r="A189" s="117"/>
      <c r="B189" s="118"/>
      <c r="C189" s="117"/>
      <c r="D189" s="128"/>
      <c r="E189" s="118"/>
      <c r="F189" s="117"/>
      <c r="G189" s="117"/>
      <c r="H189" s="118"/>
      <c r="I189" s="118" t="e" cm="1" vm="8">
        <f t="array" ref="I189">_xldudf_BOARDFLARE_FMATCH(D189,G189)</f>
        <v>#VALUE!</v>
      </c>
      <c r="R189" s="96"/>
      <c r="S189" s="96"/>
      <c r="T189" s="96"/>
      <c r="U189" s="96"/>
      <c r="V189" s="96"/>
      <c r="W189" s="96"/>
      <c r="X189" s="96"/>
      <c r="Y189" s="96"/>
      <c r="Z189" s="96"/>
      <c r="AA189" s="96"/>
      <c r="AB189" s="96"/>
      <c r="AD189" s="96"/>
      <c r="AE189" s="96"/>
      <c r="AF189" s="96"/>
      <c r="AG189" s="96"/>
      <c r="AK189" s="96"/>
      <c r="AL189" s="96"/>
      <c r="AM189" s="96"/>
      <c r="AN189" s="96"/>
      <c r="AO189" s="96"/>
      <c r="AP189" s="96"/>
      <c r="AQ189" s="96"/>
      <c r="AR189" s="96"/>
      <c r="AS189" s="96"/>
    </row>
    <row r="190" spans="1:45" ht="15.45" hidden="1">
      <c r="A190" s="117"/>
      <c r="B190" s="118"/>
      <c r="C190" s="117"/>
      <c r="D190" s="119"/>
      <c r="E190" s="118"/>
      <c r="F190" s="117"/>
      <c r="G190" s="117"/>
      <c r="H190" s="118"/>
      <c r="I190" s="118" t="e" cm="1" vm="8">
        <f t="array" ref="I190">_xldudf_BOARDFLARE_FMATCH(D190,G190)</f>
        <v>#VALUE!</v>
      </c>
      <c r="R190" s="96"/>
      <c r="S190" s="96"/>
      <c r="T190" s="96"/>
      <c r="U190" s="96"/>
      <c r="V190" s="96"/>
      <c r="W190" s="96"/>
      <c r="X190" s="96"/>
      <c r="Y190" s="96"/>
      <c r="Z190" s="96"/>
      <c r="AA190" s="96"/>
      <c r="AB190" s="96"/>
      <c r="AD190" s="96"/>
      <c r="AE190" s="96"/>
      <c r="AF190" s="96"/>
      <c r="AG190" s="96"/>
      <c r="AK190" s="96"/>
      <c r="AL190" s="96"/>
      <c r="AM190" s="96"/>
      <c r="AN190" s="96"/>
      <c r="AO190" s="96"/>
      <c r="AP190" s="96"/>
      <c r="AQ190" s="96"/>
      <c r="AR190" s="96"/>
      <c r="AS190" s="96"/>
    </row>
    <row r="191" spans="1:45" ht="14.6" hidden="1">
      <c r="A191" s="117"/>
      <c r="B191" s="118"/>
      <c r="C191" s="117"/>
      <c r="D191" s="126"/>
      <c r="E191" s="118"/>
      <c r="F191" s="117"/>
      <c r="G191" s="117"/>
      <c r="H191" s="118"/>
      <c r="I191" s="118" t="e" cm="1" vm="8">
        <f t="array" ref="I191">_xldudf_BOARDFLARE_FMATCH(D191,G191)</f>
        <v>#VALUE!</v>
      </c>
      <c r="R191" s="96"/>
      <c r="S191" s="96"/>
      <c r="T191" s="96"/>
      <c r="U191" s="96"/>
      <c r="V191" s="96"/>
      <c r="W191" s="96"/>
      <c r="X191" s="96"/>
      <c r="Y191" s="96"/>
      <c r="Z191" s="96"/>
      <c r="AA191" s="96"/>
      <c r="AB191" s="96"/>
      <c r="AD191" s="96"/>
      <c r="AE191" s="96"/>
      <c r="AF191" s="96"/>
      <c r="AG191" s="96"/>
      <c r="AK191" s="96"/>
      <c r="AL191" s="96"/>
      <c r="AM191" s="96"/>
      <c r="AN191" s="96"/>
      <c r="AO191" s="96"/>
      <c r="AP191" s="96"/>
      <c r="AQ191" s="96"/>
      <c r="AR191" s="96"/>
      <c r="AS191" s="96"/>
    </row>
    <row r="192" spans="1:45" ht="14.6" hidden="1">
      <c r="A192" s="117"/>
      <c r="B192" s="118"/>
      <c r="C192" s="117"/>
      <c r="D192" s="126"/>
      <c r="E192" s="118"/>
      <c r="F192" s="117"/>
      <c r="G192" s="117"/>
      <c r="H192" s="118"/>
      <c r="I192" s="118" t="e" cm="1" vm="8">
        <f t="array" ref="I192">_xldudf_BOARDFLARE_FMATCH(D192,G192)</f>
        <v>#VALUE!</v>
      </c>
      <c r="R192" s="96"/>
      <c r="S192" s="96"/>
      <c r="T192" s="96"/>
      <c r="U192" s="96"/>
      <c r="V192" s="96"/>
      <c r="W192" s="96"/>
      <c r="X192" s="96"/>
      <c r="Y192" s="96"/>
      <c r="Z192" s="96"/>
      <c r="AA192" s="96"/>
      <c r="AB192" s="96"/>
      <c r="AD192" s="96"/>
      <c r="AE192" s="96"/>
      <c r="AF192" s="96"/>
      <c r="AG192" s="96"/>
      <c r="AK192" s="96"/>
      <c r="AL192" s="96"/>
      <c r="AM192" s="96"/>
      <c r="AN192" s="96"/>
      <c r="AO192" s="96"/>
      <c r="AP192" s="96"/>
      <c r="AQ192" s="96"/>
      <c r="AR192" s="96"/>
      <c r="AS192" s="96"/>
    </row>
    <row r="193" spans="1:45" ht="14.6" hidden="1">
      <c r="A193" s="117"/>
      <c r="B193" s="118"/>
      <c r="C193" s="117"/>
      <c r="D193" s="126"/>
      <c r="E193" s="118"/>
      <c r="F193" s="117"/>
      <c r="G193" s="117"/>
      <c r="H193" s="118"/>
      <c r="I193" s="118" t="e" cm="1" vm="8">
        <f t="array" ref="I193">_xldudf_BOARDFLARE_FMATCH(D193,G193)</f>
        <v>#VALUE!</v>
      </c>
      <c r="R193" s="96"/>
      <c r="S193" s="96"/>
      <c r="T193" s="96"/>
      <c r="U193" s="96"/>
      <c r="V193" s="96"/>
      <c r="W193" s="96"/>
      <c r="X193" s="96"/>
      <c r="Y193" s="96"/>
      <c r="Z193" s="96"/>
      <c r="AA193" s="96"/>
      <c r="AB193" s="96"/>
      <c r="AD193" s="96"/>
      <c r="AE193" s="96"/>
      <c r="AF193" s="96"/>
      <c r="AG193" s="96"/>
      <c r="AK193" s="96"/>
      <c r="AL193" s="96"/>
      <c r="AM193" s="96"/>
      <c r="AN193" s="96"/>
      <c r="AO193" s="96"/>
      <c r="AP193" s="96"/>
      <c r="AQ193" s="96"/>
      <c r="AR193" s="96"/>
      <c r="AS193" s="96"/>
    </row>
    <row r="194" spans="1:45" ht="15.45" hidden="1">
      <c r="A194" s="117"/>
      <c r="B194" s="118"/>
      <c r="C194" s="117"/>
      <c r="D194" s="119"/>
      <c r="E194" s="118"/>
      <c r="F194" s="117"/>
      <c r="G194" s="117"/>
      <c r="H194" s="118"/>
      <c r="I194" s="118" t="e" cm="1" vm="8">
        <f t="array" ref="I194">_xldudf_BOARDFLARE_FMATCH(D194,G194)</f>
        <v>#VALUE!</v>
      </c>
      <c r="R194" s="96"/>
      <c r="S194" s="96"/>
      <c r="T194" s="96"/>
      <c r="U194" s="96"/>
      <c r="V194" s="96"/>
      <c r="W194" s="96"/>
      <c r="X194" s="96"/>
      <c r="Y194" s="96"/>
      <c r="Z194" s="96"/>
      <c r="AA194" s="96"/>
      <c r="AB194" s="96"/>
      <c r="AD194" s="96"/>
      <c r="AE194" s="96"/>
      <c r="AF194" s="96"/>
      <c r="AG194" s="96"/>
      <c r="AK194" s="96"/>
      <c r="AL194" s="96"/>
      <c r="AM194" s="96"/>
      <c r="AN194" s="96"/>
      <c r="AO194" s="96"/>
      <c r="AP194" s="96"/>
      <c r="AQ194" s="96"/>
      <c r="AR194" s="96"/>
      <c r="AS194" s="96"/>
    </row>
    <row r="195" spans="1:45" ht="15.45" hidden="1">
      <c r="A195" s="117"/>
      <c r="B195" s="118"/>
      <c r="C195" s="117"/>
      <c r="D195" s="119"/>
      <c r="E195" s="118"/>
      <c r="F195" s="117"/>
      <c r="G195" s="117"/>
      <c r="H195" s="118"/>
      <c r="I195" s="118" t="e" cm="1" vm="8">
        <f t="array" ref="I195">_xldudf_BOARDFLARE_FMATCH(D195,G195)</f>
        <v>#VALUE!</v>
      </c>
      <c r="R195" s="96"/>
      <c r="S195" s="96"/>
      <c r="T195" s="96"/>
      <c r="U195" s="96"/>
      <c r="V195" s="96"/>
      <c r="W195" s="96"/>
      <c r="X195" s="96"/>
      <c r="Y195" s="96"/>
      <c r="Z195" s="96"/>
      <c r="AA195" s="96"/>
      <c r="AB195" s="96"/>
      <c r="AD195" s="96"/>
      <c r="AE195" s="96"/>
      <c r="AF195" s="96"/>
      <c r="AG195" s="96"/>
      <c r="AK195" s="96"/>
      <c r="AL195" s="96"/>
      <c r="AM195" s="96"/>
      <c r="AN195" s="96"/>
      <c r="AO195" s="96"/>
      <c r="AP195" s="96"/>
      <c r="AQ195" s="96"/>
      <c r="AR195" s="96"/>
      <c r="AS195" s="96"/>
    </row>
    <row r="196" spans="1:45" ht="14.6" hidden="1">
      <c r="A196" s="117"/>
      <c r="B196" s="118"/>
      <c r="C196" s="117"/>
      <c r="D196" s="118"/>
      <c r="E196" s="118"/>
      <c r="F196" s="117"/>
      <c r="G196" s="117"/>
      <c r="H196" s="118"/>
      <c r="I196" s="118" t="e" cm="1" vm="8">
        <f t="array" ref="I196">_xldudf_BOARDFLARE_FMATCH(D196,G196)</f>
        <v>#VALUE!</v>
      </c>
      <c r="R196" s="96"/>
      <c r="S196" s="96"/>
      <c r="T196" s="96"/>
      <c r="U196" s="96"/>
      <c r="V196" s="96"/>
      <c r="W196" s="96"/>
      <c r="X196" s="96"/>
      <c r="Y196" s="96"/>
      <c r="Z196" s="96"/>
      <c r="AA196" s="96"/>
      <c r="AB196" s="96"/>
      <c r="AD196" s="96"/>
      <c r="AE196" s="96"/>
      <c r="AF196" s="96"/>
      <c r="AG196" s="96"/>
      <c r="AK196" s="96"/>
      <c r="AL196" s="96"/>
      <c r="AM196" s="96"/>
      <c r="AN196" s="96"/>
      <c r="AO196" s="96"/>
      <c r="AP196" s="96"/>
      <c r="AQ196" s="96"/>
      <c r="AR196" s="96"/>
      <c r="AS196" s="96"/>
    </row>
    <row r="197" spans="1:45" hidden="1">
      <c r="R197" s="96"/>
      <c r="S197" s="96"/>
      <c r="T197" s="96"/>
      <c r="U197" s="96"/>
      <c r="V197" s="96"/>
      <c r="W197" s="96"/>
      <c r="X197" s="96"/>
      <c r="Y197" s="96"/>
      <c r="Z197" s="96"/>
      <c r="AA197" s="96"/>
      <c r="AB197" s="96"/>
      <c r="AD197" s="96"/>
      <c r="AE197" s="96"/>
      <c r="AF197" s="96"/>
      <c r="AG197" s="96"/>
      <c r="AK197" s="96"/>
      <c r="AL197" s="96"/>
      <c r="AM197" s="96"/>
      <c r="AN197" s="96"/>
      <c r="AO197" s="96"/>
      <c r="AP197" s="96"/>
      <c r="AQ197" s="96"/>
      <c r="AR197" s="96"/>
      <c r="AS197" s="96"/>
    </row>
    <row r="198" spans="1:45" hidden="1">
      <c r="R198" s="96"/>
      <c r="S198" s="96"/>
      <c r="T198" s="96"/>
      <c r="U198" s="96"/>
      <c r="V198" s="96"/>
      <c r="W198" s="96"/>
      <c r="X198" s="96"/>
      <c r="Y198" s="96"/>
      <c r="Z198" s="96"/>
      <c r="AA198" s="96"/>
      <c r="AB198" s="96"/>
      <c r="AD198" s="96"/>
      <c r="AE198" s="96"/>
      <c r="AF198" s="96"/>
      <c r="AG198" s="96"/>
      <c r="AK198" s="96"/>
      <c r="AL198" s="96"/>
      <c r="AM198" s="96"/>
      <c r="AN198" s="96"/>
      <c r="AO198" s="96"/>
      <c r="AP198" s="96"/>
      <c r="AQ198" s="96"/>
      <c r="AR198" s="96"/>
      <c r="AS198" s="96"/>
    </row>
    <row r="199" spans="1:45" hidden="1">
      <c r="R199" s="96"/>
      <c r="S199" s="96"/>
      <c r="T199" s="96"/>
      <c r="U199" s="96"/>
      <c r="V199" s="96"/>
      <c r="W199" s="96"/>
      <c r="X199" s="96"/>
      <c r="Y199" s="96"/>
      <c r="Z199" s="96"/>
      <c r="AA199" s="96"/>
      <c r="AB199" s="96"/>
      <c r="AD199" s="96"/>
      <c r="AE199" s="96"/>
      <c r="AF199" s="96"/>
      <c r="AG199" s="96"/>
      <c r="AK199" s="96"/>
      <c r="AL199" s="96"/>
      <c r="AM199" s="96"/>
      <c r="AN199" s="96"/>
      <c r="AO199" s="96"/>
      <c r="AP199" s="96"/>
      <c r="AQ199" s="96"/>
      <c r="AR199" s="96"/>
      <c r="AS199" s="96"/>
    </row>
    <row r="200" spans="1:45" hidden="1">
      <c r="R200" s="96"/>
      <c r="S200" s="96"/>
      <c r="T200" s="96"/>
      <c r="U200" s="96"/>
      <c r="V200" s="96"/>
      <c r="W200" s="96"/>
      <c r="X200" s="96"/>
      <c r="Y200" s="96"/>
      <c r="Z200" s="96"/>
      <c r="AA200" s="96"/>
      <c r="AB200" s="96"/>
      <c r="AD200" s="96"/>
      <c r="AE200" s="96"/>
      <c r="AF200" s="96"/>
      <c r="AG200" s="96"/>
      <c r="AK200" s="96"/>
      <c r="AL200" s="96"/>
      <c r="AM200" s="96"/>
      <c r="AN200" s="96"/>
      <c r="AO200" s="96"/>
      <c r="AP200" s="96"/>
      <c r="AQ200" s="96"/>
      <c r="AR200" s="96"/>
      <c r="AS200" s="96"/>
    </row>
    <row r="201" spans="1:45" hidden="1">
      <c r="R201" s="96"/>
      <c r="S201" s="96"/>
      <c r="T201" s="96"/>
      <c r="U201" s="96"/>
      <c r="V201" s="96"/>
      <c r="W201" s="96"/>
      <c r="X201" s="96"/>
      <c r="Y201" s="96"/>
      <c r="Z201" s="96"/>
      <c r="AA201" s="96"/>
      <c r="AB201" s="96"/>
      <c r="AD201" s="96"/>
      <c r="AE201" s="96"/>
      <c r="AF201" s="96"/>
      <c r="AG201" s="96"/>
      <c r="AK201" s="96"/>
      <c r="AL201" s="96"/>
      <c r="AM201" s="96"/>
      <c r="AN201" s="96"/>
      <c r="AO201" s="96"/>
      <c r="AP201" s="96"/>
      <c r="AQ201" s="96"/>
      <c r="AR201" s="96"/>
      <c r="AS201" s="96"/>
    </row>
    <row r="202" spans="1:45" hidden="1">
      <c r="R202" s="96"/>
      <c r="S202" s="96"/>
      <c r="T202" s="96"/>
      <c r="U202" s="96"/>
      <c r="V202" s="96"/>
      <c r="W202" s="96"/>
      <c r="X202" s="96"/>
      <c r="Y202" s="96"/>
      <c r="Z202" s="96"/>
      <c r="AA202" s="96"/>
      <c r="AB202" s="96"/>
      <c r="AD202" s="96"/>
      <c r="AE202" s="96"/>
      <c r="AF202" s="96"/>
      <c r="AG202" s="96"/>
      <c r="AK202" s="96"/>
      <c r="AL202" s="96"/>
      <c r="AM202" s="96"/>
      <c r="AN202" s="96"/>
      <c r="AO202" s="96"/>
      <c r="AP202" s="96"/>
      <c r="AQ202" s="96"/>
      <c r="AR202" s="96"/>
      <c r="AS202" s="96"/>
    </row>
    <row r="203" spans="1:45" hidden="1">
      <c r="R203" s="96"/>
      <c r="S203" s="96"/>
      <c r="T203" s="96"/>
      <c r="U203" s="96"/>
      <c r="V203" s="96"/>
      <c r="W203" s="96"/>
      <c r="X203" s="96"/>
      <c r="Y203" s="96"/>
      <c r="Z203" s="96"/>
      <c r="AA203" s="96"/>
      <c r="AB203" s="96"/>
      <c r="AD203" s="96"/>
      <c r="AE203" s="96"/>
      <c r="AF203" s="96"/>
      <c r="AG203" s="96"/>
      <c r="AK203" s="96"/>
      <c r="AL203" s="96"/>
      <c r="AM203" s="96"/>
      <c r="AN203" s="96"/>
      <c r="AO203" s="96"/>
      <c r="AP203" s="96"/>
      <c r="AQ203" s="96"/>
      <c r="AR203" s="96"/>
      <c r="AS203" s="96"/>
    </row>
    <row r="204" spans="1:45" hidden="1">
      <c r="R204" s="96"/>
      <c r="S204" s="96"/>
      <c r="T204" s="96"/>
      <c r="U204" s="96"/>
      <c r="V204" s="96"/>
      <c r="W204" s="96"/>
      <c r="X204" s="96"/>
      <c r="Y204" s="96"/>
      <c r="Z204" s="96"/>
      <c r="AA204" s="96"/>
      <c r="AB204" s="96"/>
      <c r="AD204" s="96"/>
      <c r="AE204" s="96"/>
      <c r="AF204" s="96"/>
      <c r="AG204" s="96"/>
      <c r="AK204" s="96"/>
      <c r="AL204" s="96"/>
      <c r="AM204" s="96"/>
      <c r="AN204" s="96"/>
      <c r="AO204" s="96"/>
      <c r="AP204" s="96"/>
      <c r="AQ204" s="96"/>
      <c r="AR204" s="96"/>
      <c r="AS204" s="96"/>
    </row>
    <row r="205" spans="1:45" hidden="1">
      <c r="R205" s="96"/>
      <c r="S205" s="96"/>
      <c r="T205" s="96"/>
      <c r="U205" s="96"/>
      <c r="V205" s="96"/>
      <c r="W205" s="96"/>
      <c r="X205" s="96"/>
      <c r="Y205" s="96"/>
      <c r="Z205" s="96"/>
      <c r="AA205" s="96"/>
      <c r="AB205" s="96"/>
      <c r="AD205" s="96"/>
      <c r="AE205" s="96"/>
      <c r="AF205" s="96"/>
      <c r="AG205" s="96"/>
      <c r="AK205" s="96"/>
      <c r="AL205" s="96"/>
      <c r="AM205" s="96"/>
      <c r="AN205" s="96"/>
      <c r="AO205" s="96"/>
      <c r="AP205" s="96"/>
      <c r="AQ205" s="96"/>
      <c r="AR205" s="96"/>
      <c r="AS205" s="96"/>
    </row>
    <row r="206" spans="1:45" hidden="1">
      <c r="R206" s="96"/>
      <c r="S206" s="96"/>
      <c r="T206" s="96"/>
      <c r="U206" s="96"/>
      <c r="V206" s="96"/>
      <c r="W206" s="96"/>
      <c r="X206" s="96"/>
      <c r="Y206" s="96"/>
      <c r="Z206" s="96"/>
      <c r="AA206" s="96"/>
      <c r="AB206" s="96"/>
      <c r="AD206" s="96"/>
      <c r="AE206" s="96"/>
      <c r="AF206" s="96"/>
      <c r="AG206" s="96"/>
      <c r="AK206" s="96"/>
      <c r="AL206" s="96"/>
      <c r="AM206" s="96"/>
      <c r="AN206" s="96"/>
      <c r="AO206" s="96"/>
      <c r="AP206" s="96"/>
      <c r="AQ206" s="96"/>
      <c r="AR206" s="96"/>
      <c r="AS206" s="96"/>
    </row>
    <row r="207" spans="1:45" hidden="1">
      <c r="R207" s="96"/>
      <c r="S207" s="96"/>
      <c r="T207" s="96"/>
      <c r="U207" s="96"/>
      <c r="V207" s="96"/>
      <c r="W207" s="96"/>
      <c r="X207" s="96"/>
      <c r="Y207" s="96"/>
      <c r="Z207" s="96"/>
      <c r="AA207" s="96"/>
      <c r="AB207" s="96"/>
      <c r="AD207" s="96"/>
      <c r="AE207" s="96"/>
      <c r="AF207" s="96"/>
      <c r="AG207" s="96"/>
      <c r="AK207" s="96"/>
      <c r="AL207" s="96"/>
      <c r="AM207" s="96"/>
      <c r="AN207" s="96"/>
      <c r="AO207" s="96"/>
      <c r="AP207" s="96"/>
      <c r="AQ207" s="96"/>
      <c r="AR207" s="96"/>
      <c r="AS207" s="96"/>
    </row>
    <row r="208" spans="1:45" hidden="1">
      <c r="R208" s="96"/>
      <c r="S208" s="96"/>
      <c r="T208" s="96"/>
      <c r="U208" s="96"/>
      <c r="V208" s="96"/>
      <c r="W208" s="96"/>
      <c r="X208" s="96"/>
      <c r="Y208" s="96"/>
      <c r="Z208" s="96"/>
      <c r="AA208" s="96"/>
      <c r="AB208" s="96"/>
      <c r="AD208" s="96"/>
      <c r="AE208" s="96"/>
      <c r="AF208" s="96"/>
      <c r="AG208" s="96"/>
      <c r="AK208" s="96"/>
      <c r="AL208" s="96"/>
      <c r="AM208" s="96"/>
      <c r="AN208" s="96"/>
      <c r="AO208" s="96"/>
      <c r="AP208" s="96"/>
      <c r="AQ208" s="96"/>
      <c r="AR208" s="96"/>
      <c r="AS208" s="96"/>
    </row>
    <row r="209" spans="18:45" hidden="1">
      <c r="R209" s="96"/>
      <c r="S209" s="96"/>
      <c r="T209" s="96"/>
      <c r="U209" s="96"/>
      <c r="V209" s="96"/>
      <c r="W209" s="96"/>
      <c r="X209" s="96"/>
      <c r="Y209" s="96"/>
      <c r="Z209" s="96"/>
      <c r="AA209" s="96"/>
      <c r="AB209" s="96"/>
      <c r="AD209" s="96"/>
      <c r="AE209" s="96"/>
      <c r="AF209" s="96"/>
      <c r="AG209" s="96"/>
      <c r="AK209" s="96"/>
      <c r="AL209" s="96"/>
      <c r="AM209" s="96"/>
      <c r="AN209" s="96"/>
      <c r="AO209" s="96"/>
      <c r="AP209" s="96"/>
      <c r="AQ209" s="96"/>
      <c r="AR209" s="96"/>
      <c r="AS209" s="96"/>
    </row>
    <row r="210" spans="18:45" hidden="1">
      <c r="R210" s="96"/>
      <c r="S210" s="96"/>
      <c r="T210" s="96"/>
      <c r="U210" s="96"/>
      <c r="V210" s="96"/>
      <c r="W210" s="96"/>
      <c r="X210" s="96"/>
      <c r="Y210" s="96"/>
      <c r="Z210" s="96"/>
      <c r="AA210" s="96"/>
      <c r="AB210" s="96"/>
      <c r="AD210" s="96"/>
      <c r="AE210" s="96"/>
      <c r="AF210" s="96"/>
      <c r="AG210" s="96"/>
      <c r="AK210" s="96"/>
      <c r="AL210" s="96"/>
      <c r="AM210" s="96"/>
      <c r="AN210" s="96"/>
      <c r="AO210" s="96"/>
      <c r="AP210" s="96"/>
      <c r="AQ210" s="96"/>
      <c r="AR210" s="96"/>
      <c r="AS210" s="96"/>
    </row>
    <row r="211" spans="18:45" hidden="1">
      <c r="R211" s="96"/>
      <c r="S211" s="96"/>
      <c r="T211" s="96"/>
      <c r="U211" s="96"/>
      <c r="V211" s="96"/>
      <c r="W211" s="96"/>
      <c r="X211" s="96"/>
      <c r="Y211" s="96"/>
      <c r="Z211" s="96"/>
      <c r="AA211" s="96"/>
      <c r="AB211" s="96"/>
      <c r="AD211" s="96"/>
      <c r="AE211" s="96"/>
      <c r="AF211" s="96"/>
      <c r="AG211" s="96"/>
      <c r="AK211" s="96"/>
      <c r="AL211" s="96"/>
      <c r="AM211" s="96"/>
      <c r="AN211" s="96"/>
      <c r="AO211" s="96"/>
      <c r="AP211" s="96"/>
      <c r="AQ211" s="96"/>
      <c r="AR211" s="96"/>
      <c r="AS211" s="96"/>
    </row>
    <row r="212" spans="18:45" hidden="1">
      <c r="R212" s="96"/>
      <c r="S212" s="96"/>
      <c r="T212" s="96"/>
      <c r="U212" s="96"/>
      <c r="V212" s="96"/>
      <c r="W212" s="96"/>
      <c r="X212" s="96"/>
      <c r="Y212" s="96"/>
      <c r="Z212" s="96"/>
      <c r="AA212" s="96"/>
      <c r="AB212" s="96"/>
      <c r="AD212" s="96"/>
      <c r="AE212" s="96"/>
      <c r="AF212" s="96"/>
      <c r="AG212" s="96"/>
      <c r="AK212" s="96"/>
      <c r="AL212" s="96"/>
      <c r="AM212" s="96"/>
      <c r="AN212" s="96"/>
      <c r="AO212" s="96"/>
      <c r="AP212" s="96"/>
      <c r="AQ212" s="96"/>
      <c r="AR212" s="96"/>
      <c r="AS212" s="96"/>
    </row>
    <row r="213" spans="18:45" hidden="1">
      <c r="R213" s="96"/>
      <c r="S213" s="96"/>
      <c r="T213" s="96"/>
      <c r="U213" s="96"/>
      <c r="V213" s="96"/>
      <c r="W213" s="96"/>
      <c r="X213" s="96"/>
      <c r="Y213" s="96"/>
      <c r="Z213" s="96"/>
      <c r="AA213" s="96"/>
      <c r="AB213" s="96"/>
      <c r="AD213" s="96"/>
      <c r="AE213" s="96"/>
      <c r="AF213" s="96"/>
      <c r="AG213" s="96"/>
      <c r="AK213" s="96"/>
      <c r="AL213" s="96"/>
      <c r="AM213" s="96"/>
      <c r="AN213" s="96"/>
      <c r="AO213" s="96"/>
      <c r="AP213" s="96"/>
      <c r="AQ213" s="96"/>
      <c r="AR213" s="96"/>
      <c r="AS213" s="96"/>
    </row>
    <row r="214" spans="18:45" hidden="1">
      <c r="R214" s="96"/>
      <c r="S214" s="96"/>
      <c r="T214" s="96"/>
      <c r="U214" s="96"/>
      <c r="V214" s="96"/>
      <c r="W214" s="96"/>
      <c r="X214" s="96"/>
      <c r="Y214" s="96"/>
      <c r="Z214" s="96"/>
      <c r="AA214" s="96"/>
      <c r="AB214" s="96"/>
      <c r="AD214" s="96"/>
      <c r="AE214" s="96"/>
      <c r="AF214" s="96"/>
      <c r="AG214" s="96"/>
      <c r="AK214" s="96"/>
      <c r="AL214" s="96"/>
      <c r="AM214" s="96"/>
      <c r="AN214" s="96"/>
      <c r="AO214" s="96"/>
      <c r="AP214" s="96"/>
      <c r="AQ214" s="96"/>
      <c r="AR214" s="96"/>
      <c r="AS214" s="96"/>
    </row>
    <row r="215" spans="18:45" hidden="1">
      <c r="R215" s="96"/>
      <c r="S215" s="96"/>
      <c r="T215" s="96"/>
      <c r="U215" s="96"/>
      <c r="V215" s="96"/>
      <c r="W215" s="96"/>
      <c r="X215" s="96"/>
      <c r="Y215" s="96"/>
      <c r="Z215" s="96"/>
      <c r="AA215" s="96"/>
      <c r="AB215" s="96"/>
      <c r="AD215" s="96"/>
      <c r="AE215" s="96"/>
      <c r="AF215" s="96"/>
      <c r="AG215" s="96"/>
      <c r="AK215" s="96"/>
      <c r="AL215" s="96"/>
      <c r="AM215" s="96"/>
      <c r="AN215" s="96"/>
      <c r="AO215" s="96"/>
      <c r="AP215" s="96"/>
      <c r="AQ215" s="96"/>
      <c r="AR215" s="96"/>
      <c r="AS215" s="96"/>
    </row>
    <row r="216" spans="18:45" hidden="1">
      <c r="R216" s="96"/>
      <c r="S216" s="96"/>
      <c r="T216" s="96"/>
      <c r="U216" s="96"/>
      <c r="V216" s="96"/>
      <c r="W216" s="96"/>
      <c r="X216" s="96"/>
      <c r="Y216" s="96"/>
      <c r="Z216" s="96"/>
      <c r="AA216" s="96"/>
      <c r="AB216" s="96"/>
      <c r="AD216" s="96"/>
      <c r="AE216" s="96"/>
      <c r="AF216" s="96"/>
      <c r="AG216" s="96"/>
      <c r="AK216" s="96"/>
      <c r="AL216" s="96"/>
      <c r="AM216" s="96"/>
      <c r="AN216" s="96"/>
      <c r="AO216" s="96"/>
      <c r="AP216" s="96"/>
      <c r="AQ216" s="96"/>
      <c r="AR216" s="96"/>
      <c r="AS216" s="96"/>
    </row>
    <row r="217" spans="18:45" hidden="1">
      <c r="R217" s="96"/>
      <c r="S217" s="96"/>
      <c r="T217" s="96"/>
      <c r="U217" s="96"/>
      <c r="V217" s="96"/>
      <c r="W217" s="96"/>
      <c r="X217" s="96"/>
      <c r="Y217" s="96"/>
      <c r="Z217" s="96"/>
      <c r="AA217" s="96"/>
      <c r="AB217" s="96"/>
      <c r="AD217" s="96"/>
      <c r="AE217" s="96"/>
      <c r="AF217" s="96"/>
      <c r="AG217" s="96"/>
      <c r="AK217" s="96"/>
      <c r="AL217" s="96"/>
      <c r="AM217" s="96"/>
      <c r="AN217" s="96"/>
      <c r="AO217" s="96"/>
      <c r="AP217" s="96"/>
      <c r="AQ217" s="96"/>
      <c r="AR217" s="96"/>
      <c r="AS217" s="96"/>
    </row>
    <row r="218" spans="18:45" hidden="1">
      <c r="R218" s="96"/>
      <c r="S218" s="96"/>
      <c r="T218" s="96"/>
      <c r="U218" s="96"/>
      <c r="V218" s="96"/>
      <c r="W218" s="96"/>
      <c r="X218" s="96"/>
      <c r="Y218" s="96"/>
      <c r="Z218" s="96"/>
      <c r="AA218" s="96"/>
      <c r="AB218" s="96"/>
      <c r="AD218" s="96"/>
      <c r="AE218" s="96"/>
      <c r="AF218" s="96"/>
      <c r="AG218" s="96"/>
      <c r="AK218" s="96"/>
      <c r="AL218" s="96"/>
      <c r="AM218" s="96"/>
      <c r="AN218" s="96"/>
      <c r="AO218" s="96"/>
      <c r="AP218" s="96"/>
      <c r="AQ218" s="96"/>
      <c r="AR218" s="96"/>
      <c r="AS218" s="96"/>
    </row>
    <row r="219" spans="18:45" hidden="1">
      <c r="R219" s="96"/>
      <c r="S219" s="96"/>
      <c r="T219" s="96"/>
      <c r="U219" s="96"/>
      <c r="V219" s="96"/>
      <c r="W219" s="96"/>
      <c r="X219" s="96"/>
      <c r="Y219" s="96"/>
      <c r="Z219" s="96"/>
      <c r="AA219" s="96"/>
      <c r="AB219" s="96"/>
      <c r="AD219" s="96"/>
      <c r="AE219" s="96"/>
      <c r="AF219" s="96"/>
      <c r="AG219" s="96"/>
      <c r="AK219" s="96"/>
      <c r="AL219" s="96"/>
      <c r="AM219" s="96"/>
      <c r="AN219" s="96"/>
      <c r="AO219" s="96"/>
      <c r="AP219" s="96"/>
      <c r="AQ219" s="96"/>
      <c r="AR219" s="96"/>
      <c r="AS219" s="96"/>
    </row>
    <row r="220" spans="18:45" hidden="1">
      <c r="R220" s="96"/>
      <c r="S220" s="96"/>
      <c r="T220" s="96"/>
      <c r="U220" s="96"/>
      <c r="V220" s="96"/>
      <c r="W220" s="96"/>
      <c r="X220" s="96"/>
      <c r="Y220" s="96"/>
      <c r="Z220" s="96"/>
      <c r="AA220" s="96"/>
      <c r="AB220" s="96"/>
      <c r="AD220" s="96"/>
      <c r="AE220" s="96"/>
      <c r="AF220" s="96"/>
      <c r="AG220" s="96"/>
      <c r="AK220" s="96"/>
      <c r="AL220" s="96"/>
      <c r="AM220" s="96"/>
      <c r="AN220" s="96"/>
      <c r="AO220" s="96"/>
      <c r="AP220" s="96"/>
      <c r="AQ220" s="96"/>
      <c r="AR220" s="96"/>
      <c r="AS220" s="96"/>
    </row>
    <row r="221" spans="18:45" hidden="1">
      <c r="R221" s="96"/>
      <c r="S221" s="96"/>
      <c r="T221" s="96"/>
      <c r="U221" s="96"/>
      <c r="V221" s="96"/>
      <c r="W221" s="96"/>
      <c r="X221" s="96"/>
      <c r="Y221" s="96"/>
      <c r="Z221" s="96"/>
      <c r="AA221" s="96"/>
      <c r="AB221" s="96"/>
      <c r="AD221" s="96"/>
      <c r="AE221" s="96"/>
      <c r="AF221" s="96"/>
      <c r="AG221" s="96"/>
      <c r="AK221" s="96"/>
      <c r="AL221" s="96"/>
      <c r="AM221" s="96"/>
      <c r="AN221" s="96"/>
      <c r="AO221" s="96"/>
      <c r="AP221" s="96"/>
      <c r="AQ221" s="96"/>
      <c r="AR221" s="96"/>
      <c r="AS221" s="96"/>
    </row>
    <row r="222" spans="18:45" hidden="1">
      <c r="R222" s="96"/>
      <c r="S222" s="96"/>
      <c r="T222" s="96"/>
      <c r="U222" s="96"/>
      <c r="V222" s="96"/>
      <c r="W222" s="96"/>
      <c r="X222" s="96"/>
      <c r="Y222" s="96"/>
      <c r="Z222" s="96"/>
      <c r="AA222" s="96"/>
      <c r="AB222" s="96"/>
      <c r="AD222" s="96"/>
      <c r="AE222" s="96"/>
      <c r="AF222" s="96"/>
      <c r="AG222" s="96"/>
      <c r="AK222" s="96"/>
      <c r="AL222" s="96"/>
      <c r="AM222" s="96"/>
      <c r="AN222" s="96"/>
      <c r="AO222" s="96"/>
      <c r="AP222" s="96"/>
      <c r="AQ222" s="96"/>
      <c r="AR222" s="96"/>
      <c r="AS222" s="96"/>
    </row>
    <row r="223" spans="18:45" hidden="1">
      <c r="R223" s="96"/>
      <c r="S223" s="96"/>
      <c r="T223" s="96"/>
      <c r="U223" s="96"/>
      <c r="V223" s="96"/>
      <c r="W223" s="96"/>
      <c r="X223" s="96"/>
      <c r="Y223" s="96"/>
      <c r="Z223" s="96"/>
      <c r="AA223" s="96"/>
      <c r="AB223" s="96"/>
      <c r="AD223" s="96"/>
      <c r="AE223" s="96"/>
      <c r="AF223" s="96"/>
      <c r="AG223" s="96"/>
      <c r="AK223" s="96"/>
      <c r="AL223" s="96"/>
      <c r="AM223" s="96"/>
      <c r="AN223" s="96"/>
      <c r="AO223" s="96"/>
      <c r="AP223" s="96"/>
      <c r="AQ223" s="96"/>
      <c r="AR223" s="96"/>
      <c r="AS223" s="96"/>
    </row>
    <row r="224" spans="18:45" hidden="1">
      <c r="R224" s="96"/>
      <c r="S224" s="96"/>
      <c r="T224" s="96"/>
      <c r="U224" s="96"/>
      <c r="V224" s="96"/>
      <c r="W224" s="96"/>
      <c r="X224" s="96"/>
      <c r="Y224" s="96"/>
      <c r="Z224" s="96"/>
      <c r="AA224" s="96"/>
      <c r="AB224" s="96"/>
      <c r="AD224" s="96"/>
      <c r="AE224" s="96"/>
      <c r="AF224" s="96"/>
      <c r="AG224" s="96"/>
      <c r="AK224" s="96"/>
      <c r="AL224" s="96"/>
      <c r="AM224" s="96"/>
      <c r="AN224" s="96"/>
      <c r="AO224" s="96"/>
      <c r="AP224" s="96"/>
      <c r="AQ224" s="96"/>
      <c r="AR224" s="96"/>
      <c r="AS224" s="96"/>
    </row>
    <row r="225" spans="18:45" hidden="1">
      <c r="R225" s="96"/>
      <c r="S225" s="96"/>
      <c r="T225" s="96"/>
      <c r="U225" s="96"/>
      <c r="V225" s="96"/>
      <c r="W225" s="96"/>
      <c r="X225" s="96"/>
      <c r="Y225" s="96"/>
      <c r="Z225" s="96"/>
      <c r="AA225" s="96"/>
      <c r="AB225" s="96"/>
      <c r="AD225" s="96"/>
      <c r="AE225" s="96"/>
      <c r="AF225" s="96"/>
      <c r="AG225" s="96"/>
      <c r="AK225" s="96"/>
      <c r="AL225" s="96"/>
      <c r="AM225" s="96"/>
      <c r="AN225" s="96"/>
      <c r="AO225" s="96"/>
      <c r="AP225" s="96"/>
      <c r="AQ225" s="96"/>
      <c r="AR225" s="96"/>
      <c r="AS225" s="96"/>
    </row>
    <row r="226" spans="18:45" hidden="1">
      <c r="R226" s="96"/>
      <c r="S226" s="96"/>
      <c r="T226" s="96"/>
      <c r="U226" s="96"/>
      <c r="V226" s="96"/>
      <c r="W226" s="96"/>
      <c r="X226" s="96"/>
      <c r="Y226" s="96"/>
      <c r="Z226" s="96"/>
      <c r="AA226" s="96"/>
      <c r="AB226" s="96"/>
      <c r="AD226" s="96"/>
      <c r="AE226" s="96"/>
      <c r="AF226" s="96"/>
      <c r="AG226" s="96"/>
      <c r="AK226" s="96"/>
      <c r="AL226" s="96"/>
      <c r="AM226" s="96"/>
      <c r="AN226" s="96"/>
      <c r="AO226" s="96"/>
      <c r="AP226" s="96"/>
      <c r="AQ226" s="96"/>
      <c r="AR226" s="96"/>
      <c r="AS226" s="96"/>
    </row>
    <row r="227" spans="18:45" hidden="1">
      <c r="R227" s="96"/>
      <c r="S227" s="96"/>
      <c r="T227" s="96"/>
      <c r="U227" s="96"/>
      <c r="V227" s="96"/>
      <c r="W227" s="96"/>
      <c r="X227" s="96"/>
      <c r="Y227" s="96"/>
      <c r="Z227" s="96"/>
      <c r="AA227" s="96"/>
      <c r="AB227" s="96"/>
      <c r="AD227" s="96"/>
      <c r="AE227" s="96"/>
      <c r="AF227" s="96"/>
      <c r="AG227" s="96"/>
      <c r="AK227" s="96"/>
      <c r="AL227" s="96"/>
      <c r="AM227" s="96"/>
      <c r="AN227" s="96"/>
      <c r="AO227" s="96"/>
      <c r="AP227" s="96"/>
      <c r="AQ227" s="96"/>
      <c r="AR227" s="96"/>
      <c r="AS227" s="96"/>
    </row>
    <row r="228" spans="18:45" hidden="1">
      <c r="R228" s="96"/>
      <c r="S228" s="96"/>
      <c r="T228" s="96"/>
      <c r="U228" s="96"/>
      <c r="V228" s="96"/>
      <c r="W228" s="96"/>
      <c r="X228" s="96"/>
      <c r="Y228" s="96"/>
      <c r="Z228" s="96"/>
      <c r="AA228" s="96"/>
      <c r="AB228" s="96"/>
      <c r="AD228" s="96"/>
      <c r="AE228" s="96"/>
      <c r="AF228" s="96"/>
      <c r="AG228" s="96"/>
      <c r="AK228" s="96"/>
      <c r="AL228" s="96"/>
      <c r="AM228" s="96"/>
      <c r="AN228" s="96"/>
      <c r="AO228" s="96"/>
      <c r="AP228" s="96"/>
      <c r="AQ228" s="96"/>
      <c r="AR228" s="96"/>
      <c r="AS228" s="96"/>
    </row>
    <row r="229" spans="18:45" hidden="1">
      <c r="R229" s="96"/>
      <c r="S229" s="96"/>
      <c r="T229" s="96"/>
      <c r="U229" s="96"/>
      <c r="V229" s="96"/>
      <c r="W229" s="96"/>
      <c r="X229" s="96"/>
      <c r="Y229" s="96"/>
      <c r="Z229" s="96"/>
      <c r="AA229" s="96"/>
      <c r="AB229" s="96"/>
      <c r="AD229" s="96"/>
      <c r="AE229" s="96"/>
      <c r="AF229" s="96"/>
      <c r="AG229" s="96"/>
      <c r="AK229" s="96"/>
      <c r="AL229" s="96"/>
      <c r="AM229" s="96"/>
      <c r="AN229" s="96"/>
      <c r="AO229" s="96"/>
      <c r="AP229" s="96"/>
      <c r="AQ229" s="96"/>
      <c r="AR229" s="96"/>
      <c r="AS229" s="96"/>
    </row>
    <row r="230" spans="18:45" hidden="1">
      <c r="R230" s="96"/>
      <c r="S230" s="96"/>
      <c r="T230" s="96"/>
      <c r="U230" s="96"/>
      <c r="V230" s="96"/>
      <c r="W230" s="96"/>
      <c r="X230" s="96"/>
      <c r="Y230" s="96"/>
      <c r="Z230" s="96"/>
      <c r="AA230" s="96"/>
      <c r="AB230" s="96"/>
      <c r="AD230" s="96"/>
      <c r="AE230" s="96"/>
      <c r="AF230" s="96"/>
      <c r="AG230" s="96"/>
      <c r="AK230" s="96"/>
      <c r="AL230" s="96"/>
      <c r="AM230" s="96"/>
      <c r="AN230" s="96"/>
      <c r="AO230" s="96"/>
      <c r="AP230" s="96"/>
      <c r="AQ230" s="96"/>
      <c r="AR230" s="96"/>
      <c r="AS230" s="96"/>
    </row>
    <row r="231" spans="18:45" hidden="1">
      <c r="R231" s="96"/>
      <c r="S231" s="96"/>
      <c r="T231" s="96"/>
      <c r="U231" s="96"/>
      <c r="V231" s="96"/>
      <c r="W231" s="96"/>
      <c r="X231" s="96"/>
      <c r="Y231" s="96"/>
      <c r="Z231" s="96"/>
      <c r="AA231" s="96"/>
      <c r="AB231" s="96"/>
      <c r="AD231" s="96"/>
      <c r="AE231" s="96"/>
      <c r="AF231" s="96"/>
      <c r="AG231" s="96"/>
      <c r="AK231" s="96"/>
      <c r="AL231" s="96"/>
      <c r="AM231" s="96"/>
      <c r="AN231" s="96"/>
      <c r="AO231" s="96"/>
      <c r="AP231" s="96"/>
      <c r="AQ231" s="96"/>
      <c r="AR231" s="96"/>
      <c r="AS231" s="96"/>
    </row>
    <row r="232" spans="18:45" hidden="1">
      <c r="R232" s="96"/>
      <c r="S232" s="96"/>
      <c r="T232" s="96"/>
      <c r="U232" s="96"/>
      <c r="V232" s="96"/>
      <c r="W232" s="96"/>
      <c r="X232" s="96"/>
      <c r="Y232" s="96"/>
      <c r="Z232" s="96"/>
      <c r="AA232" s="96"/>
      <c r="AB232" s="96"/>
      <c r="AD232" s="96"/>
      <c r="AE232" s="96"/>
      <c r="AF232" s="96"/>
      <c r="AG232" s="96"/>
      <c r="AK232" s="96"/>
      <c r="AL232" s="96"/>
      <c r="AM232" s="96"/>
      <c r="AN232" s="96"/>
      <c r="AO232" s="96"/>
      <c r="AP232" s="96"/>
      <c r="AQ232" s="96"/>
      <c r="AR232" s="96"/>
      <c r="AS232" s="96"/>
    </row>
    <row r="233" spans="18:45" hidden="1">
      <c r="R233" s="96"/>
      <c r="S233" s="96"/>
      <c r="T233" s="96"/>
      <c r="U233" s="96"/>
      <c r="V233" s="96"/>
      <c r="W233" s="96"/>
      <c r="X233" s="96"/>
      <c r="Y233" s="96"/>
      <c r="Z233" s="96"/>
      <c r="AA233" s="96"/>
      <c r="AB233" s="96"/>
      <c r="AD233" s="96"/>
      <c r="AE233" s="96"/>
      <c r="AF233" s="96"/>
      <c r="AG233" s="96"/>
      <c r="AK233" s="96"/>
      <c r="AL233" s="96"/>
      <c r="AM233" s="96"/>
      <c r="AN233" s="96"/>
      <c r="AO233" s="96"/>
      <c r="AP233" s="96"/>
      <c r="AQ233" s="96"/>
      <c r="AR233" s="96"/>
      <c r="AS233" s="96"/>
    </row>
    <row r="234" spans="18:45" hidden="1">
      <c r="R234" s="96"/>
      <c r="S234" s="96"/>
      <c r="T234" s="96"/>
      <c r="U234" s="96"/>
      <c r="V234" s="96"/>
      <c r="W234" s="96"/>
      <c r="X234" s="96"/>
      <c r="Y234" s="96"/>
      <c r="Z234" s="96"/>
      <c r="AA234" s="96"/>
      <c r="AB234" s="96"/>
      <c r="AD234" s="96"/>
      <c r="AE234" s="96"/>
      <c r="AF234" s="96"/>
      <c r="AG234" s="96"/>
      <c r="AK234" s="96"/>
      <c r="AL234" s="96"/>
      <c r="AM234" s="96"/>
      <c r="AN234" s="96"/>
      <c r="AO234" s="96"/>
      <c r="AP234" s="96"/>
      <c r="AQ234" s="96"/>
      <c r="AR234" s="96"/>
      <c r="AS234" s="96"/>
    </row>
    <row r="235" spans="18:45" hidden="1">
      <c r="R235" s="96"/>
      <c r="S235" s="96"/>
      <c r="T235" s="96"/>
      <c r="U235" s="96"/>
      <c r="V235" s="96"/>
      <c r="W235" s="96"/>
      <c r="X235" s="96"/>
      <c r="Y235" s="96"/>
      <c r="Z235" s="96"/>
      <c r="AA235" s="96"/>
      <c r="AB235" s="96"/>
      <c r="AD235" s="96"/>
      <c r="AE235" s="96"/>
      <c r="AF235" s="96"/>
      <c r="AG235" s="96"/>
      <c r="AK235" s="96"/>
      <c r="AL235" s="96"/>
      <c r="AM235" s="96"/>
      <c r="AN235" s="96"/>
      <c r="AO235" s="96"/>
      <c r="AP235" s="96"/>
      <c r="AQ235" s="96"/>
      <c r="AR235" s="96"/>
      <c r="AS235" s="96"/>
    </row>
    <row r="236" spans="18:45" hidden="1">
      <c r="R236" s="96"/>
      <c r="S236" s="96"/>
      <c r="T236" s="96"/>
      <c r="U236" s="96"/>
      <c r="V236" s="96"/>
      <c r="W236" s="96"/>
      <c r="X236" s="96"/>
      <c r="Y236" s="96"/>
      <c r="Z236" s="96"/>
      <c r="AA236" s="96"/>
      <c r="AB236" s="96"/>
      <c r="AD236" s="96"/>
      <c r="AE236" s="96"/>
      <c r="AF236" s="96"/>
      <c r="AG236" s="96"/>
      <c r="AK236" s="96"/>
      <c r="AL236" s="96"/>
      <c r="AM236" s="96"/>
      <c r="AN236" s="96"/>
      <c r="AO236" s="96"/>
      <c r="AP236" s="96"/>
      <c r="AQ236" s="96"/>
      <c r="AR236" s="96"/>
      <c r="AS236" s="96"/>
    </row>
    <row r="237" spans="18:45" hidden="1">
      <c r="R237" s="96"/>
      <c r="S237" s="96"/>
      <c r="T237" s="96"/>
      <c r="U237" s="96"/>
      <c r="V237" s="96"/>
      <c r="W237" s="96"/>
      <c r="X237" s="96"/>
      <c r="Y237" s="96"/>
      <c r="Z237" s="96"/>
      <c r="AA237" s="96"/>
      <c r="AB237" s="96"/>
      <c r="AD237" s="96"/>
      <c r="AE237" s="96"/>
      <c r="AF237" s="96"/>
      <c r="AG237" s="96"/>
      <c r="AK237" s="96"/>
      <c r="AL237" s="96"/>
      <c r="AM237" s="96"/>
      <c r="AN237" s="96"/>
      <c r="AO237" s="96"/>
      <c r="AP237" s="96"/>
      <c r="AQ237" s="96"/>
      <c r="AR237" s="96"/>
      <c r="AS237" s="96"/>
    </row>
    <row r="238" spans="18:45" hidden="1">
      <c r="R238" s="96"/>
      <c r="S238" s="96"/>
      <c r="T238" s="96"/>
      <c r="U238" s="96"/>
      <c r="V238" s="96"/>
      <c r="W238" s="96"/>
      <c r="X238" s="96"/>
      <c r="Y238" s="96"/>
      <c r="Z238" s="96"/>
      <c r="AA238" s="96"/>
      <c r="AB238" s="96"/>
      <c r="AD238" s="96"/>
      <c r="AE238" s="96"/>
      <c r="AF238" s="96"/>
      <c r="AG238" s="96"/>
      <c r="AK238" s="96"/>
      <c r="AL238" s="96"/>
      <c r="AM238" s="96"/>
      <c r="AN238" s="96"/>
      <c r="AO238" s="96"/>
      <c r="AP238" s="96"/>
      <c r="AQ238" s="96"/>
      <c r="AR238" s="96"/>
      <c r="AS238" s="96"/>
    </row>
    <row r="239" spans="18:45" hidden="1">
      <c r="R239" s="96"/>
      <c r="S239" s="96"/>
      <c r="T239" s="96"/>
      <c r="U239" s="96"/>
      <c r="V239" s="96"/>
      <c r="W239" s="96"/>
      <c r="X239" s="96"/>
      <c r="Y239" s="96"/>
      <c r="Z239" s="96"/>
      <c r="AA239" s="96"/>
      <c r="AB239" s="96"/>
      <c r="AD239" s="96"/>
      <c r="AE239" s="96"/>
      <c r="AF239" s="96"/>
      <c r="AG239" s="96"/>
      <c r="AK239" s="96"/>
      <c r="AL239" s="96"/>
      <c r="AM239" s="96"/>
      <c r="AN239" s="96"/>
      <c r="AO239" s="96"/>
      <c r="AP239" s="96"/>
      <c r="AQ239" s="96"/>
      <c r="AR239" s="96"/>
      <c r="AS239" s="96"/>
    </row>
    <row r="240" spans="18:45" hidden="1">
      <c r="R240" s="96"/>
      <c r="S240" s="96"/>
      <c r="T240" s="96"/>
      <c r="U240" s="96"/>
      <c r="V240" s="96"/>
      <c r="W240" s="96"/>
      <c r="X240" s="96"/>
      <c r="Y240" s="96"/>
      <c r="Z240" s="96"/>
      <c r="AA240" s="96"/>
      <c r="AB240" s="96"/>
      <c r="AD240" s="96"/>
      <c r="AE240" s="96"/>
      <c r="AF240" s="96"/>
      <c r="AG240" s="96"/>
      <c r="AK240" s="96"/>
      <c r="AL240" s="96"/>
      <c r="AM240" s="96"/>
      <c r="AN240" s="96"/>
      <c r="AO240" s="96"/>
      <c r="AP240" s="96"/>
      <c r="AQ240" s="96"/>
      <c r="AR240" s="96"/>
      <c r="AS240" s="96"/>
    </row>
    <row r="241" spans="18:45" hidden="1">
      <c r="R241" s="96"/>
      <c r="S241" s="96"/>
      <c r="T241" s="96"/>
      <c r="U241" s="96"/>
      <c r="V241" s="96"/>
      <c r="W241" s="96"/>
      <c r="X241" s="96"/>
      <c r="Y241" s="96"/>
      <c r="Z241" s="96"/>
      <c r="AA241" s="96"/>
      <c r="AB241" s="96"/>
      <c r="AD241" s="96"/>
      <c r="AE241" s="96"/>
      <c r="AF241" s="96"/>
      <c r="AG241" s="96"/>
      <c r="AK241" s="96"/>
      <c r="AL241" s="96"/>
      <c r="AM241" s="96"/>
      <c r="AN241" s="96"/>
      <c r="AO241" s="96"/>
      <c r="AP241" s="96"/>
      <c r="AQ241" s="96"/>
      <c r="AR241" s="96"/>
      <c r="AS241" s="96"/>
    </row>
    <row r="242" spans="18:45" hidden="1">
      <c r="R242" s="96"/>
      <c r="S242" s="96"/>
      <c r="T242" s="96"/>
      <c r="U242" s="96"/>
      <c r="V242" s="96"/>
      <c r="W242" s="96"/>
      <c r="X242" s="96"/>
      <c r="Y242" s="96"/>
      <c r="Z242" s="96"/>
      <c r="AA242" s="96"/>
      <c r="AB242" s="96"/>
      <c r="AD242" s="96"/>
      <c r="AE242" s="96"/>
      <c r="AF242" s="96"/>
      <c r="AG242" s="96"/>
      <c r="AK242" s="96"/>
      <c r="AL242" s="96"/>
      <c r="AM242" s="96"/>
      <c r="AN242" s="96"/>
      <c r="AO242" s="96"/>
      <c r="AP242" s="96"/>
      <c r="AQ242" s="96"/>
      <c r="AR242" s="96"/>
      <c r="AS242" s="96"/>
    </row>
    <row r="243" spans="18:45" hidden="1">
      <c r="R243" s="96"/>
      <c r="S243" s="96"/>
      <c r="T243" s="96"/>
      <c r="U243" s="96"/>
      <c r="V243" s="96"/>
      <c r="W243" s="96"/>
      <c r="X243" s="96"/>
      <c r="Y243" s="96"/>
      <c r="Z243" s="96"/>
      <c r="AA243" s="96"/>
      <c r="AB243" s="96"/>
      <c r="AD243" s="96"/>
      <c r="AE243" s="96"/>
      <c r="AF243" s="96"/>
      <c r="AG243" s="96"/>
      <c r="AK243" s="96"/>
      <c r="AL243" s="96"/>
      <c r="AM243" s="96"/>
      <c r="AN243" s="96"/>
      <c r="AO243" s="96"/>
      <c r="AP243" s="96"/>
      <c r="AQ243" s="96"/>
      <c r="AR243" s="96"/>
      <c r="AS243" s="96"/>
    </row>
    <row r="244" spans="18:45" hidden="1">
      <c r="R244" s="96"/>
      <c r="S244" s="96"/>
      <c r="T244" s="96"/>
      <c r="U244" s="96"/>
      <c r="V244" s="96"/>
      <c r="W244" s="96"/>
      <c r="X244" s="96"/>
      <c r="Y244" s="96"/>
      <c r="Z244" s="96"/>
      <c r="AA244" s="96"/>
      <c r="AB244" s="96"/>
      <c r="AD244" s="96"/>
      <c r="AE244" s="96"/>
      <c r="AF244" s="96"/>
      <c r="AG244" s="96"/>
      <c r="AK244" s="96"/>
      <c r="AL244" s="96"/>
      <c r="AM244" s="96"/>
      <c r="AN244" s="96"/>
      <c r="AO244" s="96"/>
      <c r="AP244" s="96"/>
      <c r="AQ244" s="96"/>
      <c r="AR244" s="96"/>
      <c r="AS244" s="96"/>
    </row>
    <row r="245" spans="18:45" hidden="1">
      <c r="R245" s="96"/>
      <c r="S245" s="96"/>
      <c r="T245" s="96"/>
      <c r="U245" s="96"/>
      <c r="V245" s="96"/>
      <c r="W245" s="96"/>
      <c r="X245" s="96"/>
      <c r="Y245" s="96"/>
      <c r="Z245" s="96"/>
      <c r="AA245" s="96"/>
      <c r="AB245" s="96"/>
      <c r="AD245" s="96"/>
      <c r="AE245" s="96"/>
      <c r="AF245" s="96"/>
      <c r="AG245" s="96"/>
      <c r="AK245" s="96"/>
      <c r="AL245" s="96"/>
      <c r="AM245" s="96"/>
      <c r="AN245" s="96"/>
      <c r="AO245" s="96"/>
      <c r="AP245" s="96"/>
      <c r="AQ245" s="96"/>
      <c r="AR245" s="96"/>
      <c r="AS245" s="96"/>
    </row>
    <row r="246" spans="18:45" hidden="1">
      <c r="R246" s="96"/>
      <c r="S246" s="96"/>
      <c r="T246" s="96"/>
      <c r="U246" s="96"/>
      <c r="V246" s="96"/>
      <c r="W246" s="96"/>
      <c r="X246" s="96"/>
      <c r="Y246" s="96"/>
      <c r="Z246" s="96"/>
      <c r="AA246" s="96"/>
      <c r="AB246" s="96"/>
      <c r="AD246" s="96"/>
      <c r="AE246" s="96"/>
      <c r="AF246" s="96"/>
      <c r="AG246" s="96"/>
      <c r="AK246" s="96"/>
      <c r="AL246" s="96"/>
      <c r="AM246" s="96"/>
      <c r="AN246" s="96"/>
      <c r="AO246" s="96"/>
      <c r="AP246" s="96"/>
      <c r="AQ246" s="96"/>
      <c r="AR246" s="96"/>
      <c r="AS246" s="96"/>
    </row>
    <row r="247" spans="18:45" hidden="1">
      <c r="R247" s="96"/>
      <c r="S247" s="96"/>
      <c r="T247" s="96"/>
      <c r="U247" s="96"/>
      <c r="V247" s="96"/>
      <c r="W247" s="96"/>
      <c r="X247" s="96"/>
      <c r="Y247" s="96"/>
      <c r="Z247" s="96"/>
      <c r="AA247" s="96"/>
      <c r="AB247" s="96"/>
      <c r="AD247" s="96"/>
      <c r="AE247" s="96"/>
      <c r="AF247" s="96"/>
      <c r="AG247" s="96"/>
      <c r="AK247" s="96"/>
      <c r="AL247" s="96"/>
      <c r="AM247" s="96"/>
      <c r="AN247" s="96"/>
      <c r="AO247" s="96"/>
      <c r="AP247" s="96"/>
      <c r="AQ247" s="96"/>
      <c r="AR247" s="96"/>
      <c r="AS247" s="96"/>
    </row>
    <row r="248" spans="18:45" hidden="1">
      <c r="R248" s="96"/>
      <c r="S248" s="96"/>
      <c r="T248" s="96"/>
      <c r="U248" s="96"/>
      <c r="V248" s="96"/>
      <c r="W248" s="96"/>
      <c r="X248" s="96"/>
      <c r="Y248" s="96"/>
      <c r="Z248" s="96"/>
      <c r="AA248" s="96"/>
      <c r="AB248" s="96"/>
      <c r="AD248" s="96"/>
      <c r="AE248" s="96"/>
      <c r="AF248" s="96"/>
      <c r="AG248" s="96"/>
      <c r="AK248" s="96"/>
      <c r="AL248" s="96"/>
      <c r="AM248" s="96"/>
      <c r="AN248" s="96"/>
      <c r="AO248" s="96"/>
      <c r="AP248" s="96"/>
      <c r="AQ248" s="96"/>
      <c r="AR248" s="96"/>
      <c r="AS248" s="96"/>
    </row>
    <row r="249" spans="18:45" hidden="1">
      <c r="R249" s="96"/>
      <c r="S249" s="96"/>
      <c r="T249" s="96"/>
      <c r="U249" s="96"/>
      <c r="V249" s="96"/>
      <c r="W249" s="96"/>
      <c r="X249" s="96"/>
      <c r="Y249" s="96"/>
      <c r="Z249" s="96"/>
      <c r="AA249" s="96"/>
      <c r="AB249" s="96"/>
      <c r="AD249" s="96"/>
      <c r="AE249" s="96"/>
      <c r="AF249" s="96"/>
      <c r="AG249" s="96"/>
      <c r="AK249" s="96"/>
      <c r="AL249" s="96"/>
      <c r="AM249" s="96"/>
      <c r="AN249" s="96"/>
      <c r="AO249" s="96"/>
      <c r="AP249" s="96"/>
      <c r="AQ249" s="96"/>
      <c r="AR249" s="96"/>
      <c r="AS249" s="96"/>
    </row>
    <row r="250" spans="18:45" hidden="1">
      <c r="R250" s="96"/>
      <c r="S250" s="96"/>
      <c r="T250" s="96"/>
      <c r="U250" s="96"/>
      <c r="V250" s="96"/>
      <c r="W250" s="96"/>
      <c r="X250" s="96"/>
      <c r="Y250" s="96"/>
      <c r="Z250" s="96"/>
      <c r="AA250" s="96"/>
      <c r="AB250" s="96"/>
      <c r="AD250" s="96"/>
      <c r="AE250" s="96"/>
      <c r="AF250" s="96"/>
      <c r="AG250" s="96"/>
      <c r="AK250" s="96"/>
      <c r="AL250" s="96"/>
      <c r="AM250" s="96"/>
      <c r="AN250" s="96"/>
      <c r="AO250" s="96"/>
      <c r="AP250" s="96"/>
      <c r="AQ250" s="96"/>
      <c r="AR250" s="96"/>
      <c r="AS250" s="96"/>
    </row>
    <row r="251" spans="18:45" hidden="1">
      <c r="R251" s="96"/>
      <c r="S251" s="96"/>
      <c r="T251" s="96"/>
      <c r="U251" s="96"/>
      <c r="V251" s="96"/>
      <c r="W251" s="96"/>
      <c r="X251" s="96"/>
      <c r="Y251" s="96"/>
      <c r="Z251" s="96"/>
      <c r="AA251" s="96"/>
      <c r="AB251" s="96"/>
      <c r="AD251" s="96"/>
      <c r="AE251" s="96"/>
      <c r="AF251" s="96"/>
      <c r="AG251" s="96"/>
      <c r="AK251" s="96"/>
      <c r="AL251" s="96"/>
      <c r="AM251" s="96"/>
      <c r="AN251" s="96"/>
      <c r="AO251" s="96"/>
      <c r="AP251" s="96"/>
      <c r="AQ251" s="96"/>
      <c r="AR251" s="96"/>
      <c r="AS251" s="96"/>
    </row>
    <row r="252" spans="18:45" hidden="1">
      <c r="R252" s="96"/>
      <c r="S252" s="96"/>
      <c r="T252" s="96"/>
      <c r="U252" s="96"/>
      <c r="V252" s="96"/>
      <c r="W252" s="96"/>
      <c r="X252" s="96"/>
      <c r="Y252" s="96"/>
      <c r="Z252" s="96"/>
      <c r="AA252" s="96"/>
      <c r="AB252" s="96"/>
      <c r="AD252" s="96"/>
      <c r="AE252" s="96"/>
      <c r="AF252" s="96"/>
      <c r="AG252" s="96"/>
      <c r="AK252" s="96"/>
      <c r="AL252" s="96"/>
      <c r="AM252" s="96"/>
      <c r="AN252" s="96"/>
      <c r="AO252" s="96"/>
      <c r="AP252" s="96"/>
      <c r="AQ252" s="96"/>
      <c r="AR252" s="96"/>
      <c r="AS252" s="96"/>
    </row>
    <row r="253" spans="18:45" hidden="1">
      <c r="R253" s="96"/>
      <c r="S253" s="96"/>
      <c r="T253" s="96"/>
      <c r="U253" s="96"/>
      <c r="V253" s="96"/>
      <c r="W253" s="96"/>
      <c r="X253" s="96"/>
      <c r="Y253" s="96"/>
      <c r="Z253" s="96"/>
      <c r="AA253" s="96"/>
      <c r="AB253" s="96"/>
      <c r="AD253" s="96"/>
      <c r="AE253" s="96"/>
      <c r="AF253" s="96"/>
      <c r="AG253" s="96"/>
      <c r="AK253" s="96"/>
      <c r="AL253" s="96"/>
      <c r="AM253" s="96"/>
      <c r="AN253" s="96"/>
      <c r="AO253" s="96"/>
      <c r="AP253" s="96"/>
      <c r="AQ253" s="96"/>
      <c r="AR253" s="96"/>
      <c r="AS253" s="96"/>
    </row>
    <row r="254" spans="18:45" hidden="1">
      <c r="R254" s="96"/>
      <c r="S254" s="96"/>
      <c r="T254" s="96"/>
      <c r="U254" s="96"/>
      <c r="V254" s="96"/>
      <c r="W254" s="96"/>
      <c r="X254" s="96"/>
      <c r="Y254" s="96"/>
      <c r="Z254" s="96"/>
      <c r="AA254" s="96"/>
      <c r="AB254" s="96"/>
      <c r="AD254" s="96"/>
      <c r="AE254" s="96"/>
      <c r="AF254" s="96"/>
      <c r="AG254" s="96"/>
      <c r="AK254" s="96"/>
      <c r="AL254" s="96"/>
      <c r="AM254" s="96"/>
      <c r="AN254" s="96"/>
      <c r="AO254" s="96"/>
      <c r="AP254" s="96"/>
      <c r="AQ254" s="96"/>
      <c r="AR254" s="96"/>
      <c r="AS254" s="96"/>
    </row>
    <row r="255" spans="18:45" hidden="1">
      <c r="R255" s="96"/>
      <c r="S255" s="96"/>
      <c r="T255" s="96"/>
      <c r="U255" s="96"/>
      <c r="V255" s="96"/>
      <c r="W255" s="96"/>
      <c r="X255" s="96"/>
      <c r="Y255" s="96"/>
      <c r="Z255" s="96"/>
      <c r="AA255" s="96"/>
      <c r="AB255" s="96"/>
      <c r="AD255" s="96"/>
      <c r="AE255" s="96"/>
      <c r="AF255" s="96"/>
      <c r="AG255" s="96"/>
      <c r="AK255" s="96"/>
      <c r="AL255" s="96"/>
      <c r="AM255" s="96"/>
      <c r="AN255" s="96"/>
      <c r="AO255" s="96"/>
      <c r="AP255" s="96"/>
      <c r="AQ255" s="96"/>
      <c r="AR255" s="96"/>
      <c r="AS255" s="96"/>
    </row>
    <row r="256" spans="18:45" hidden="1">
      <c r="R256" s="96"/>
      <c r="S256" s="96"/>
      <c r="T256" s="96"/>
      <c r="U256" s="96"/>
      <c r="V256" s="96"/>
      <c r="W256" s="96"/>
      <c r="X256" s="96"/>
      <c r="Y256" s="96"/>
      <c r="Z256" s="96"/>
      <c r="AA256" s="96"/>
      <c r="AB256" s="96"/>
      <c r="AD256" s="96"/>
      <c r="AE256" s="96"/>
      <c r="AF256" s="96"/>
      <c r="AG256" s="96"/>
      <c r="AK256" s="96"/>
      <c r="AL256" s="96"/>
      <c r="AM256" s="96"/>
      <c r="AN256" s="96"/>
      <c r="AO256" s="96"/>
      <c r="AP256" s="96"/>
      <c r="AQ256" s="96"/>
      <c r="AR256" s="96"/>
      <c r="AS256" s="96"/>
    </row>
    <row r="257" spans="18:45" hidden="1">
      <c r="R257" s="96"/>
      <c r="S257" s="96"/>
      <c r="T257" s="96"/>
      <c r="U257" s="96"/>
      <c r="V257" s="96"/>
      <c r="W257" s="96"/>
      <c r="X257" s="96"/>
      <c r="Y257" s="96"/>
      <c r="Z257" s="96"/>
      <c r="AA257" s="96"/>
      <c r="AB257" s="96"/>
      <c r="AD257" s="96"/>
      <c r="AE257" s="96"/>
      <c r="AF257" s="96"/>
      <c r="AG257" s="96"/>
      <c r="AK257" s="96"/>
      <c r="AL257" s="96"/>
      <c r="AM257" s="96"/>
      <c r="AN257" s="96"/>
      <c r="AO257" s="96"/>
      <c r="AP257" s="96"/>
      <c r="AQ257" s="96"/>
      <c r="AR257" s="96"/>
      <c r="AS257" s="96"/>
    </row>
    <row r="258" spans="18:45" hidden="1">
      <c r="R258" s="96"/>
      <c r="S258" s="96"/>
      <c r="T258" s="96"/>
      <c r="U258" s="96"/>
      <c r="V258" s="96"/>
      <c r="W258" s="96"/>
      <c r="X258" s="96"/>
      <c r="Y258" s="96"/>
      <c r="Z258" s="96"/>
      <c r="AA258" s="96"/>
      <c r="AB258" s="96"/>
      <c r="AD258" s="96"/>
      <c r="AE258" s="96"/>
      <c r="AF258" s="96"/>
      <c r="AG258" s="96"/>
      <c r="AK258" s="96"/>
      <c r="AL258" s="96"/>
      <c r="AM258" s="96"/>
      <c r="AN258" s="96"/>
      <c r="AO258" s="96"/>
      <c r="AP258" s="96"/>
      <c r="AQ258" s="96"/>
      <c r="AR258" s="96"/>
      <c r="AS258" s="96"/>
    </row>
    <row r="259" spans="18:45" hidden="1">
      <c r="R259" s="96"/>
      <c r="S259" s="96"/>
      <c r="T259" s="96"/>
      <c r="U259" s="96"/>
      <c r="V259" s="96"/>
      <c r="W259" s="96"/>
      <c r="X259" s="96"/>
      <c r="Y259" s="96"/>
      <c r="Z259" s="96"/>
      <c r="AA259" s="96"/>
      <c r="AB259" s="96"/>
      <c r="AD259" s="96"/>
      <c r="AE259" s="96"/>
      <c r="AF259" s="96"/>
      <c r="AG259" s="96"/>
      <c r="AK259" s="96"/>
      <c r="AL259" s="96"/>
      <c r="AM259" s="96"/>
      <c r="AN259" s="96"/>
      <c r="AO259" s="96"/>
      <c r="AP259" s="96"/>
      <c r="AQ259" s="96"/>
      <c r="AR259" s="96"/>
      <c r="AS259" s="96"/>
    </row>
    <row r="260" spans="18:45" hidden="1">
      <c r="R260" s="96"/>
      <c r="S260" s="96"/>
      <c r="T260" s="96"/>
      <c r="U260" s="96"/>
      <c r="V260" s="96"/>
      <c r="W260" s="96"/>
      <c r="X260" s="96"/>
      <c r="Y260" s="96"/>
      <c r="Z260" s="96"/>
      <c r="AA260" s="96"/>
      <c r="AB260" s="96"/>
      <c r="AD260" s="96"/>
      <c r="AE260" s="96"/>
      <c r="AF260" s="96"/>
      <c r="AG260" s="96"/>
      <c r="AK260" s="96"/>
      <c r="AL260" s="96"/>
      <c r="AM260" s="96"/>
      <c r="AN260" s="96"/>
      <c r="AO260" s="96"/>
      <c r="AP260" s="96"/>
      <c r="AQ260" s="96"/>
      <c r="AR260" s="96"/>
      <c r="AS260" s="96"/>
    </row>
    <row r="261" spans="18:45" hidden="1">
      <c r="R261" s="96"/>
      <c r="S261" s="96"/>
      <c r="T261" s="96"/>
      <c r="U261" s="96"/>
      <c r="V261" s="96"/>
      <c r="W261" s="96"/>
      <c r="X261" s="96"/>
      <c r="Y261" s="96"/>
      <c r="Z261" s="96"/>
      <c r="AA261" s="96"/>
      <c r="AB261" s="96"/>
      <c r="AD261" s="96"/>
      <c r="AE261" s="96"/>
      <c r="AF261" s="96"/>
      <c r="AG261" s="96"/>
      <c r="AK261" s="96"/>
      <c r="AL261" s="96"/>
      <c r="AM261" s="96"/>
      <c r="AN261" s="96"/>
      <c r="AO261" s="96"/>
      <c r="AP261" s="96"/>
      <c r="AQ261" s="96"/>
      <c r="AR261" s="96"/>
      <c r="AS261" s="96"/>
    </row>
    <row r="262" spans="18:45" hidden="1">
      <c r="R262" s="96"/>
      <c r="S262" s="96"/>
      <c r="T262" s="96"/>
      <c r="U262" s="96"/>
      <c r="V262" s="96"/>
      <c r="W262" s="96"/>
      <c r="X262" s="96"/>
      <c r="Y262" s="96"/>
      <c r="Z262" s="96"/>
      <c r="AA262" s="96"/>
      <c r="AB262" s="96"/>
      <c r="AD262" s="96"/>
      <c r="AE262" s="96"/>
      <c r="AF262" s="96"/>
      <c r="AG262" s="96"/>
      <c r="AK262" s="96"/>
      <c r="AL262" s="96"/>
      <c r="AM262" s="96"/>
      <c r="AN262" s="96"/>
      <c r="AO262" s="96"/>
      <c r="AP262" s="96"/>
      <c r="AQ262" s="96"/>
      <c r="AR262" s="96"/>
      <c r="AS262" s="96"/>
    </row>
    <row r="263" spans="18:45" hidden="1">
      <c r="R263" s="96"/>
      <c r="S263" s="96"/>
      <c r="T263" s="96"/>
      <c r="U263" s="96"/>
      <c r="V263" s="96"/>
      <c r="W263" s="96"/>
      <c r="X263" s="96"/>
      <c r="Y263" s="96"/>
      <c r="Z263" s="96"/>
      <c r="AA263" s="96"/>
      <c r="AB263" s="96"/>
      <c r="AD263" s="96"/>
      <c r="AE263" s="96"/>
      <c r="AF263" s="96"/>
      <c r="AG263" s="96"/>
      <c r="AK263" s="96"/>
      <c r="AL263" s="96"/>
      <c r="AM263" s="96"/>
      <c r="AN263" s="96"/>
      <c r="AO263" s="96"/>
      <c r="AP263" s="96"/>
      <c r="AQ263" s="96"/>
      <c r="AR263" s="96"/>
      <c r="AS263" s="96"/>
    </row>
    <row r="264" spans="18:45" hidden="1">
      <c r="R264" s="96"/>
      <c r="S264" s="96"/>
      <c r="T264" s="96"/>
      <c r="U264" s="96"/>
      <c r="V264" s="96"/>
      <c r="W264" s="96"/>
      <c r="X264" s="96"/>
      <c r="Y264" s="96"/>
      <c r="Z264" s="96"/>
      <c r="AA264" s="96"/>
      <c r="AB264" s="96"/>
      <c r="AD264" s="96"/>
      <c r="AE264" s="96"/>
      <c r="AF264" s="96"/>
      <c r="AG264" s="96"/>
      <c r="AK264" s="96"/>
      <c r="AL264" s="96"/>
      <c r="AM264" s="96"/>
      <c r="AN264" s="96"/>
      <c r="AO264" s="96"/>
      <c r="AP264" s="96"/>
      <c r="AQ264" s="96"/>
      <c r="AR264" s="96"/>
      <c r="AS264" s="96"/>
    </row>
    <row r="265" spans="18:45" hidden="1">
      <c r="R265" s="96"/>
      <c r="S265" s="96"/>
      <c r="T265" s="96"/>
      <c r="U265" s="96"/>
      <c r="V265" s="96"/>
      <c r="W265" s="96"/>
      <c r="X265" s="96"/>
      <c r="Y265" s="96"/>
      <c r="Z265" s="96"/>
      <c r="AA265" s="96"/>
      <c r="AB265" s="96"/>
      <c r="AD265" s="96"/>
      <c r="AE265" s="96"/>
      <c r="AF265" s="96"/>
      <c r="AG265" s="96"/>
      <c r="AK265" s="96"/>
      <c r="AL265" s="96"/>
      <c r="AM265" s="96"/>
      <c r="AN265" s="96"/>
      <c r="AO265" s="96"/>
      <c r="AP265" s="96"/>
      <c r="AQ265" s="96"/>
      <c r="AR265" s="96"/>
      <c r="AS265" s="96"/>
    </row>
    <row r="266" spans="18:45" hidden="1">
      <c r="R266" s="96"/>
      <c r="S266" s="96"/>
      <c r="T266" s="96"/>
      <c r="U266" s="96"/>
      <c r="V266" s="96"/>
      <c r="W266" s="96"/>
      <c r="X266" s="96"/>
      <c r="Y266" s="96"/>
      <c r="Z266" s="96"/>
      <c r="AA266" s="96"/>
      <c r="AB266" s="96"/>
      <c r="AD266" s="96"/>
      <c r="AE266" s="96"/>
      <c r="AF266" s="96"/>
      <c r="AG266" s="96"/>
      <c r="AK266" s="96"/>
      <c r="AL266" s="96"/>
      <c r="AM266" s="96"/>
      <c r="AN266" s="96"/>
      <c r="AO266" s="96"/>
      <c r="AP266" s="96"/>
      <c r="AQ266" s="96"/>
      <c r="AR266" s="96"/>
      <c r="AS266" s="96"/>
    </row>
    <row r="267" spans="18:45" hidden="1">
      <c r="R267" s="96"/>
      <c r="S267" s="96"/>
      <c r="T267" s="96"/>
      <c r="U267" s="96"/>
      <c r="V267" s="96"/>
      <c r="W267" s="96"/>
      <c r="X267" s="96"/>
      <c r="Y267" s="96"/>
      <c r="Z267" s="96"/>
      <c r="AA267" s="96"/>
      <c r="AB267" s="96"/>
      <c r="AD267" s="96"/>
      <c r="AE267" s="96"/>
      <c r="AF267" s="96"/>
      <c r="AG267" s="96"/>
      <c r="AK267" s="96"/>
      <c r="AL267" s="96"/>
      <c r="AM267" s="96"/>
      <c r="AN267" s="96"/>
      <c r="AO267" s="96"/>
      <c r="AP267" s="96"/>
      <c r="AQ267" s="96"/>
      <c r="AR267" s="96"/>
      <c r="AS267" s="96"/>
    </row>
    <row r="268" spans="18:45" hidden="1">
      <c r="R268" s="96"/>
      <c r="S268" s="96"/>
      <c r="T268" s="96"/>
      <c r="U268" s="96"/>
      <c r="V268" s="96"/>
      <c r="W268" s="96"/>
      <c r="X268" s="96"/>
      <c r="Y268" s="96"/>
      <c r="Z268" s="96"/>
      <c r="AA268" s="96"/>
      <c r="AB268" s="96"/>
      <c r="AD268" s="96"/>
      <c r="AE268" s="96"/>
      <c r="AF268" s="96"/>
      <c r="AG268" s="96"/>
      <c r="AK268" s="96"/>
      <c r="AL268" s="96"/>
      <c r="AM268" s="96"/>
      <c r="AN268" s="96"/>
      <c r="AO268" s="96"/>
      <c r="AP268" s="96"/>
      <c r="AQ268" s="96"/>
      <c r="AR268" s="96"/>
      <c r="AS268" s="96"/>
    </row>
    <row r="269" spans="18:45" hidden="1">
      <c r="R269" s="96"/>
      <c r="S269" s="96"/>
      <c r="T269" s="96"/>
      <c r="U269" s="96"/>
      <c r="V269" s="96"/>
      <c r="W269" s="96"/>
      <c r="X269" s="96"/>
      <c r="Y269" s="96"/>
      <c r="Z269" s="96"/>
      <c r="AA269" s="96"/>
      <c r="AB269" s="96"/>
      <c r="AD269" s="96"/>
      <c r="AE269" s="96"/>
      <c r="AF269" s="96"/>
      <c r="AG269" s="96"/>
      <c r="AK269" s="96"/>
      <c r="AL269" s="96"/>
      <c r="AM269" s="96"/>
      <c r="AN269" s="96"/>
      <c r="AO269" s="96"/>
      <c r="AP269" s="96"/>
      <c r="AQ269" s="96"/>
      <c r="AR269" s="96"/>
      <c r="AS269" s="96"/>
    </row>
    <row r="270" spans="18:45" hidden="1">
      <c r="R270" s="96"/>
      <c r="S270" s="96"/>
      <c r="T270" s="96"/>
      <c r="U270" s="96"/>
      <c r="V270" s="96"/>
      <c r="W270" s="96"/>
      <c r="X270" s="96"/>
      <c r="Y270" s="96"/>
      <c r="Z270" s="96"/>
      <c r="AA270" s="96"/>
      <c r="AB270" s="96"/>
      <c r="AD270" s="96"/>
      <c r="AE270" s="96"/>
      <c r="AF270" s="96"/>
      <c r="AG270" s="96"/>
      <c r="AK270" s="96"/>
      <c r="AL270" s="96"/>
      <c r="AM270" s="96"/>
      <c r="AN270" s="96"/>
      <c r="AO270" s="96"/>
      <c r="AP270" s="96"/>
      <c r="AQ270" s="96"/>
      <c r="AR270" s="96"/>
      <c r="AS270" s="96"/>
    </row>
    <row r="271" spans="18:45" hidden="1">
      <c r="R271" s="96"/>
      <c r="S271" s="96"/>
      <c r="T271" s="96"/>
      <c r="U271" s="96"/>
      <c r="V271" s="96"/>
      <c r="W271" s="96"/>
      <c r="X271" s="96"/>
      <c r="Y271" s="96"/>
      <c r="Z271" s="96"/>
      <c r="AA271" s="96"/>
      <c r="AB271" s="96"/>
      <c r="AD271" s="96"/>
      <c r="AE271" s="96"/>
      <c r="AF271" s="96"/>
      <c r="AG271" s="96"/>
      <c r="AK271" s="96"/>
      <c r="AL271" s="96"/>
      <c r="AM271" s="96"/>
      <c r="AN271" s="96"/>
      <c r="AO271" s="96"/>
      <c r="AP271" s="96"/>
      <c r="AQ271" s="96"/>
      <c r="AR271" s="96"/>
      <c r="AS271" s="96"/>
    </row>
    <row r="272" spans="18:45" hidden="1">
      <c r="R272" s="96"/>
      <c r="S272" s="96"/>
      <c r="T272" s="96"/>
      <c r="U272" s="96"/>
      <c r="V272" s="96"/>
      <c r="W272" s="96"/>
      <c r="X272" s="96"/>
      <c r="Y272" s="96"/>
      <c r="Z272" s="96"/>
      <c r="AA272" s="96"/>
      <c r="AB272" s="96"/>
      <c r="AD272" s="96"/>
      <c r="AE272" s="96"/>
      <c r="AF272" s="96"/>
      <c r="AG272" s="96"/>
      <c r="AK272" s="96"/>
      <c r="AL272" s="96"/>
      <c r="AM272" s="96"/>
      <c r="AN272" s="96"/>
      <c r="AO272" s="96"/>
      <c r="AP272" s="96"/>
      <c r="AQ272" s="96"/>
      <c r="AR272" s="96"/>
      <c r="AS272" s="96"/>
    </row>
    <row r="273" spans="18:45" hidden="1">
      <c r="R273" s="96"/>
      <c r="S273" s="96"/>
      <c r="T273" s="96"/>
      <c r="U273" s="96"/>
      <c r="V273" s="96"/>
      <c r="W273" s="96"/>
      <c r="X273" s="96"/>
      <c r="Y273" s="96"/>
      <c r="Z273" s="96"/>
      <c r="AA273" s="96"/>
      <c r="AB273" s="96"/>
      <c r="AD273" s="96"/>
      <c r="AE273" s="96"/>
      <c r="AF273" s="96"/>
      <c r="AG273" s="96"/>
      <c r="AK273" s="96"/>
      <c r="AL273" s="96"/>
      <c r="AM273" s="96"/>
      <c r="AN273" s="96"/>
      <c r="AO273" s="96"/>
      <c r="AP273" s="96"/>
      <c r="AQ273" s="96"/>
      <c r="AR273" s="96"/>
      <c r="AS273" s="96"/>
    </row>
    <row r="274" spans="18:45" hidden="1">
      <c r="R274" s="96"/>
      <c r="S274" s="96"/>
      <c r="T274" s="96"/>
      <c r="U274" s="96"/>
      <c r="V274" s="96"/>
      <c r="W274" s="96"/>
      <c r="X274" s="96"/>
      <c r="Y274" s="96"/>
      <c r="Z274" s="96"/>
      <c r="AA274" s="96"/>
      <c r="AB274" s="96"/>
      <c r="AD274" s="96"/>
      <c r="AE274" s="96"/>
      <c r="AF274" s="96"/>
      <c r="AG274" s="96"/>
      <c r="AK274" s="96"/>
      <c r="AL274" s="96"/>
      <c r="AM274" s="96"/>
      <c r="AN274" s="96"/>
      <c r="AO274" s="96"/>
      <c r="AP274" s="96"/>
      <c r="AQ274" s="96"/>
      <c r="AR274" s="96"/>
      <c r="AS274" s="96"/>
    </row>
    <row r="275" spans="18:45" hidden="1">
      <c r="R275" s="96"/>
      <c r="S275" s="96"/>
      <c r="T275" s="96"/>
      <c r="U275" s="96"/>
      <c r="V275" s="96"/>
      <c r="W275" s="96"/>
      <c r="X275" s="96"/>
      <c r="Y275" s="96"/>
      <c r="Z275" s="96"/>
      <c r="AA275" s="96"/>
      <c r="AB275" s="96"/>
      <c r="AD275" s="96"/>
      <c r="AE275" s="96"/>
      <c r="AF275" s="96"/>
      <c r="AG275" s="96"/>
      <c r="AK275" s="96"/>
      <c r="AL275" s="96"/>
      <c r="AM275" s="96"/>
      <c r="AN275" s="96"/>
      <c r="AO275" s="96"/>
      <c r="AP275" s="96"/>
      <c r="AQ275" s="96"/>
      <c r="AR275" s="96"/>
      <c r="AS275" s="96"/>
    </row>
    <row r="276" spans="18:45" hidden="1">
      <c r="R276" s="96"/>
      <c r="S276" s="96"/>
      <c r="T276" s="96"/>
      <c r="U276" s="96"/>
      <c r="V276" s="96"/>
      <c r="W276" s="96"/>
      <c r="X276" s="96"/>
      <c r="Y276" s="96"/>
      <c r="Z276" s="96"/>
      <c r="AA276" s="96"/>
      <c r="AB276" s="96"/>
      <c r="AD276" s="96"/>
      <c r="AE276" s="96"/>
      <c r="AF276" s="96"/>
      <c r="AG276" s="96"/>
      <c r="AK276" s="96"/>
      <c r="AL276" s="96"/>
      <c r="AM276" s="96"/>
      <c r="AN276" s="96"/>
      <c r="AO276" s="96"/>
      <c r="AP276" s="96"/>
      <c r="AQ276" s="96"/>
      <c r="AR276" s="96"/>
      <c r="AS276" s="96"/>
    </row>
    <row r="277" spans="18:45" hidden="1">
      <c r="R277" s="96"/>
      <c r="S277" s="96"/>
      <c r="T277" s="96"/>
      <c r="U277" s="96"/>
      <c r="V277" s="96"/>
      <c r="W277" s="96"/>
      <c r="X277" s="96"/>
      <c r="Y277" s="96"/>
      <c r="Z277" s="96"/>
      <c r="AA277" s="96"/>
      <c r="AB277" s="96"/>
      <c r="AD277" s="96"/>
      <c r="AE277" s="96"/>
      <c r="AF277" s="96"/>
      <c r="AG277" s="96"/>
      <c r="AK277" s="96"/>
      <c r="AL277" s="96"/>
      <c r="AM277" s="96"/>
      <c r="AN277" s="96"/>
      <c r="AO277" s="96"/>
      <c r="AP277" s="96"/>
      <c r="AQ277" s="96"/>
      <c r="AR277" s="96"/>
      <c r="AS277" s="96"/>
    </row>
    <row r="278" spans="18:45" hidden="1">
      <c r="R278" s="96"/>
      <c r="S278" s="96"/>
      <c r="T278" s="96"/>
      <c r="U278" s="96"/>
      <c r="V278" s="96"/>
      <c r="W278" s="96"/>
      <c r="X278" s="96"/>
      <c r="Y278" s="96"/>
      <c r="Z278" s="96"/>
      <c r="AA278" s="96"/>
      <c r="AB278" s="96"/>
      <c r="AD278" s="96"/>
      <c r="AE278" s="96"/>
      <c r="AF278" s="96"/>
      <c r="AG278" s="96"/>
      <c r="AK278" s="96"/>
      <c r="AL278" s="96"/>
      <c r="AM278" s="96"/>
      <c r="AN278" s="96"/>
      <c r="AO278" s="96"/>
      <c r="AP278" s="96"/>
      <c r="AQ278" s="96"/>
      <c r="AR278" s="96"/>
      <c r="AS278" s="96"/>
    </row>
    <row r="279" spans="18:45" hidden="1">
      <c r="R279" s="96"/>
      <c r="S279" s="96"/>
      <c r="T279" s="96"/>
      <c r="U279" s="96"/>
      <c r="V279" s="96"/>
      <c r="W279" s="96"/>
      <c r="X279" s="96"/>
      <c r="Y279" s="96"/>
      <c r="Z279" s="96"/>
      <c r="AA279" s="96"/>
      <c r="AB279" s="96"/>
      <c r="AD279" s="96"/>
      <c r="AE279" s="96"/>
      <c r="AF279" s="96"/>
      <c r="AG279" s="96"/>
      <c r="AK279" s="96"/>
      <c r="AL279" s="96"/>
      <c r="AM279" s="96"/>
      <c r="AN279" s="96"/>
      <c r="AO279" s="96"/>
      <c r="AP279" s="96"/>
      <c r="AQ279" s="96"/>
      <c r="AR279" s="96"/>
      <c r="AS279" s="96"/>
    </row>
    <row r="280" spans="18:45" hidden="1">
      <c r="R280" s="96"/>
      <c r="S280" s="96"/>
      <c r="T280" s="96"/>
      <c r="U280" s="96"/>
      <c r="V280" s="96"/>
      <c r="W280" s="96"/>
      <c r="X280" s="96"/>
      <c r="Y280" s="96"/>
      <c r="Z280" s="96"/>
      <c r="AA280" s="96"/>
      <c r="AB280" s="96"/>
      <c r="AD280" s="96"/>
      <c r="AE280" s="96"/>
      <c r="AF280" s="96"/>
      <c r="AG280" s="96"/>
      <c r="AK280" s="96"/>
      <c r="AL280" s="96"/>
      <c r="AM280" s="96"/>
      <c r="AN280" s="96"/>
      <c r="AO280" s="96"/>
      <c r="AP280" s="96"/>
      <c r="AQ280" s="96"/>
      <c r="AR280" s="96"/>
      <c r="AS280" s="96"/>
    </row>
    <row r="281" spans="18:45" hidden="1">
      <c r="R281" s="96"/>
      <c r="S281" s="96"/>
      <c r="T281" s="96"/>
      <c r="U281" s="96"/>
      <c r="V281" s="96"/>
      <c r="W281" s="96"/>
      <c r="X281" s="96"/>
      <c r="Y281" s="96"/>
      <c r="Z281" s="96"/>
      <c r="AA281" s="96"/>
      <c r="AB281" s="96"/>
      <c r="AD281" s="96"/>
      <c r="AE281" s="96"/>
      <c r="AF281" s="96"/>
      <c r="AG281" s="96"/>
      <c r="AK281" s="96"/>
      <c r="AL281" s="96"/>
      <c r="AM281" s="96"/>
      <c r="AN281" s="96"/>
      <c r="AO281" s="96"/>
      <c r="AP281" s="96"/>
      <c r="AQ281" s="96"/>
      <c r="AR281" s="96"/>
      <c r="AS281" s="96"/>
    </row>
    <row r="282" spans="18:45" hidden="1">
      <c r="R282" s="96"/>
      <c r="S282" s="96"/>
      <c r="T282" s="96"/>
      <c r="U282" s="96"/>
      <c r="V282" s="96"/>
      <c r="W282" s="96"/>
      <c r="X282" s="96"/>
      <c r="Y282" s="96"/>
      <c r="Z282" s="96"/>
      <c r="AA282" s="96"/>
      <c r="AB282" s="96"/>
      <c r="AD282" s="96"/>
      <c r="AE282" s="96"/>
      <c r="AF282" s="96"/>
      <c r="AG282" s="96"/>
      <c r="AK282" s="96"/>
      <c r="AL282" s="96"/>
      <c r="AM282" s="96"/>
      <c r="AN282" s="96"/>
      <c r="AO282" s="96"/>
      <c r="AP282" s="96"/>
      <c r="AQ282" s="96"/>
      <c r="AR282" s="96"/>
      <c r="AS282" s="96"/>
    </row>
    <row r="283" spans="18:45" hidden="1">
      <c r="R283" s="96"/>
      <c r="S283" s="96"/>
      <c r="T283" s="96"/>
      <c r="U283" s="96"/>
      <c r="V283" s="96"/>
      <c r="W283" s="96"/>
      <c r="X283" s="96"/>
      <c r="Y283" s="96"/>
      <c r="Z283" s="96"/>
      <c r="AA283" s="96"/>
      <c r="AB283" s="96"/>
      <c r="AD283" s="96"/>
      <c r="AE283" s="96"/>
      <c r="AF283" s="96"/>
      <c r="AG283" s="96"/>
      <c r="AK283" s="96"/>
      <c r="AL283" s="96"/>
      <c r="AM283" s="96"/>
      <c r="AN283" s="96"/>
      <c r="AO283" s="96"/>
      <c r="AP283" s="96"/>
      <c r="AQ283" s="96"/>
      <c r="AR283" s="96"/>
      <c r="AS283" s="96"/>
    </row>
    <row r="284" spans="18:45" hidden="1">
      <c r="R284" s="96"/>
      <c r="S284" s="96"/>
      <c r="T284" s="96"/>
      <c r="U284" s="96"/>
      <c r="V284" s="96"/>
      <c r="W284" s="96"/>
      <c r="X284" s="96"/>
      <c r="Y284" s="96"/>
      <c r="Z284" s="96"/>
      <c r="AA284" s="96"/>
      <c r="AB284" s="96"/>
      <c r="AD284" s="96"/>
      <c r="AE284" s="96"/>
      <c r="AF284" s="96"/>
      <c r="AG284" s="96"/>
      <c r="AK284" s="96"/>
      <c r="AL284" s="96"/>
      <c r="AM284" s="96"/>
      <c r="AN284" s="96"/>
      <c r="AO284" s="96"/>
      <c r="AP284" s="96"/>
      <c r="AQ284" s="96"/>
      <c r="AR284" s="96"/>
      <c r="AS284" s="96"/>
    </row>
    <row r="285" spans="18:45" hidden="1">
      <c r="R285" s="96"/>
      <c r="S285" s="96"/>
      <c r="T285" s="96"/>
      <c r="U285" s="96"/>
      <c r="V285" s="96"/>
      <c r="W285" s="96"/>
      <c r="X285" s="96"/>
      <c r="Y285" s="96"/>
      <c r="Z285" s="96"/>
      <c r="AA285" s="96"/>
      <c r="AB285" s="96"/>
      <c r="AD285" s="96"/>
      <c r="AE285" s="96"/>
      <c r="AF285" s="96"/>
      <c r="AG285" s="96"/>
      <c r="AK285" s="96"/>
      <c r="AL285" s="96"/>
      <c r="AM285" s="96"/>
      <c r="AN285" s="96"/>
      <c r="AO285" s="96"/>
      <c r="AP285" s="96"/>
      <c r="AQ285" s="96"/>
      <c r="AR285" s="96"/>
      <c r="AS285" s="96"/>
    </row>
    <row r="286" spans="18:45" hidden="1">
      <c r="R286" s="96"/>
      <c r="S286" s="96"/>
      <c r="T286" s="96"/>
      <c r="U286" s="96"/>
      <c r="V286" s="96"/>
      <c r="W286" s="96"/>
      <c r="X286" s="96"/>
      <c r="Y286" s="96"/>
      <c r="Z286" s="96"/>
      <c r="AA286" s="96"/>
      <c r="AB286" s="96"/>
      <c r="AD286" s="96"/>
      <c r="AE286" s="96"/>
      <c r="AF286" s="96"/>
      <c r="AG286" s="96"/>
      <c r="AK286" s="96"/>
      <c r="AL286" s="96"/>
      <c r="AM286" s="96"/>
      <c r="AN286" s="96"/>
      <c r="AO286" s="96"/>
      <c r="AP286" s="96"/>
      <c r="AQ286" s="96"/>
      <c r="AR286" s="96"/>
      <c r="AS286" s="96"/>
    </row>
    <row r="287" spans="18:45" hidden="1">
      <c r="R287" s="96"/>
      <c r="S287" s="96"/>
      <c r="T287" s="96"/>
      <c r="U287" s="96"/>
      <c r="V287" s="96"/>
      <c r="W287" s="96"/>
      <c r="X287" s="96"/>
      <c r="Y287" s="96"/>
      <c r="Z287" s="96"/>
      <c r="AA287" s="96"/>
      <c r="AB287" s="96"/>
      <c r="AD287" s="96"/>
      <c r="AE287" s="96"/>
      <c r="AF287" s="96"/>
      <c r="AG287" s="96"/>
      <c r="AK287" s="96"/>
      <c r="AL287" s="96"/>
      <c r="AM287" s="96"/>
      <c r="AN287" s="96"/>
      <c r="AO287" s="96"/>
      <c r="AP287" s="96"/>
      <c r="AQ287" s="96"/>
      <c r="AR287" s="96"/>
      <c r="AS287" s="96"/>
    </row>
    <row r="288" spans="18:45" hidden="1">
      <c r="R288" s="96"/>
      <c r="S288" s="96"/>
      <c r="T288" s="96"/>
      <c r="U288" s="96"/>
      <c r="V288" s="96"/>
      <c r="W288" s="96"/>
      <c r="X288" s="96"/>
      <c r="Y288" s="96"/>
      <c r="Z288" s="96"/>
      <c r="AA288" s="96"/>
      <c r="AB288" s="96"/>
      <c r="AD288" s="96"/>
      <c r="AE288" s="96"/>
      <c r="AF288" s="96"/>
      <c r="AG288" s="96"/>
      <c r="AK288" s="96"/>
      <c r="AL288" s="96"/>
      <c r="AM288" s="96"/>
      <c r="AN288" s="96"/>
      <c r="AO288" s="96"/>
      <c r="AP288" s="96"/>
      <c r="AQ288" s="96"/>
      <c r="AR288" s="96"/>
      <c r="AS288" s="96"/>
    </row>
    <row r="289" spans="18:45" hidden="1">
      <c r="R289" s="96"/>
      <c r="S289" s="96"/>
      <c r="T289" s="96"/>
      <c r="U289" s="96"/>
      <c r="V289" s="96"/>
      <c r="W289" s="96"/>
      <c r="X289" s="96"/>
      <c r="Y289" s="96"/>
      <c r="Z289" s="96"/>
      <c r="AA289" s="96"/>
      <c r="AB289" s="96"/>
      <c r="AD289" s="96"/>
      <c r="AE289" s="96"/>
      <c r="AF289" s="96"/>
      <c r="AG289" s="96"/>
      <c r="AK289" s="96"/>
      <c r="AL289" s="96"/>
      <c r="AM289" s="96"/>
      <c r="AN289" s="96"/>
      <c r="AO289" s="96"/>
      <c r="AP289" s="96"/>
      <c r="AQ289" s="96"/>
      <c r="AR289" s="96"/>
      <c r="AS289" s="96"/>
    </row>
    <row r="290" spans="18:45" hidden="1">
      <c r="R290" s="96"/>
      <c r="S290" s="96"/>
      <c r="T290" s="96"/>
      <c r="U290" s="96"/>
      <c r="V290" s="96"/>
      <c r="W290" s="96"/>
      <c r="X290" s="96"/>
      <c r="Y290" s="96"/>
      <c r="Z290" s="96"/>
      <c r="AA290" s="96"/>
      <c r="AB290" s="96"/>
      <c r="AD290" s="96"/>
      <c r="AE290" s="96"/>
      <c r="AF290" s="96"/>
      <c r="AG290" s="96"/>
      <c r="AK290" s="96"/>
      <c r="AL290" s="96"/>
      <c r="AM290" s="96"/>
      <c r="AN290" s="96"/>
      <c r="AO290" s="96"/>
      <c r="AP290" s="96"/>
      <c r="AQ290" s="96"/>
      <c r="AR290" s="96"/>
      <c r="AS290" s="96"/>
    </row>
    <row r="291" spans="18:45" hidden="1">
      <c r="R291" s="96"/>
      <c r="S291" s="96"/>
      <c r="T291" s="96"/>
      <c r="U291" s="96"/>
      <c r="V291" s="96"/>
      <c r="W291" s="96"/>
      <c r="X291" s="96"/>
      <c r="Y291" s="96"/>
      <c r="Z291" s="96"/>
      <c r="AA291" s="96"/>
      <c r="AB291" s="96"/>
      <c r="AD291" s="96"/>
      <c r="AE291" s="96"/>
      <c r="AF291" s="96"/>
      <c r="AG291" s="96"/>
      <c r="AK291" s="96"/>
      <c r="AL291" s="96"/>
      <c r="AM291" s="96"/>
      <c r="AN291" s="96"/>
      <c r="AO291" s="96"/>
      <c r="AP291" s="96"/>
      <c r="AQ291" s="96"/>
      <c r="AR291" s="96"/>
      <c r="AS291" s="96"/>
    </row>
    <row r="292" spans="18:45" hidden="1">
      <c r="R292" s="96"/>
      <c r="S292" s="96"/>
      <c r="T292" s="96"/>
      <c r="U292" s="96"/>
      <c r="V292" s="96"/>
      <c r="W292" s="96"/>
      <c r="X292" s="96"/>
      <c r="Y292" s="96"/>
      <c r="Z292" s="96"/>
      <c r="AA292" s="96"/>
      <c r="AB292" s="96"/>
      <c r="AD292" s="96"/>
      <c r="AE292" s="96"/>
      <c r="AF292" s="96"/>
      <c r="AG292" s="96"/>
      <c r="AK292" s="96"/>
      <c r="AL292" s="96"/>
      <c r="AM292" s="96"/>
      <c r="AN292" s="96"/>
      <c r="AO292" s="96"/>
      <c r="AP292" s="96"/>
      <c r="AQ292" s="96"/>
      <c r="AR292" s="96"/>
      <c r="AS292" s="96"/>
    </row>
    <row r="293" spans="18:45" hidden="1">
      <c r="R293" s="96"/>
      <c r="S293" s="96"/>
      <c r="T293" s="96"/>
      <c r="U293" s="96"/>
      <c r="V293" s="96"/>
      <c r="W293" s="96"/>
      <c r="X293" s="96"/>
      <c r="Y293" s="96"/>
      <c r="Z293" s="96"/>
      <c r="AA293" s="96"/>
      <c r="AB293" s="96"/>
      <c r="AD293" s="96"/>
      <c r="AE293" s="96"/>
      <c r="AF293" s="96"/>
      <c r="AG293" s="96"/>
      <c r="AK293" s="96"/>
      <c r="AL293" s="96"/>
      <c r="AM293" s="96"/>
      <c r="AN293" s="96"/>
      <c r="AO293" s="96"/>
      <c r="AP293" s="96"/>
      <c r="AQ293" s="96"/>
      <c r="AR293" s="96"/>
      <c r="AS293" s="96"/>
    </row>
    <row r="294" spans="18:45" hidden="1">
      <c r="R294" s="96"/>
      <c r="S294" s="96"/>
      <c r="T294" s="96"/>
      <c r="U294" s="96"/>
      <c r="V294" s="96"/>
      <c r="W294" s="96"/>
      <c r="X294" s="96"/>
      <c r="Y294" s="96"/>
      <c r="Z294" s="96"/>
      <c r="AA294" s="96"/>
      <c r="AB294" s="96"/>
      <c r="AD294" s="96"/>
      <c r="AE294" s="96"/>
      <c r="AF294" s="96"/>
      <c r="AG294" s="96"/>
      <c r="AK294" s="96"/>
      <c r="AL294" s="96"/>
      <c r="AM294" s="96"/>
      <c r="AN294" s="96"/>
      <c r="AO294" s="96"/>
      <c r="AP294" s="96"/>
      <c r="AQ294" s="96"/>
      <c r="AR294" s="96"/>
      <c r="AS294" s="96"/>
    </row>
    <row r="295" spans="18:45" hidden="1">
      <c r="R295" s="96"/>
      <c r="S295" s="96"/>
      <c r="T295" s="96"/>
      <c r="U295" s="96"/>
      <c r="V295" s="96"/>
      <c r="W295" s="96"/>
      <c r="X295" s="96"/>
      <c r="Y295" s="96"/>
      <c r="Z295" s="96"/>
      <c r="AA295" s="96"/>
      <c r="AB295" s="96"/>
      <c r="AD295" s="96"/>
      <c r="AE295" s="96"/>
      <c r="AF295" s="96"/>
      <c r="AG295" s="96"/>
      <c r="AK295" s="96"/>
      <c r="AL295" s="96"/>
      <c r="AM295" s="96"/>
      <c r="AN295" s="96"/>
      <c r="AO295" s="96"/>
      <c r="AP295" s="96"/>
      <c r="AQ295" s="96"/>
      <c r="AR295" s="96"/>
      <c r="AS295" s="96"/>
    </row>
    <row r="296" spans="18:45" hidden="1">
      <c r="R296" s="96"/>
      <c r="S296" s="96"/>
      <c r="T296" s="96"/>
      <c r="U296" s="96"/>
      <c r="V296" s="96"/>
      <c r="W296" s="96"/>
      <c r="X296" s="96"/>
      <c r="Y296" s="96"/>
      <c r="Z296" s="96"/>
      <c r="AA296" s="96"/>
      <c r="AB296" s="96"/>
      <c r="AD296" s="96"/>
      <c r="AE296" s="96"/>
      <c r="AF296" s="96"/>
      <c r="AG296" s="96"/>
      <c r="AK296" s="96"/>
      <c r="AL296" s="96"/>
      <c r="AM296" s="96"/>
      <c r="AN296" s="96"/>
      <c r="AO296" s="96"/>
      <c r="AP296" s="96"/>
      <c r="AQ296" s="96"/>
      <c r="AR296" s="96"/>
      <c r="AS296" s="96"/>
    </row>
    <row r="297" spans="18:45" hidden="1">
      <c r="R297" s="96"/>
      <c r="S297" s="96"/>
      <c r="T297" s="96"/>
      <c r="U297" s="96"/>
      <c r="V297" s="96"/>
      <c r="W297" s="96"/>
      <c r="X297" s="96"/>
      <c r="Y297" s="96"/>
      <c r="Z297" s="96"/>
      <c r="AA297" s="96"/>
      <c r="AB297" s="96"/>
      <c r="AD297" s="96"/>
      <c r="AE297" s="96"/>
      <c r="AF297" s="96"/>
      <c r="AG297" s="96"/>
      <c r="AK297" s="96"/>
      <c r="AL297" s="96"/>
      <c r="AM297" s="96"/>
      <c r="AN297" s="96"/>
      <c r="AO297" s="96"/>
      <c r="AP297" s="96"/>
      <c r="AQ297" s="96"/>
      <c r="AR297" s="96"/>
      <c r="AS297" s="96"/>
    </row>
    <row r="298" spans="18:45" hidden="1">
      <c r="R298" s="96"/>
      <c r="S298" s="96"/>
      <c r="T298" s="96"/>
      <c r="U298" s="96"/>
      <c r="V298" s="96"/>
      <c r="W298" s="96"/>
      <c r="X298" s="96"/>
      <c r="Y298" s="96"/>
      <c r="Z298" s="96"/>
      <c r="AA298" s="96"/>
      <c r="AB298" s="96"/>
      <c r="AD298" s="96"/>
      <c r="AE298" s="96"/>
      <c r="AF298" s="96"/>
      <c r="AG298" s="96"/>
      <c r="AK298" s="96"/>
      <c r="AL298" s="96"/>
      <c r="AM298" s="96"/>
      <c r="AN298" s="96"/>
      <c r="AO298" s="96"/>
      <c r="AP298" s="96"/>
      <c r="AQ298" s="96"/>
      <c r="AR298" s="96"/>
      <c r="AS298" s="96"/>
    </row>
    <row r="299" spans="18:45" hidden="1">
      <c r="R299" s="96"/>
      <c r="S299" s="96"/>
      <c r="T299" s="96"/>
      <c r="U299" s="96"/>
      <c r="V299" s="96"/>
      <c r="W299" s="96"/>
      <c r="X299" s="96"/>
      <c r="Y299" s="96"/>
      <c r="Z299" s="96"/>
      <c r="AA299" s="96"/>
      <c r="AB299" s="96"/>
      <c r="AD299" s="96"/>
      <c r="AE299" s="96"/>
      <c r="AF299" s="96"/>
      <c r="AG299" s="96"/>
      <c r="AK299" s="96"/>
      <c r="AL299" s="96"/>
      <c r="AM299" s="96"/>
      <c r="AN299" s="96"/>
      <c r="AO299" s="96"/>
      <c r="AP299" s="96"/>
      <c r="AQ299" s="96"/>
      <c r="AR299" s="96"/>
      <c r="AS299" s="96"/>
    </row>
    <row r="300" spans="18:45" hidden="1">
      <c r="R300" s="96"/>
      <c r="S300" s="96"/>
      <c r="T300" s="96"/>
      <c r="U300" s="96"/>
      <c r="V300" s="96"/>
      <c r="W300" s="96"/>
      <c r="X300" s="96"/>
      <c r="Y300" s="96"/>
      <c r="Z300" s="96"/>
      <c r="AA300" s="96"/>
      <c r="AB300" s="96"/>
      <c r="AD300" s="96"/>
      <c r="AE300" s="96"/>
      <c r="AF300" s="96"/>
      <c r="AG300" s="96"/>
      <c r="AK300" s="96"/>
      <c r="AL300" s="96"/>
      <c r="AM300" s="96"/>
      <c r="AN300" s="96"/>
      <c r="AO300" s="96"/>
      <c r="AP300" s="96"/>
      <c r="AQ300" s="96"/>
      <c r="AR300" s="96"/>
      <c r="AS300" s="96"/>
    </row>
    <row r="301" spans="18:45" hidden="1">
      <c r="R301" s="96"/>
      <c r="S301" s="96"/>
      <c r="T301" s="96"/>
      <c r="U301" s="96"/>
      <c r="V301" s="96"/>
      <c r="W301" s="96"/>
      <c r="X301" s="96"/>
      <c r="Y301" s="96"/>
      <c r="Z301" s="96"/>
      <c r="AA301" s="96"/>
      <c r="AB301" s="96"/>
      <c r="AD301" s="96"/>
      <c r="AE301" s="96"/>
      <c r="AF301" s="96"/>
      <c r="AG301" s="96"/>
      <c r="AK301" s="96"/>
      <c r="AL301" s="96"/>
      <c r="AM301" s="96"/>
      <c r="AN301" s="96"/>
      <c r="AO301" s="96"/>
      <c r="AP301" s="96"/>
      <c r="AQ301" s="96"/>
      <c r="AR301" s="96"/>
      <c r="AS301" s="96"/>
    </row>
    <row r="302" spans="18:45" hidden="1">
      <c r="R302" s="96"/>
      <c r="S302" s="96"/>
      <c r="T302" s="96"/>
      <c r="U302" s="96"/>
      <c r="V302" s="96"/>
      <c r="W302" s="96"/>
      <c r="X302" s="96"/>
      <c r="Y302" s="96"/>
      <c r="Z302" s="96"/>
      <c r="AA302" s="96"/>
      <c r="AB302" s="96"/>
      <c r="AD302" s="96"/>
      <c r="AE302" s="96"/>
      <c r="AF302" s="96"/>
      <c r="AG302" s="96"/>
      <c r="AK302" s="96"/>
      <c r="AL302" s="96"/>
      <c r="AM302" s="96"/>
      <c r="AN302" s="96"/>
      <c r="AO302" s="96"/>
      <c r="AP302" s="96"/>
      <c r="AQ302" s="96"/>
      <c r="AR302" s="96"/>
      <c r="AS302" s="96"/>
    </row>
    <row r="303" spans="18:45" hidden="1">
      <c r="R303" s="96"/>
      <c r="S303" s="96"/>
      <c r="T303" s="96"/>
      <c r="U303" s="96"/>
      <c r="V303" s="96"/>
      <c r="W303" s="96"/>
      <c r="X303" s="96"/>
      <c r="Y303" s="96"/>
      <c r="Z303" s="96"/>
      <c r="AA303" s="96"/>
      <c r="AB303" s="96"/>
      <c r="AD303" s="96"/>
      <c r="AE303" s="96"/>
      <c r="AF303" s="96"/>
      <c r="AG303" s="96"/>
      <c r="AK303" s="96"/>
      <c r="AL303" s="96"/>
      <c r="AM303" s="96"/>
      <c r="AN303" s="96"/>
      <c r="AO303" s="96"/>
      <c r="AP303" s="96"/>
      <c r="AQ303" s="96"/>
      <c r="AR303" s="96"/>
      <c r="AS303" s="96"/>
    </row>
    <row r="304" spans="18:45" hidden="1">
      <c r="R304" s="96"/>
      <c r="S304" s="96"/>
      <c r="T304" s="96"/>
      <c r="U304" s="96"/>
      <c r="V304" s="96"/>
      <c r="W304" s="96"/>
      <c r="X304" s="96"/>
      <c r="Y304" s="96"/>
      <c r="Z304" s="96"/>
      <c r="AA304" s="96"/>
      <c r="AB304" s="96"/>
      <c r="AD304" s="96"/>
      <c r="AE304" s="96"/>
      <c r="AF304" s="96"/>
      <c r="AG304" s="96"/>
      <c r="AK304" s="96"/>
      <c r="AL304" s="96"/>
      <c r="AM304" s="96"/>
      <c r="AN304" s="96"/>
      <c r="AO304" s="96"/>
      <c r="AP304" s="96"/>
      <c r="AQ304" s="96"/>
      <c r="AR304" s="96"/>
      <c r="AS304" s="96"/>
    </row>
    <row r="305" spans="18:45" hidden="1">
      <c r="R305" s="96"/>
      <c r="S305" s="96"/>
      <c r="T305" s="96"/>
      <c r="U305" s="96"/>
      <c r="V305" s="96"/>
      <c r="W305" s="96"/>
      <c r="X305" s="96"/>
      <c r="Y305" s="96"/>
      <c r="Z305" s="96"/>
      <c r="AA305" s="96"/>
      <c r="AB305" s="96"/>
      <c r="AD305" s="96"/>
      <c r="AE305" s="96"/>
      <c r="AF305" s="96"/>
      <c r="AG305" s="96"/>
      <c r="AK305" s="96"/>
      <c r="AL305" s="96"/>
      <c r="AM305" s="96"/>
      <c r="AN305" s="96"/>
      <c r="AO305" s="96"/>
      <c r="AP305" s="96"/>
      <c r="AQ305" s="96"/>
      <c r="AR305" s="96"/>
      <c r="AS305" s="96"/>
    </row>
    <row r="306" spans="18:45" hidden="1">
      <c r="R306" s="96"/>
      <c r="S306" s="96"/>
      <c r="T306" s="96"/>
      <c r="U306" s="96"/>
      <c r="V306" s="96"/>
      <c r="W306" s="96"/>
      <c r="X306" s="96"/>
      <c r="Y306" s="96"/>
      <c r="Z306" s="96"/>
      <c r="AA306" s="96"/>
      <c r="AB306" s="96"/>
      <c r="AD306" s="96"/>
      <c r="AE306" s="96"/>
      <c r="AF306" s="96"/>
      <c r="AG306" s="96"/>
      <c r="AK306" s="96"/>
      <c r="AL306" s="96"/>
      <c r="AM306" s="96"/>
      <c r="AN306" s="96"/>
      <c r="AO306" s="96"/>
      <c r="AP306" s="96"/>
      <c r="AQ306" s="96"/>
      <c r="AR306" s="96"/>
      <c r="AS306" s="96"/>
    </row>
    <row r="307" spans="18:45" hidden="1">
      <c r="R307" s="96"/>
      <c r="S307" s="96"/>
      <c r="T307" s="96"/>
      <c r="U307" s="96"/>
      <c r="V307" s="96"/>
      <c r="W307" s="96"/>
      <c r="X307" s="96"/>
      <c r="Y307" s="96"/>
      <c r="Z307" s="96"/>
      <c r="AA307" s="96"/>
      <c r="AB307" s="96"/>
      <c r="AD307" s="96"/>
      <c r="AE307" s="96"/>
      <c r="AF307" s="96"/>
      <c r="AG307" s="96"/>
      <c r="AK307" s="96"/>
      <c r="AL307" s="96"/>
      <c r="AM307" s="96"/>
      <c r="AN307" s="96"/>
      <c r="AO307" s="96"/>
      <c r="AP307" s="96"/>
      <c r="AQ307" s="96"/>
      <c r="AR307" s="96"/>
      <c r="AS307" s="96"/>
    </row>
    <row r="308" spans="18:45" hidden="1">
      <c r="R308" s="96"/>
      <c r="S308" s="96"/>
      <c r="T308" s="96"/>
      <c r="U308" s="96"/>
      <c r="V308" s="96"/>
      <c r="W308" s="96"/>
      <c r="X308" s="96"/>
      <c r="Y308" s="96"/>
      <c r="Z308" s="96"/>
      <c r="AA308" s="96"/>
      <c r="AB308" s="96"/>
      <c r="AD308" s="96"/>
      <c r="AE308" s="96"/>
      <c r="AF308" s="96"/>
      <c r="AG308" s="96"/>
      <c r="AK308" s="96"/>
      <c r="AL308" s="96"/>
      <c r="AM308" s="96"/>
      <c r="AN308" s="96"/>
      <c r="AO308" s="96"/>
      <c r="AP308" s="96"/>
      <c r="AQ308" s="96"/>
      <c r="AR308" s="96"/>
      <c r="AS308" s="96"/>
    </row>
    <row r="309" spans="18:45" hidden="1">
      <c r="R309" s="96"/>
      <c r="S309" s="96"/>
      <c r="T309" s="96"/>
      <c r="U309" s="96"/>
      <c r="V309" s="96"/>
      <c r="W309" s="96"/>
      <c r="X309" s="96"/>
      <c r="Y309" s="96"/>
      <c r="Z309" s="96"/>
      <c r="AA309" s="96"/>
      <c r="AB309" s="96"/>
      <c r="AD309" s="96"/>
      <c r="AE309" s="96"/>
      <c r="AF309" s="96"/>
      <c r="AG309" s="96"/>
      <c r="AK309" s="96"/>
      <c r="AL309" s="96"/>
      <c r="AM309" s="96"/>
      <c r="AN309" s="96"/>
      <c r="AO309" s="96"/>
      <c r="AP309" s="96"/>
      <c r="AQ309" s="96"/>
      <c r="AR309" s="96"/>
      <c r="AS309" s="96"/>
    </row>
    <row r="310" spans="18:45" hidden="1">
      <c r="R310" s="96"/>
      <c r="S310" s="96"/>
      <c r="T310" s="96"/>
      <c r="U310" s="96"/>
      <c r="V310" s="96"/>
      <c r="W310" s="96"/>
      <c r="X310" s="96"/>
      <c r="Y310" s="96"/>
      <c r="Z310" s="96"/>
      <c r="AA310" s="96"/>
      <c r="AB310" s="96"/>
      <c r="AD310" s="96"/>
      <c r="AE310" s="96"/>
      <c r="AF310" s="96"/>
      <c r="AG310" s="96"/>
      <c r="AK310" s="96"/>
      <c r="AL310" s="96"/>
      <c r="AM310" s="96"/>
      <c r="AN310" s="96"/>
      <c r="AO310" s="96"/>
      <c r="AP310" s="96"/>
      <c r="AQ310" s="96"/>
      <c r="AR310" s="96"/>
      <c r="AS310" s="96"/>
    </row>
    <row r="311" spans="18:45" hidden="1">
      <c r="R311" s="96"/>
      <c r="S311" s="96"/>
      <c r="T311" s="96"/>
      <c r="U311" s="96"/>
      <c r="V311" s="96"/>
      <c r="W311" s="96"/>
      <c r="X311" s="96"/>
      <c r="Y311" s="96"/>
      <c r="Z311" s="96"/>
      <c r="AA311" s="96"/>
      <c r="AB311" s="96"/>
      <c r="AD311" s="96"/>
      <c r="AE311" s="96"/>
      <c r="AF311" s="96"/>
      <c r="AG311" s="96"/>
      <c r="AK311" s="96"/>
      <c r="AL311" s="96"/>
      <c r="AM311" s="96"/>
      <c r="AN311" s="96"/>
      <c r="AO311" s="96"/>
      <c r="AP311" s="96"/>
      <c r="AQ311" s="96"/>
      <c r="AR311" s="96"/>
      <c r="AS311" s="96"/>
    </row>
    <row r="312" spans="18:45" hidden="1">
      <c r="R312" s="96"/>
      <c r="S312" s="96"/>
      <c r="T312" s="96"/>
      <c r="U312" s="96"/>
      <c r="V312" s="96"/>
      <c r="W312" s="96"/>
      <c r="X312" s="96"/>
      <c r="Y312" s="96"/>
      <c r="Z312" s="96"/>
      <c r="AA312" s="96"/>
      <c r="AB312" s="96"/>
      <c r="AD312" s="96"/>
      <c r="AE312" s="96"/>
      <c r="AF312" s="96"/>
      <c r="AG312" s="96"/>
      <c r="AK312" s="96"/>
      <c r="AL312" s="96"/>
      <c r="AM312" s="96"/>
      <c r="AN312" s="96"/>
      <c r="AO312" s="96"/>
      <c r="AP312" s="96"/>
      <c r="AQ312" s="96"/>
      <c r="AR312" s="96"/>
      <c r="AS312" s="96"/>
    </row>
    <row r="313" spans="18:45" hidden="1">
      <c r="R313" s="96"/>
      <c r="S313" s="96"/>
      <c r="T313" s="96"/>
      <c r="U313" s="96"/>
      <c r="V313" s="96"/>
      <c r="W313" s="96"/>
      <c r="X313" s="96"/>
      <c r="Y313" s="96"/>
      <c r="Z313" s="96"/>
      <c r="AA313" s="96"/>
      <c r="AB313" s="96"/>
      <c r="AD313" s="96"/>
      <c r="AE313" s="96"/>
      <c r="AF313" s="96"/>
      <c r="AG313" s="96"/>
      <c r="AK313" s="96"/>
      <c r="AL313" s="96"/>
      <c r="AM313" s="96"/>
      <c r="AN313" s="96"/>
      <c r="AO313" s="96"/>
      <c r="AP313" s="96"/>
      <c r="AQ313" s="96"/>
      <c r="AR313" s="96"/>
      <c r="AS313" s="96"/>
    </row>
    <row r="314" spans="18:45" hidden="1">
      <c r="R314" s="96"/>
      <c r="S314" s="96"/>
      <c r="T314" s="96"/>
      <c r="U314" s="96"/>
      <c r="V314" s="96"/>
      <c r="W314" s="96"/>
      <c r="X314" s="96"/>
      <c r="Y314" s="96"/>
      <c r="Z314" s="96"/>
      <c r="AA314" s="96"/>
      <c r="AB314" s="96"/>
      <c r="AD314" s="96"/>
      <c r="AE314" s="96"/>
      <c r="AF314" s="96"/>
      <c r="AG314" s="96"/>
      <c r="AK314" s="96"/>
      <c r="AL314" s="96"/>
      <c r="AM314" s="96"/>
      <c r="AN314" s="96"/>
      <c r="AO314" s="96"/>
      <c r="AP314" s="96"/>
      <c r="AQ314" s="96"/>
      <c r="AR314" s="96"/>
      <c r="AS314" s="96"/>
    </row>
    <row r="315" spans="18:45" hidden="1">
      <c r="R315" s="96"/>
      <c r="S315" s="96"/>
      <c r="T315" s="96"/>
      <c r="U315" s="96"/>
      <c r="V315" s="96"/>
      <c r="W315" s="96"/>
      <c r="X315" s="96"/>
      <c r="Y315" s="96"/>
      <c r="Z315" s="96"/>
      <c r="AA315" s="96"/>
      <c r="AB315" s="96"/>
      <c r="AD315" s="96"/>
      <c r="AE315" s="96"/>
      <c r="AF315" s="96"/>
      <c r="AG315" s="96"/>
      <c r="AK315" s="96"/>
      <c r="AL315" s="96"/>
      <c r="AM315" s="96"/>
      <c r="AN315" s="96"/>
      <c r="AO315" s="96"/>
      <c r="AP315" s="96"/>
      <c r="AQ315" s="96"/>
      <c r="AR315" s="96"/>
      <c r="AS315" s="96"/>
    </row>
    <row r="316" spans="18:45" hidden="1">
      <c r="R316" s="96"/>
      <c r="S316" s="96"/>
      <c r="T316" s="96"/>
      <c r="U316" s="96"/>
      <c r="V316" s="96"/>
      <c r="W316" s="96"/>
      <c r="X316" s="96"/>
      <c r="Y316" s="96"/>
      <c r="Z316" s="96"/>
      <c r="AA316" s="96"/>
      <c r="AB316" s="96"/>
      <c r="AD316" s="96"/>
      <c r="AE316" s="96"/>
      <c r="AF316" s="96"/>
      <c r="AG316" s="96"/>
      <c r="AK316" s="96"/>
      <c r="AL316" s="96"/>
      <c r="AM316" s="96"/>
      <c r="AN316" s="96"/>
      <c r="AO316" s="96"/>
      <c r="AP316" s="96"/>
      <c r="AQ316" s="96"/>
      <c r="AR316" s="96"/>
      <c r="AS316" s="96"/>
    </row>
    <row r="317" spans="18:45" hidden="1">
      <c r="R317" s="96"/>
      <c r="S317" s="96"/>
      <c r="T317" s="96"/>
      <c r="U317" s="96"/>
      <c r="V317" s="96"/>
      <c r="W317" s="96"/>
      <c r="X317" s="96"/>
      <c r="Y317" s="96"/>
      <c r="Z317" s="96"/>
      <c r="AA317" s="96"/>
      <c r="AB317" s="96"/>
      <c r="AD317" s="96"/>
      <c r="AE317" s="96"/>
      <c r="AF317" s="96"/>
      <c r="AG317" s="96"/>
      <c r="AK317" s="96"/>
      <c r="AL317" s="96"/>
      <c r="AM317" s="96"/>
      <c r="AN317" s="96"/>
      <c r="AO317" s="96"/>
      <c r="AP317" s="96"/>
      <c r="AQ317" s="96"/>
      <c r="AR317" s="96"/>
      <c r="AS317" s="96"/>
    </row>
    <row r="318" spans="18:45" hidden="1">
      <c r="R318" s="96"/>
      <c r="S318" s="96"/>
      <c r="T318" s="96"/>
      <c r="U318" s="96"/>
      <c r="V318" s="96"/>
      <c r="W318" s="96"/>
      <c r="X318" s="96"/>
      <c r="Y318" s="96"/>
      <c r="Z318" s="96"/>
      <c r="AA318" s="96"/>
      <c r="AB318" s="96"/>
      <c r="AD318" s="96"/>
      <c r="AE318" s="96"/>
      <c r="AF318" s="96"/>
      <c r="AG318" s="96"/>
      <c r="AK318" s="96"/>
      <c r="AL318" s="96"/>
      <c r="AM318" s="96"/>
      <c r="AN318" s="96"/>
      <c r="AO318" s="96"/>
      <c r="AP318" s="96"/>
      <c r="AQ318" s="96"/>
      <c r="AR318" s="96"/>
      <c r="AS318" s="96"/>
    </row>
    <row r="319" spans="18:45" hidden="1">
      <c r="R319" s="96"/>
      <c r="S319" s="96"/>
      <c r="T319" s="96"/>
      <c r="U319" s="96"/>
      <c r="V319" s="96"/>
      <c r="W319" s="96"/>
      <c r="X319" s="96"/>
      <c r="Y319" s="96"/>
      <c r="Z319" s="96"/>
      <c r="AA319" s="96"/>
      <c r="AB319" s="96"/>
      <c r="AD319" s="96"/>
      <c r="AE319" s="96"/>
      <c r="AF319" s="96"/>
      <c r="AG319" s="96"/>
      <c r="AK319" s="96"/>
      <c r="AL319" s="96"/>
      <c r="AM319" s="96"/>
      <c r="AN319" s="96"/>
      <c r="AO319" s="96"/>
      <c r="AP319" s="96"/>
      <c r="AQ319" s="96"/>
      <c r="AR319" s="96"/>
      <c r="AS319" s="96"/>
    </row>
    <row r="320" spans="18:45" hidden="1">
      <c r="R320" s="96"/>
      <c r="S320" s="96"/>
      <c r="T320" s="96"/>
      <c r="U320" s="96"/>
      <c r="V320" s="96"/>
      <c r="W320" s="96"/>
      <c r="X320" s="96"/>
      <c r="Y320" s="96"/>
      <c r="Z320" s="96"/>
      <c r="AA320" s="96"/>
      <c r="AB320" s="96"/>
      <c r="AD320" s="96"/>
      <c r="AE320" s="96"/>
      <c r="AF320" s="96"/>
      <c r="AG320" s="96"/>
      <c r="AK320" s="96"/>
      <c r="AL320" s="96"/>
      <c r="AM320" s="96"/>
      <c r="AN320" s="96"/>
      <c r="AO320" s="96"/>
      <c r="AP320" s="96"/>
      <c r="AQ320" s="96"/>
      <c r="AR320" s="96"/>
      <c r="AS320" s="96"/>
    </row>
    <row r="321" spans="18:45" hidden="1">
      <c r="R321" s="96"/>
      <c r="S321" s="96"/>
      <c r="T321" s="96"/>
      <c r="U321" s="96"/>
      <c r="V321" s="96"/>
      <c r="W321" s="96"/>
      <c r="X321" s="96"/>
      <c r="Y321" s="96"/>
      <c r="Z321" s="96"/>
      <c r="AA321" s="96"/>
      <c r="AB321" s="96"/>
      <c r="AD321" s="96"/>
      <c r="AE321" s="96"/>
      <c r="AF321" s="96"/>
      <c r="AG321" s="96"/>
      <c r="AK321" s="96"/>
      <c r="AL321" s="96"/>
      <c r="AM321" s="96"/>
      <c r="AN321" s="96"/>
      <c r="AO321" s="96"/>
      <c r="AP321" s="96"/>
      <c r="AQ321" s="96"/>
      <c r="AR321" s="96"/>
      <c r="AS321" s="96"/>
    </row>
    <row r="322" spans="18:45" hidden="1">
      <c r="R322" s="96"/>
      <c r="S322" s="96"/>
      <c r="T322" s="96"/>
      <c r="U322" s="96"/>
      <c r="V322" s="96"/>
      <c r="W322" s="96"/>
      <c r="X322" s="96"/>
      <c r="Y322" s="96"/>
      <c r="Z322" s="96"/>
      <c r="AA322" s="96"/>
      <c r="AB322" s="96"/>
      <c r="AD322" s="96"/>
      <c r="AE322" s="96"/>
      <c r="AF322" s="96"/>
      <c r="AG322" s="96"/>
      <c r="AK322" s="96"/>
      <c r="AL322" s="96"/>
      <c r="AM322" s="96"/>
      <c r="AN322" s="96"/>
      <c r="AO322" s="96"/>
      <c r="AP322" s="96"/>
      <c r="AQ322" s="96"/>
      <c r="AR322" s="96"/>
      <c r="AS322" s="96"/>
    </row>
    <row r="323" spans="18:45" hidden="1">
      <c r="R323" s="96"/>
      <c r="S323" s="96"/>
      <c r="T323" s="96"/>
      <c r="U323" s="96"/>
      <c r="V323" s="96"/>
      <c r="W323" s="96"/>
      <c r="X323" s="96"/>
      <c r="Y323" s="96"/>
      <c r="Z323" s="96"/>
      <c r="AA323" s="96"/>
      <c r="AB323" s="96"/>
      <c r="AD323" s="96"/>
      <c r="AE323" s="96"/>
      <c r="AF323" s="96"/>
      <c r="AG323" s="96"/>
      <c r="AK323" s="96"/>
      <c r="AL323" s="96"/>
      <c r="AM323" s="96"/>
      <c r="AN323" s="96"/>
      <c r="AO323" s="96"/>
      <c r="AP323" s="96"/>
      <c r="AQ323" s="96"/>
      <c r="AR323" s="96"/>
      <c r="AS323" s="96"/>
    </row>
    <row r="324" spans="18:45" hidden="1">
      <c r="R324" s="96"/>
      <c r="S324" s="96"/>
      <c r="T324" s="96"/>
      <c r="U324" s="96"/>
      <c r="V324" s="96"/>
      <c r="W324" s="96"/>
      <c r="X324" s="96"/>
      <c r="Y324" s="96"/>
      <c r="Z324" s="96"/>
      <c r="AA324" s="96"/>
      <c r="AB324" s="96"/>
      <c r="AD324" s="96"/>
      <c r="AE324" s="96"/>
      <c r="AF324" s="96"/>
      <c r="AG324" s="96"/>
      <c r="AK324" s="96"/>
      <c r="AL324" s="96"/>
      <c r="AM324" s="96"/>
      <c r="AN324" s="96"/>
      <c r="AO324" s="96"/>
      <c r="AP324" s="96"/>
      <c r="AQ324" s="96"/>
      <c r="AR324" s="96"/>
      <c r="AS324" s="96"/>
    </row>
    <row r="325" spans="18:45" hidden="1">
      <c r="R325" s="96"/>
      <c r="S325" s="96"/>
      <c r="T325" s="96"/>
      <c r="U325" s="96"/>
      <c r="V325" s="96"/>
      <c r="W325" s="96"/>
      <c r="X325" s="96"/>
      <c r="Y325" s="96"/>
      <c r="Z325" s="96"/>
      <c r="AA325" s="96"/>
      <c r="AB325" s="96"/>
      <c r="AD325" s="96"/>
      <c r="AE325" s="96"/>
      <c r="AF325" s="96"/>
      <c r="AG325" s="96"/>
      <c r="AK325" s="96"/>
      <c r="AL325" s="96"/>
      <c r="AM325" s="96"/>
      <c r="AN325" s="96"/>
      <c r="AO325" s="96"/>
      <c r="AP325" s="96"/>
      <c r="AQ325" s="96"/>
      <c r="AR325" s="96"/>
      <c r="AS325" s="96"/>
    </row>
    <row r="326" spans="18:45" hidden="1">
      <c r="R326" s="96"/>
      <c r="S326" s="96"/>
      <c r="T326" s="96"/>
      <c r="U326" s="96"/>
      <c r="V326" s="96"/>
      <c r="W326" s="96"/>
      <c r="X326" s="96"/>
      <c r="Y326" s="96"/>
      <c r="Z326" s="96"/>
      <c r="AA326" s="96"/>
      <c r="AB326" s="96"/>
      <c r="AD326" s="96"/>
      <c r="AE326" s="96"/>
      <c r="AF326" s="96"/>
      <c r="AG326" s="96"/>
      <c r="AK326" s="96"/>
      <c r="AL326" s="96"/>
      <c r="AM326" s="96"/>
      <c r="AN326" s="96"/>
      <c r="AO326" s="96"/>
      <c r="AP326" s="96"/>
      <c r="AQ326" s="96"/>
      <c r="AR326" s="96"/>
      <c r="AS326" s="96"/>
    </row>
    <row r="327" spans="18:45" hidden="1">
      <c r="R327" s="96"/>
      <c r="S327" s="96"/>
      <c r="T327" s="96"/>
      <c r="U327" s="96"/>
      <c r="V327" s="96"/>
      <c r="W327" s="96"/>
      <c r="X327" s="96"/>
      <c r="Y327" s="96"/>
      <c r="Z327" s="96"/>
      <c r="AA327" s="96"/>
      <c r="AB327" s="96"/>
      <c r="AD327" s="96"/>
      <c r="AE327" s="96"/>
      <c r="AF327" s="96"/>
      <c r="AG327" s="96"/>
      <c r="AK327" s="96"/>
      <c r="AL327" s="96"/>
      <c r="AM327" s="96"/>
      <c r="AN327" s="96"/>
      <c r="AO327" s="96"/>
      <c r="AP327" s="96"/>
      <c r="AQ327" s="96"/>
      <c r="AR327" s="96"/>
      <c r="AS327" s="96"/>
    </row>
    <row r="328" spans="18:45" hidden="1">
      <c r="R328" s="96"/>
      <c r="S328" s="96"/>
      <c r="T328" s="96"/>
      <c r="U328" s="96"/>
      <c r="V328" s="96"/>
      <c r="W328" s="96"/>
      <c r="X328" s="96"/>
      <c r="Y328" s="96"/>
      <c r="Z328" s="96"/>
      <c r="AA328" s="96"/>
      <c r="AB328" s="96"/>
      <c r="AD328" s="96"/>
      <c r="AE328" s="96"/>
      <c r="AF328" s="96"/>
      <c r="AG328" s="96"/>
      <c r="AK328" s="96"/>
      <c r="AL328" s="96"/>
      <c r="AM328" s="96"/>
      <c r="AN328" s="96"/>
      <c r="AO328" s="96"/>
      <c r="AP328" s="96"/>
      <c r="AQ328" s="96"/>
      <c r="AR328" s="96"/>
      <c r="AS328" s="96"/>
    </row>
    <row r="329" spans="18:45" hidden="1">
      <c r="R329" s="96"/>
      <c r="S329" s="96"/>
      <c r="T329" s="96"/>
      <c r="U329" s="96"/>
      <c r="V329" s="96"/>
      <c r="W329" s="96"/>
      <c r="X329" s="96"/>
      <c r="Y329" s="96"/>
      <c r="Z329" s="96"/>
      <c r="AA329" s="96"/>
      <c r="AB329" s="96"/>
      <c r="AD329" s="96"/>
      <c r="AE329" s="96"/>
      <c r="AF329" s="96"/>
      <c r="AG329" s="96"/>
      <c r="AK329" s="96"/>
      <c r="AL329" s="96"/>
      <c r="AM329" s="96"/>
      <c r="AN329" s="96"/>
      <c r="AO329" s="96"/>
      <c r="AP329" s="96"/>
      <c r="AQ329" s="96"/>
      <c r="AR329" s="96"/>
      <c r="AS329" s="96"/>
    </row>
    <row r="330" spans="18:45" hidden="1">
      <c r="R330" s="96"/>
      <c r="S330" s="96"/>
      <c r="T330" s="96"/>
      <c r="U330" s="96"/>
      <c r="V330" s="96"/>
      <c r="W330" s="96"/>
      <c r="X330" s="96"/>
      <c r="Y330" s="96"/>
      <c r="Z330" s="96"/>
      <c r="AA330" s="96"/>
      <c r="AB330" s="96"/>
      <c r="AD330" s="96"/>
      <c r="AE330" s="96"/>
      <c r="AF330" s="96"/>
      <c r="AG330" s="96"/>
      <c r="AK330" s="96"/>
      <c r="AL330" s="96"/>
      <c r="AM330" s="96"/>
      <c r="AN330" s="96"/>
      <c r="AO330" s="96"/>
      <c r="AP330" s="96"/>
      <c r="AQ330" s="96"/>
      <c r="AR330" s="96"/>
      <c r="AS330" s="96"/>
    </row>
    <row r="331" spans="18:45" hidden="1">
      <c r="R331" s="96"/>
      <c r="S331" s="96"/>
      <c r="T331" s="96"/>
      <c r="U331" s="96"/>
      <c r="V331" s="96"/>
      <c r="W331" s="96"/>
      <c r="X331" s="96"/>
      <c r="Y331" s="96"/>
      <c r="Z331" s="96"/>
      <c r="AA331" s="96"/>
      <c r="AB331" s="96"/>
      <c r="AD331" s="96"/>
      <c r="AE331" s="96"/>
      <c r="AF331" s="96"/>
      <c r="AG331" s="96"/>
      <c r="AK331" s="96"/>
      <c r="AL331" s="96"/>
      <c r="AM331" s="96"/>
      <c r="AN331" s="96"/>
      <c r="AO331" s="96"/>
      <c r="AP331" s="96"/>
      <c r="AQ331" s="96"/>
      <c r="AR331" s="96"/>
      <c r="AS331" s="96"/>
    </row>
    <row r="332" spans="18:45" hidden="1">
      <c r="R332" s="96"/>
      <c r="S332" s="96"/>
      <c r="T332" s="96"/>
      <c r="U332" s="96"/>
      <c r="V332" s="96"/>
      <c r="W332" s="96"/>
      <c r="X332" s="96"/>
      <c r="Y332" s="96"/>
      <c r="Z332" s="96"/>
      <c r="AA332" s="96"/>
      <c r="AB332" s="96"/>
      <c r="AD332" s="96"/>
      <c r="AE332" s="96"/>
      <c r="AF332" s="96"/>
      <c r="AG332" s="96"/>
      <c r="AK332" s="96"/>
      <c r="AL332" s="96"/>
      <c r="AM332" s="96"/>
      <c r="AN332" s="96"/>
      <c r="AO332" s="96"/>
      <c r="AP332" s="96"/>
      <c r="AQ332" s="96"/>
      <c r="AR332" s="96"/>
      <c r="AS332" s="96"/>
    </row>
    <row r="333" spans="18:45" hidden="1">
      <c r="R333" s="96"/>
      <c r="S333" s="96"/>
      <c r="T333" s="96"/>
      <c r="U333" s="96"/>
      <c r="V333" s="96"/>
      <c r="W333" s="96"/>
      <c r="X333" s="96"/>
      <c r="Y333" s="96"/>
      <c r="Z333" s="96"/>
      <c r="AA333" s="96"/>
      <c r="AB333" s="96"/>
      <c r="AD333" s="96"/>
      <c r="AE333" s="96"/>
      <c r="AF333" s="96"/>
      <c r="AG333" s="96"/>
      <c r="AK333" s="96"/>
      <c r="AL333" s="96"/>
      <c r="AM333" s="96"/>
      <c r="AN333" s="96"/>
      <c r="AO333" s="96"/>
      <c r="AP333" s="96"/>
      <c r="AQ333" s="96"/>
      <c r="AR333" s="96"/>
      <c r="AS333" s="96"/>
    </row>
    <row r="334" spans="18:45" hidden="1">
      <c r="R334" s="96"/>
      <c r="S334" s="96"/>
      <c r="T334" s="96"/>
      <c r="U334" s="96"/>
      <c r="V334" s="96"/>
      <c r="W334" s="96"/>
      <c r="X334" s="96"/>
      <c r="Y334" s="96"/>
      <c r="Z334" s="96"/>
      <c r="AA334" s="96"/>
      <c r="AB334" s="96"/>
      <c r="AD334" s="96"/>
      <c r="AE334" s="96"/>
      <c r="AF334" s="96"/>
      <c r="AG334" s="96"/>
      <c r="AK334" s="96"/>
      <c r="AL334" s="96"/>
      <c r="AM334" s="96"/>
      <c r="AN334" s="96"/>
      <c r="AO334" s="96"/>
      <c r="AP334" s="96"/>
      <c r="AQ334" s="96"/>
      <c r="AR334" s="96"/>
      <c r="AS334" s="96"/>
    </row>
    <row r="335" spans="18:45" hidden="1">
      <c r="R335" s="96"/>
      <c r="S335" s="96"/>
      <c r="T335" s="96"/>
      <c r="U335" s="96"/>
      <c r="V335" s="96"/>
      <c r="W335" s="96"/>
      <c r="X335" s="96"/>
      <c r="Y335" s="96"/>
      <c r="Z335" s="96"/>
      <c r="AA335" s="96"/>
      <c r="AB335" s="96"/>
      <c r="AD335" s="96"/>
      <c r="AE335" s="96"/>
      <c r="AF335" s="96"/>
      <c r="AG335" s="96"/>
      <c r="AK335" s="96"/>
      <c r="AL335" s="96"/>
      <c r="AM335" s="96"/>
      <c r="AN335" s="96"/>
      <c r="AO335" s="96"/>
      <c r="AP335" s="96"/>
      <c r="AQ335" s="96"/>
      <c r="AR335" s="96"/>
      <c r="AS335" s="96"/>
    </row>
    <row r="336" spans="18:45" hidden="1">
      <c r="R336" s="96"/>
      <c r="S336" s="96"/>
      <c r="T336" s="96"/>
      <c r="U336" s="96"/>
      <c r="V336" s="96"/>
      <c r="W336" s="96"/>
      <c r="X336" s="96"/>
      <c r="Y336" s="96"/>
      <c r="Z336" s="96"/>
      <c r="AA336" s="96"/>
      <c r="AB336" s="96"/>
      <c r="AD336" s="96"/>
      <c r="AE336" s="96"/>
      <c r="AF336" s="96"/>
      <c r="AG336" s="96"/>
      <c r="AK336" s="96"/>
      <c r="AL336" s="96"/>
      <c r="AM336" s="96"/>
      <c r="AN336" s="96"/>
      <c r="AO336" s="96"/>
      <c r="AP336" s="96"/>
      <c r="AQ336" s="96"/>
      <c r="AR336" s="96"/>
      <c r="AS336" s="96"/>
    </row>
    <row r="337" spans="18:45" hidden="1">
      <c r="R337" s="96"/>
      <c r="S337" s="96"/>
      <c r="T337" s="96"/>
      <c r="U337" s="96"/>
      <c r="V337" s="96"/>
      <c r="W337" s="96"/>
      <c r="X337" s="96"/>
      <c r="Y337" s="96"/>
      <c r="Z337" s="96"/>
      <c r="AA337" s="96"/>
      <c r="AB337" s="96"/>
      <c r="AD337" s="96"/>
      <c r="AE337" s="96"/>
      <c r="AF337" s="96"/>
      <c r="AG337" s="96"/>
      <c r="AK337" s="96"/>
      <c r="AL337" s="96"/>
      <c r="AM337" s="96"/>
      <c r="AN337" s="96"/>
      <c r="AO337" s="96"/>
      <c r="AP337" s="96"/>
      <c r="AQ337" s="96"/>
      <c r="AR337" s="96"/>
      <c r="AS337" s="96"/>
    </row>
    <row r="338" spans="18:45" hidden="1">
      <c r="R338" s="96"/>
      <c r="S338" s="96"/>
      <c r="T338" s="96"/>
      <c r="U338" s="96"/>
      <c r="V338" s="96"/>
      <c r="W338" s="96"/>
      <c r="X338" s="96"/>
      <c r="Y338" s="96"/>
      <c r="Z338" s="96"/>
      <c r="AA338" s="96"/>
      <c r="AB338" s="96"/>
      <c r="AD338" s="96"/>
      <c r="AE338" s="96"/>
      <c r="AF338" s="96"/>
      <c r="AG338" s="96"/>
      <c r="AK338" s="96"/>
      <c r="AL338" s="96"/>
      <c r="AM338" s="96"/>
      <c r="AN338" s="96"/>
      <c r="AO338" s="96"/>
      <c r="AP338" s="96"/>
      <c r="AQ338" s="96"/>
      <c r="AR338" s="96"/>
      <c r="AS338" s="96"/>
    </row>
    <row r="339" spans="18:45" hidden="1">
      <c r="R339" s="96"/>
      <c r="S339" s="96"/>
      <c r="T339" s="96"/>
      <c r="U339" s="96"/>
      <c r="V339" s="96"/>
      <c r="W339" s="96"/>
      <c r="X339" s="96"/>
      <c r="Y339" s="96"/>
      <c r="Z339" s="96"/>
      <c r="AA339" s="96"/>
      <c r="AB339" s="96"/>
      <c r="AD339" s="96"/>
      <c r="AE339" s="96"/>
      <c r="AF339" s="96"/>
      <c r="AG339" s="96"/>
      <c r="AK339" s="96"/>
      <c r="AL339" s="96"/>
      <c r="AM339" s="96"/>
      <c r="AN339" s="96"/>
      <c r="AO339" s="96"/>
      <c r="AP339" s="96"/>
      <c r="AQ339" s="96"/>
      <c r="AR339" s="96"/>
      <c r="AS339" s="96"/>
    </row>
    <row r="340" spans="18:45" hidden="1">
      <c r="R340" s="96"/>
      <c r="S340" s="96"/>
      <c r="T340" s="96"/>
      <c r="U340" s="96"/>
      <c r="V340" s="96"/>
      <c r="W340" s="96"/>
      <c r="X340" s="96"/>
      <c r="Y340" s="96"/>
      <c r="Z340" s="96"/>
      <c r="AA340" s="96"/>
      <c r="AB340" s="96"/>
      <c r="AD340" s="96"/>
      <c r="AE340" s="96"/>
      <c r="AF340" s="96"/>
      <c r="AG340" s="96"/>
      <c r="AK340" s="96"/>
      <c r="AL340" s="96"/>
      <c r="AM340" s="96"/>
      <c r="AN340" s="96"/>
      <c r="AO340" s="96"/>
      <c r="AP340" s="96"/>
      <c r="AQ340" s="96"/>
      <c r="AR340" s="96"/>
      <c r="AS340" s="96"/>
    </row>
    <row r="341" spans="18:45" hidden="1">
      <c r="R341" s="96"/>
      <c r="S341" s="96"/>
      <c r="T341" s="96"/>
      <c r="U341" s="96"/>
      <c r="V341" s="96"/>
      <c r="W341" s="96"/>
      <c r="X341" s="96"/>
      <c r="Y341" s="96"/>
      <c r="Z341" s="96"/>
      <c r="AA341" s="96"/>
      <c r="AB341" s="96"/>
      <c r="AD341" s="96"/>
      <c r="AE341" s="96"/>
      <c r="AF341" s="96"/>
      <c r="AG341" s="96"/>
      <c r="AK341" s="96"/>
      <c r="AL341" s="96"/>
      <c r="AM341" s="96"/>
      <c r="AN341" s="96"/>
      <c r="AO341" s="96"/>
      <c r="AP341" s="96"/>
      <c r="AQ341" s="96"/>
      <c r="AR341" s="96"/>
      <c r="AS341" s="96"/>
    </row>
    <row r="342" spans="18:45" hidden="1">
      <c r="R342" s="96"/>
      <c r="S342" s="96"/>
      <c r="T342" s="96"/>
      <c r="U342" s="96"/>
      <c r="V342" s="96"/>
      <c r="W342" s="96"/>
      <c r="X342" s="96"/>
      <c r="Y342" s="96"/>
      <c r="Z342" s="96"/>
      <c r="AA342" s="96"/>
      <c r="AB342" s="96"/>
      <c r="AD342" s="96"/>
      <c r="AE342" s="96"/>
      <c r="AF342" s="96"/>
      <c r="AG342" s="96"/>
      <c r="AK342" s="96"/>
      <c r="AL342" s="96"/>
      <c r="AM342" s="96"/>
      <c r="AN342" s="96"/>
      <c r="AO342" s="96"/>
      <c r="AP342" s="96"/>
      <c r="AQ342" s="96"/>
      <c r="AR342" s="96"/>
      <c r="AS342" s="96"/>
    </row>
    <row r="343" spans="18:45" hidden="1">
      <c r="R343" s="96"/>
      <c r="S343" s="96"/>
      <c r="T343" s="96"/>
      <c r="U343" s="96"/>
      <c r="V343" s="96"/>
      <c r="W343" s="96"/>
      <c r="X343" s="96"/>
      <c r="Y343" s="96"/>
      <c r="Z343" s="96"/>
      <c r="AA343" s="96"/>
      <c r="AB343" s="96"/>
      <c r="AD343" s="96"/>
      <c r="AE343" s="96"/>
      <c r="AF343" s="96"/>
      <c r="AG343" s="96"/>
      <c r="AK343" s="96"/>
      <c r="AL343" s="96"/>
      <c r="AM343" s="96"/>
      <c r="AN343" s="96"/>
      <c r="AO343" s="96"/>
      <c r="AP343" s="96"/>
      <c r="AQ343" s="96"/>
      <c r="AR343" s="96"/>
      <c r="AS343" s="96"/>
    </row>
    <row r="344" spans="18:45" hidden="1">
      <c r="R344" s="96"/>
      <c r="S344" s="96"/>
      <c r="T344" s="96"/>
      <c r="U344" s="96"/>
      <c r="V344" s="96"/>
      <c r="W344" s="96"/>
      <c r="X344" s="96"/>
      <c r="Y344" s="96"/>
      <c r="Z344" s="96"/>
      <c r="AA344" s="96"/>
      <c r="AB344" s="96"/>
      <c r="AD344" s="96"/>
      <c r="AE344" s="96"/>
      <c r="AF344" s="96"/>
      <c r="AG344" s="96"/>
      <c r="AK344" s="96"/>
      <c r="AL344" s="96"/>
      <c r="AM344" s="96"/>
      <c r="AN344" s="96"/>
      <c r="AO344" s="96"/>
      <c r="AP344" s="96"/>
      <c r="AQ344" s="96"/>
      <c r="AR344" s="96"/>
      <c r="AS344" s="96"/>
    </row>
    <row r="345" spans="18:45" hidden="1">
      <c r="R345" s="96"/>
      <c r="S345" s="96"/>
      <c r="T345" s="96"/>
      <c r="U345" s="96"/>
      <c r="V345" s="96"/>
      <c r="W345" s="96"/>
      <c r="X345" s="96"/>
      <c r="Y345" s="96"/>
      <c r="Z345" s="96"/>
      <c r="AA345" s="96"/>
      <c r="AB345" s="96"/>
      <c r="AD345" s="96"/>
      <c r="AE345" s="96"/>
      <c r="AF345" s="96"/>
      <c r="AG345" s="96"/>
      <c r="AK345" s="96"/>
      <c r="AL345" s="96"/>
      <c r="AM345" s="96"/>
      <c r="AN345" s="96"/>
      <c r="AO345" s="96"/>
      <c r="AP345" s="96"/>
      <c r="AQ345" s="96"/>
      <c r="AR345" s="96"/>
      <c r="AS345" s="96"/>
    </row>
    <row r="346" spans="18:45" hidden="1">
      <c r="R346" s="96"/>
      <c r="S346" s="96"/>
      <c r="T346" s="96"/>
      <c r="U346" s="96"/>
      <c r="V346" s="96"/>
      <c r="W346" s="96"/>
      <c r="X346" s="96"/>
      <c r="Y346" s="96"/>
      <c r="Z346" s="96"/>
      <c r="AA346" s="96"/>
      <c r="AB346" s="96"/>
      <c r="AD346" s="96"/>
      <c r="AE346" s="96"/>
      <c r="AF346" s="96"/>
      <c r="AG346" s="96"/>
      <c r="AK346" s="96"/>
      <c r="AL346" s="96"/>
      <c r="AM346" s="96"/>
      <c r="AN346" s="96"/>
      <c r="AO346" s="96"/>
      <c r="AP346" s="96"/>
      <c r="AQ346" s="96"/>
      <c r="AR346" s="96"/>
      <c r="AS346" s="96"/>
    </row>
    <row r="347" spans="18:45" hidden="1">
      <c r="R347" s="96"/>
      <c r="S347" s="96"/>
      <c r="T347" s="96"/>
      <c r="U347" s="96"/>
      <c r="V347" s="96"/>
      <c r="W347" s="96"/>
      <c r="X347" s="96"/>
      <c r="Y347" s="96"/>
      <c r="Z347" s="96"/>
      <c r="AA347" s="96"/>
      <c r="AB347" s="96"/>
      <c r="AD347" s="96"/>
      <c r="AE347" s="96"/>
      <c r="AF347" s="96"/>
      <c r="AG347" s="96"/>
      <c r="AK347" s="96"/>
      <c r="AL347" s="96"/>
      <c r="AM347" s="96"/>
      <c r="AN347" s="96"/>
      <c r="AO347" s="96"/>
      <c r="AP347" s="96"/>
      <c r="AQ347" s="96"/>
      <c r="AR347" s="96"/>
      <c r="AS347" s="96"/>
    </row>
    <row r="348" spans="18:45" hidden="1">
      <c r="R348" s="96"/>
      <c r="S348" s="96"/>
      <c r="T348" s="96"/>
      <c r="U348" s="96"/>
      <c r="V348" s="96"/>
      <c r="W348" s="96"/>
      <c r="X348" s="96"/>
      <c r="Y348" s="96"/>
      <c r="Z348" s="96"/>
      <c r="AA348" s="96"/>
      <c r="AB348" s="96"/>
      <c r="AD348" s="96"/>
      <c r="AE348" s="96"/>
      <c r="AF348" s="96"/>
      <c r="AG348" s="96"/>
      <c r="AK348" s="96"/>
      <c r="AL348" s="96"/>
      <c r="AM348" s="96"/>
      <c r="AN348" s="96"/>
      <c r="AO348" s="96"/>
      <c r="AP348" s="96"/>
      <c r="AQ348" s="96"/>
      <c r="AR348" s="96"/>
      <c r="AS348" s="96"/>
    </row>
    <row r="349" spans="18:45" hidden="1">
      <c r="R349" s="96"/>
      <c r="S349" s="96"/>
      <c r="T349" s="96"/>
      <c r="U349" s="96"/>
      <c r="V349" s="96"/>
      <c r="W349" s="96"/>
      <c r="X349" s="96"/>
      <c r="Y349" s="96"/>
      <c r="Z349" s="96"/>
      <c r="AA349" s="96"/>
      <c r="AB349" s="96"/>
      <c r="AD349" s="96"/>
      <c r="AE349" s="96"/>
      <c r="AF349" s="96"/>
      <c r="AG349" s="96"/>
      <c r="AK349" s="96"/>
      <c r="AL349" s="96"/>
      <c r="AM349" s="96"/>
      <c r="AN349" s="96"/>
      <c r="AO349" s="96"/>
      <c r="AP349" s="96"/>
      <c r="AQ349" s="96"/>
      <c r="AR349" s="96"/>
      <c r="AS349" s="96"/>
    </row>
    <row r="350" spans="18:45" hidden="1">
      <c r="R350" s="96"/>
      <c r="S350" s="96"/>
      <c r="T350" s="96"/>
      <c r="U350" s="96"/>
      <c r="V350" s="96"/>
      <c r="W350" s="96"/>
      <c r="X350" s="96"/>
      <c r="Y350" s="96"/>
      <c r="Z350" s="96"/>
      <c r="AA350" s="96"/>
      <c r="AB350" s="96"/>
      <c r="AD350" s="96"/>
      <c r="AE350" s="96"/>
      <c r="AF350" s="96"/>
      <c r="AG350" s="96"/>
      <c r="AK350" s="96"/>
      <c r="AL350" s="96"/>
      <c r="AM350" s="96"/>
      <c r="AN350" s="96"/>
      <c r="AO350" s="96"/>
      <c r="AP350" s="96"/>
      <c r="AQ350" s="96"/>
      <c r="AR350" s="96"/>
      <c r="AS350" s="96"/>
    </row>
    <row r="351" spans="18:45" hidden="1">
      <c r="R351" s="96"/>
      <c r="S351" s="96"/>
      <c r="T351" s="96"/>
      <c r="U351" s="96"/>
      <c r="V351" s="96"/>
      <c r="W351" s="96"/>
      <c r="X351" s="96"/>
      <c r="Y351" s="96"/>
      <c r="Z351" s="96"/>
      <c r="AA351" s="96"/>
      <c r="AB351" s="96"/>
      <c r="AD351" s="96"/>
      <c r="AE351" s="96"/>
      <c r="AF351" s="96"/>
      <c r="AG351" s="96"/>
      <c r="AK351" s="96"/>
      <c r="AL351" s="96"/>
      <c r="AM351" s="96"/>
      <c r="AN351" s="96"/>
      <c r="AO351" s="96"/>
      <c r="AP351" s="96"/>
      <c r="AQ351" s="96"/>
      <c r="AR351" s="96"/>
      <c r="AS351" s="96"/>
    </row>
    <row r="352" spans="18:45" hidden="1">
      <c r="R352" s="96"/>
      <c r="S352" s="96"/>
      <c r="T352" s="96"/>
      <c r="U352" s="96"/>
      <c r="V352" s="96"/>
      <c r="W352" s="96"/>
      <c r="X352" s="96"/>
      <c r="Y352" s="96"/>
      <c r="Z352" s="96"/>
      <c r="AA352" s="96"/>
      <c r="AB352" s="96"/>
      <c r="AD352" s="96"/>
      <c r="AE352" s="96"/>
      <c r="AF352" s="96"/>
      <c r="AG352" s="96"/>
      <c r="AK352" s="96"/>
      <c r="AL352" s="96"/>
      <c r="AM352" s="96"/>
      <c r="AN352" s="96"/>
      <c r="AO352" s="96"/>
      <c r="AP352" s="96"/>
      <c r="AQ352" s="96"/>
      <c r="AR352" s="96"/>
      <c r="AS352" s="96"/>
    </row>
    <row r="353" spans="18:45" hidden="1">
      <c r="R353" s="96"/>
      <c r="S353" s="96"/>
      <c r="T353" s="96"/>
      <c r="U353" s="96"/>
      <c r="V353" s="96"/>
      <c r="W353" s="96"/>
      <c r="X353" s="96"/>
      <c r="Y353" s="96"/>
      <c r="Z353" s="96"/>
      <c r="AA353" s="96"/>
      <c r="AB353" s="96"/>
      <c r="AD353" s="96"/>
      <c r="AE353" s="96"/>
      <c r="AF353" s="96"/>
      <c r="AG353" s="96"/>
      <c r="AK353" s="96"/>
      <c r="AL353" s="96"/>
      <c r="AM353" s="96"/>
      <c r="AN353" s="96"/>
      <c r="AO353" s="96"/>
      <c r="AP353" s="96"/>
      <c r="AQ353" s="96"/>
      <c r="AR353" s="96"/>
      <c r="AS353" s="96"/>
    </row>
    <row r="354" spans="18:45" hidden="1">
      <c r="R354" s="96"/>
      <c r="S354" s="96"/>
      <c r="T354" s="96"/>
      <c r="U354" s="96"/>
      <c r="V354" s="96"/>
      <c r="W354" s="96"/>
      <c r="X354" s="96"/>
      <c r="Y354" s="96"/>
      <c r="Z354" s="96"/>
      <c r="AA354" s="96"/>
      <c r="AB354" s="96"/>
      <c r="AD354" s="96"/>
      <c r="AE354" s="96"/>
      <c r="AF354" s="96"/>
      <c r="AG354" s="96"/>
      <c r="AK354" s="96"/>
      <c r="AL354" s="96"/>
      <c r="AM354" s="96"/>
      <c r="AN354" s="96"/>
      <c r="AO354" s="96"/>
      <c r="AP354" s="96"/>
      <c r="AQ354" s="96"/>
      <c r="AR354" s="96"/>
      <c r="AS354" s="96"/>
    </row>
    <row r="355" spans="18:45" hidden="1">
      <c r="R355" s="96"/>
      <c r="S355" s="96"/>
      <c r="T355" s="96"/>
      <c r="U355" s="96"/>
      <c r="V355" s="96"/>
      <c r="W355" s="96"/>
      <c r="X355" s="96"/>
      <c r="Y355" s="96"/>
      <c r="Z355" s="96"/>
      <c r="AA355" s="96"/>
      <c r="AB355" s="96"/>
      <c r="AD355" s="96"/>
      <c r="AE355" s="96"/>
      <c r="AF355" s="96"/>
      <c r="AG355" s="96"/>
      <c r="AK355" s="96"/>
      <c r="AL355" s="96"/>
      <c r="AM355" s="96"/>
      <c r="AN355" s="96"/>
      <c r="AO355" s="96"/>
      <c r="AP355" s="96"/>
      <c r="AQ355" s="96"/>
      <c r="AR355" s="96"/>
      <c r="AS355" s="96"/>
    </row>
    <row r="356" spans="18:45" hidden="1">
      <c r="R356" s="96"/>
      <c r="S356" s="96"/>
      <c r="T356" s="96"/>
      <c r="U356" s="96"/>
      <c r="V356" s="96"/>
      <c r="W356" s="96"/>
      <c r="X356" s="96"/>
      <c r="Y356" s="96"/>
      <c r="Z356" s="96"/>
      <c r="AA356" s="96"/>
      <c r="AB356" s="96"/>
      <c r="AD356" s="96"/>
      <c r="AE356" s="96"/>
      <c r="AF356" s="96"/>
      <c r="AG356" s="96"/>
      <c r="AK356" s="96"/>
      <c r="AL356" s="96"/>
      <c r="AM356" s="96"/>
      <c r="AN356" s="96"/>
      <c r="AO356" s="96"/>
      <c r="AP356" s="96"/>
      <c r="AQ356" s="96"/>
      <c r="AR356" s="96"/>
      <c r="AS356" s="96"/>
    </row>
    <row r="357" spans="18:45" hidden="1">
      <c r="R357" s="96"/>
      <c r="S357" s="96"/>
      <c r="T357" s="96"/>
      <c r="U357" s="96"/>
      <c r="V357" s="96"/>
      <c r="W357" s="96"/>
      <c r="X357" s="96"/>
      <c r="Y357" s="96"/>
      <c r="Z357" s="96"/>
      <c r="AA357" s="96"/>
      <c r="AB357" s="96"/>
      <c r="AD357" s="96"/>
      <c r="AE357" s="96"/>
      <c r="AF357" s="96"/>
      <c r="AG357" s="96"/>
      <c r="AK357" s="96"/>
      <c r="AL357" s="96"/>
      <c r="AM357" s="96"/>
      <c r="AN357" s="96"/>
      <c r="AO357" s="96"/>
      <c r="AP357" s="96"/>
      <c r="AQ357" s="96"/>
      <c r="AR357" s="96"/>
      <c r="AS357" s="96"/>
    </row>
    <row r="358" spans="18:45" hidden="1">
      <c r="R358" s="96"/>
      <c r="S358" s="96"/>
      <c r="T358" s="96"/>
      <c r="U358" s="96"/>
      <c r="V358" s="96"/>
      <c r="W358" s="96"/>
      <c r="X358" s="96"/>
      <c r="Y358" s="96"/>
      <c r="Z358" s="96"/>
      <c r="AA358" s="96"/>
      <c r="AB358" s="96"/>
      <c r="AD358" s="96"/>
      <c r="AE358" s="96"/>
      <c r="AF358" s="96"/>
      <c r="AG358" s="96"/>
      <c r="AK358" s="96"/>
      <c r="AL358" s="96"/>
      <c r="AM358" s="96"/>
      <c r="AN358" s="96"/>
      <c r="AO358" s="96"/>
      <c r="AP358" s="96"/>
      <c r="AQ358" s="96"/>
      <c r="AR358" s="96"/>
      <c r="AS358" s="96"/>
    </row>
    <row r="359" spans="18:45" hidden="1">
      <c r="R359" s="96"/>
      <c r="S359" s="96"/>
      <c r="T359" s="96"/>
      <c r="U359" s="96"/>
      <c r="V359" s="96"/>
      <c r="W359" s="96"/>
      <c r="X359" s="96"/>
      <c r="Y359" s="96"/>
      <c r="Z359" s="96"/>
      <c r="AA359" s="96"/>
      <c r="AB359" s="96"/>
      <c r="AD359" s="96"/>
      <c r="AE359" s="96"/>
      <c r="AF359" s="96"/>
      <c r="AG359" s="96"/>
      <c r="AK359" s="96"/>
      <c r="AL359" s="96"/>
      <c r="AM359" s="96"/>
      <c r="AN359" s="96"/>
      <c r="AO359" s="96"/>
      <c r="AP359" s="96"/>
      <c r="AQ359" s="96"/>
      <c r="AR359" s="96"/>
      <c r="AS359" s="96"/>
    </row>
    <row r="360" spans="18:45" hidden="1">
      <c r="R360" s="96"/>
      <c r="S360" s="96"/>
      <c r="T360" s="96"/>
      <c r="U360" s="96"/>
      <c r="V360" s="96"/>
      <c r="W360" s="96"/>
      <c r="X360" s="96"/>
      <c r="Y360" s="96"/>
      <c r="Z360" s="96"/>
      <c r="AA360" s="96"/>
      <c r="AB360" s="96"/>
      <c r="AD360" s="96"/>
      <c r="AE360" s="96"/>
      <c r="AF360" s="96"/>
      <c r="AG360" s="96"/>
      <c r="AK360" s="96"/>
      <c r="AL360" s="96"/>
      <c r="AM360" s="96"/>
      <c r="AN360" s="96"/>
      <c r="AO360" s="96"/>
      <c r="AP360" s="96"/>
      <c r="AQ360" s="96"/>
      <c r="AR360" s="96"/>
      <c r="AS360" s="96"/>
    </row>
    <row r="361" spans="18:45" hidden="1">
      <c r="R361" s="96"/>
      <c r="S361" s="96"/>
      <c r="T361" s="96"/>
      <c r="U361" s="96"/>
      <c r="V361" s="96"/>
      <c r="W361" s="96"/>
      <c r="X361" s="96"/>
      <c r="Y361" s="96"/>
      <c r="Z361" s="96"/>
      <c r="AA361" s="96"/>
      <c r="AB361" s="96"/>
      <c r="AD361" s="96"/>
      <c r="AE361" s="96"/>
      <c r="AF361" s="96"/>
      <c r="AG361" s="96"/>
      <c r="AK361" s="96"/>
      <c r="AL361" s="96"/>
      <c r="AM361" s="96"/>
      <c r="AN361" s="96"/>
      <c r="AO361" s="96"/>
      <c r="AP361" s="96"/>
      <c r="AQ361" s="96"/>
      <c r="AR361" s="96"/>
      <c r="AS361" s="96"/>
    </row>
    <row r="362" spans="18:45" hidden="1">
      <c r="R362" s="96"/>
      <c r="S362" s="96"/>
      <c r="T362" s="96"/>
      <c r="U362" s="96"/>
      <c r="V362" s="96"/>
      <c r="W362" s="96"/>
      <c r="X362" s="96"/>
      <c r="Y362" s="96"/>
      <c r="Z362" s="96"/>
      <c r="AA362" s="96"/>
      <c r="AB362" s="96"/>
      <c r="AD362" s="96"/>
      <c r="AE362" s="96"/>
      <c r="AF362" s="96"/>
      <c r="AG362" s="96"/>
      <c r="AK362" s="96"/>
      <c r="AL362" s="96"/>
      <c r="AM362" s="96"/>
      <c r="AN362" s="96"/>
      <c r="AO362" s="96"/>
      <c r="AP362" s="96"/>
      <c r="AQ362" s="96"/>
      <c r="AR362" s="96"/>
      <c r="AS362" s="96"/>
    </row>
    <row r="363" spans="18:45" hidden="1">
      <c r="R363" s="96"/>
      <c r="S363" s="96"/>
      <c r="T363" s="96"/>
      <c r="U363" s="96"/>
      <c r="V363" s="96"/>
      <c r="W363" s="96"/>
      <c r="X363" s="96"/>
      <c r="Y363" s="96"/>
      <c r="Z363" s="96"/>
      <c r="AA363" s="96"/>
      <c r="AB363" s="96"/>
      <c r="AD363" s="96"/>
      <c r="AE363" s="96"/>
      <c r="AF363" s="96"/>
      <c r="AG363" s="96"/>
      <c r="AK363" s="96"/>
      <c r="AL363" s="96"/>
      <c r="AM363" s="96"/>
      <c r="AN363" s="96"/>
      <c r="AO363" s="96"/>
      <c r="AP363" s="96"/>
      <c r="AQ363" s="96"/>
      <c r="AR363" s="96"/>
      <c r="AS363" s="96"/>
    </row>
    <row r="364" spans="18:45" hidden="1">
      <c r="R364" s="96"/>
      <c r="S364" s="96"/>
      <c r="T364" s="96"/>
      <c r="U364" s="96"/>
      <c r="V364" s="96"/>
      <c r="W364" s="96"/>
      <c r="X364" s="96"/>
      <c r="Y364" s="96"/>
      <c r="Z364" s="96"/>
      <c r="AA364" s="96"/>
      <c r="AB364" s="96"/>
      <c r="AD364" s="96"/>
      <c r="AE364" s="96"/>
      <c r="AF364" s="96"/>
      <c r="AG364" s="96"/>
      <c r="AK364" s="96"/>
      <c r="AL364" s="96"/>
      <c r="AM364" s="96"/>
      <c r="AN364" s="96"/>
      <c r="AO364" s="96"/>
      <c r="AP364" s="96"/>
      <c r="AQ364" s="96"/>
      <c r="AR364" s="96"/>
      <c r="AS364" s="96"/>
    </row>
    <row r="365" spans="18:45" hidden="1">
      <c r="R365" s="96"/>
      <c r="S365" s="96"/>
      <c r="T365" s="96"/>
      <c r="U365" s="96"/>
      <c r="V365" s="96"/>
      <c r="W365" s="96"/>
      <c r="X365" s="96"/>
      <c r="Y365" s="96"/>
      <c r="Z365" s="96"/>
      <c r="AA365" s="96"/>
      <c r="AB365" s="96"/>
      <c r="AD365" s="96"/>
      <c r="AE365" s="96"/>
      <c r="AF365" s="96"/>
      <c r="AG365" s="96"/>
      <c r="AK365" s="96"/>
      <c r="AL365" s="96"/>
      <c r="AM365" s="96"/>
      <c r="AN365" s="96"/>
      <c r="AO365" s="96"/>
      <c r="AP365" s="96"/>
      <c r="AQ365" s="96"/>
      <c r="AR365" s="96"/>
      <c r="AS365" s="96"/>
    </row>
    <row r="366" spans="18:45" hidden="1">
      <c r="R366" s="96"/>
      <c r="S366" s="96"/>
      <c r="T366" s="96"/>
      <c r="U366" s="96"/>
      <c r="V366" s="96"/>
      <c r="W366" s="96"/>
      <c r="X366" s="96"/>
      <c r="Y366" s="96"/>
      <c r="Z366" s="96"/>
      <c r="AA366" s="96"/>
      <c r="AB366" s="96"/>
      <c r="AD366" s="96"/>
      <c r="AE366" s="96"/>
      <c r="AF366" s="96"/>
      <c r="AG366" s="96"/>
      <c r="AK366" s="96"/>
      <c r="AL366" s="96"/>
      <c r="AM366" s="96"/>
      <c r="AN366" s="96"/>
      <c r="AO366" s="96"/>
      <c r="AP366" s="96"/>
      <c r="AQ366" s="96"/>
      <c r="AR366" s="96"/>
      <c r="AS366" s="96"/>
    </row>
    <row r="367" spans="18:45" hidden="1">
      <c r="R367" s="96"/>
      <c r="S367" s="96"/>
      <c r="T367" s="96"/>
      <c r="U367" s="96"/>
      <c r="V367" s="96"/>
      <c r="W367" s="96"/>
      <c r="X367" s="96"/>
      <c r="Y367" s="96"/>
      <c r="Z367" s="96"/>
      <c r="AA367" s="96"/>
      <c r="AB367" s="96"/>
      <c r="AD367" s="96"/>
      <c r="AE367" s="96"/>
      <c r="AF367" s="96"/>
      <c r="AG367" s="96"/>
      <c r="AK367" s="96"/>
      <c r="AL367" s="96"/>
      <c r="AM367" s="96"/>
      <c r="AN367" s="96"/>
      <c r="AO367" s="96"/>
      <c r="AP367" s="96"/>
      <c r="AQ367" s="96"/>
      <c r="AR367" s="96"/>
      <c r="AS367" s="96"/>
    </row>
    <row r="368" spans="18:45" hidden="1">
      <c r="R368" s="96"/>
      <c r="S368" s="96"/>
      <c r="T368" s="96"/>
      <c r="U368" s="96"/>
      <c r="V368" s="96"/>
      <c r="W368" s="96"/>
      <c r="X368" s="96"/>
      <c r="Y368" s="96"/>
      <c r="Z368" s="96"/>
      <c r="AA368" s="96"/>
      <c r="AB368" s="96"/>
      <c r="AD368" s="96"/>
      <c r="AE368" s="96"/>
      <c r="AF368" s="96"/>
      <c r="AG368" s="96"/>
      <c r="AK368" s="96"/>
      <c r="AL368" s="96"/>
      <c r="AM368" s="96"/>
      <c r="AN368" s="96"/>
      <c r="AO368" s="96"/>
      <c r="AP368" s="96"/>
      <c r="AQ368" s="96"/>
      <c r="AR368" s="96"/>
      <c r="AS368" s="96"/>
    </row>
    <row r="369" spans="18:45" hidden="1">
      <c r="R369" s="96"/>
      <c r="S369" s="96"/>
      <c r="T369" s="96"/>
      <c r="U369" s="96"/>
      <c r="V369" s="96"/>
      <c r="W369" s="96"/>
      <c r="X369" s="96"/>
      <c r="Y369" s="96"/>
      <c r="Z369" s="96"/>
      <c r="AA369" s="96"/>
      <c r="AB369" s="96"/>
      <c r="AD369" s="96"/>
      <c r="AE369" s="96"/>
      <c r="AF369" s="96"/>
      <c r="AG369" s="96"/>
      <c r="AK369" s="96"/>
      <c r="AL369" s="96"/>
      <c r="AM369" s="96"/>
      <c r="AN369" s="96"/>
      <c r="AO369" s="96"/>
      <c r="AP369" s="96"/>
      <c r="AQ369" s="96"/>
      <c r="AR369" s="96"/>
      <c r="AS369" s="96"/>
    </row>
    <row r="370" spans="18:45" hidden="1">
      <c r="R370" s="96"/>
      <c r="S370" s="96"/>
      <c r="T370" s="96"/>
      <c r="U370" s="96"/>
      <c r="V370" s="96"/>
      <c r="W370" s="96"/>
      <c r="X370" s="96"/>
      <c r="Y370" s="96"/>
      <c r="Z370" s="96"/>
      <c r="AA370" s="96"/>
      <c r="AB370" s="96"/>
      <c r="AD370" s="96"/>
      <c r="AE370" s="96"/>
      <c r="AF370" s="96"/>
      <c r="AG370" s="96"/>
      <c r="AK370" s="96"/>
      <c r="AL370" s="96"/>
      <c r="AM370" s="96"/>
      <c r="AN370" s="96"/>
      <c r="AO370" s="96"/>
      <c r="AP370" s="96"/>
      <c r="AQ370" s="96"/>
      <c r="AR370" s="96"/>
      <c r="AS370" s="96"/>
    </row>
    <row r="371" spans="18:45" hidden="1">
      <c r="R371" s="96"/>
      <c r="S371" s="96"/>
      <c r="T371" s="96"/>
      <c r="U371" s="96"/>
      <c r="V371" s="96"/>
      <c r="W371" s="96"/>
      <c r="X371" s="96"/>
      <c r="Y371" s="96"/>
      <c r="Z371" s="96"/>
      <c r="AA371" s="96"/>
      <c r="AB371" s="96"/>
      <c r="AD371" s="96"/>
      <c r="AE371" s="96"/>
      <c r="AF371" s="96"/>
      <c r="AG371" s="96"/>
      <c r="AK371" s="96"/>
      <c r="AL371" s="96"/>
      <c r="AM371" s="96"/>
      <c r="AN371" s="96"/>
      <c r="AO371" s="96"/>
      <c r="AP371" s="96"/>
      <c r="AQ371" s="96"/>
      <c r="AR371" s="96"/>
      <c r="AS371" s="96"/>
    </row>
    <row r="372" spans="18:45" hidden="1">
      <c r="R372" s="96"/>
      <c r="S372" s="96"/>
      <c r="T372" s="96"/>
      <c r="U372" s="96"/>
      <c r="V372" s="96"/>
      <c r="W372" s="96"/>
      <c r="X372" s="96"/>
      <c r="Y372" s="96"/>
      <c r="Z372" s="96"/>
      <c r="AA372" s="96"/>
      <c r="AB372" s="96"/>
      <c r="AD372" s="96"/>
      <c r="AE372" s="96"/>
      <c r="AF372" s="96"/>
      <c r="AG372" s="96"/>
      <c r="AK372" s="96"/>
      <c r="AL372" s="96"/>
      <c r="AM372" s="96"/>
      <c r="AN372" s="96"/>
      <c r="AO372" s="96"/>
      <c r="AP372" s="96"/>
      <c r="AQ372" s="96"/>
      <c r="AR372" s="96"/>
      <c r="AS372" s="96"/>
    </row>
    <row r="373" spans="18:45" hidden="1">
      <c r="R373" s="96"/>
      <c r="S373" s="96"/>
      <c r="T373" s="96"/>
      <c r="U373" s="96"/>
      <c r="V373" s="96"/>
      <c r="W373" s="96"/>
      <c r="X373" s="96"/>
      <c r="Y373" s="96"/>
      <c r="Z373" s="96"/>
      <c r="AA373" s="96"/>
      <c r="AB373" s="96"/>
      <c r="AD373" s="96"/>
      <c r="AE373" s="96"/>
      <c r="AF373" s="96"/>
      <c r="AG373" s="96"/>
      <c r="AK373" s="96"/>
      <c r="AL373" s="96"/>
      <c r="AM373" s="96"/>
      <c r="AN373" s="96"/>
      <c r="AO373" s="96"/>
      <c r="AP373" s="96"/>
      <c r="AQ373" s="96"/>
      <c r="AR373" s="96"/>
      <c r="AS373" s="96"/>
    </row>
    <row r="374" spans="18:45" hidden="1">
      <c r="R374" s="96"/>
      <c r="S374" s="96"/>
      <c r="T374" s="96"/>
      <c r="U374" s="96"/>
      <c r="V374" s="96"/>
      <c r="W374" s="96"/>
      <c r="X374" s="96"/>
      <c r="Y374" s="96"/>
      <c r="Z374" s="96"/>
      <c r="AA374" s="96"/>
      <c r="AB374" s="96"/>
      <c r="AD374" s="96"/>
      <c r="AE374" s="96"/>
      <c r="AF374" s="96"/>
      <c r="AG374" s="96"/>
      <c r="AK374" s="96"/>
      <c r="AL374" s="96"/>
      <c r="AM374" s="96"/>
      <c r="AN374" s="96"/>
      <c r="AO374" s="96"/>
      <c r="AP374" s="96"/>
      <c r="AQ374" s="96"/>
      <c r="AR374" s="96"/>
      <c r="AS374" s="96"/>
    </row>
    <row r="375" spans="18:45" hidden="1">
      <c r="R375" s="96"/>
      <c r="S375" s="96"/>
      <c r="T375" s="96"/>
      <c r="U375" s="96"/>
      <c r="V375" s="96"/>
      <c r="W375" s="96"/>
      <c r="X375" s="96"/>
      <c r="Y375" s="96"/>
      <c r="Z375" s="96"/>
      <c r="AA375" s="96"/>
      <c r="AB375" s="96"/>
      <c r="AD375" s="96"/>
      <c r="AE375" s="96"/>
      <c r="AF375" s="96"/>
      <c r="AG375" s="96"/>
      <c r="AK375" s="96"/>
      <c r="AL375" s="96"/>
      <c r="AM375" s="96"/>
      <c r="AN375" s="96"/>
      <c r="AO375" s="96"/>
      <c r="AP375" s="96"/>
      <c r="AQ375" s="96"/>
      <c r="AR375" s="96"/>
      <c r="AS375" s="96"/>
    </row>
    <row r="376" spans="18:45" hidden="1">
      <c r="R376" s="96"/>
      <c r="S376" s="96"/>
      <c r="T376" s="96"/>
      <c r="U376" s="96"/>
      <c r="V376" s="96"/>
      <c r="W376" s="96"/>
      <c r="X376" s="96"/>
      <c r="Y376" s="96"/>
      <c r="Z376" s="96"/>
      <c r="AA376" s="96"/>
      <c r="AB376" s="96"/>
      <c r="AD376" s="96"/>
      <c r="AE376" s="96"/>
      <c r="AF376" s="96"/>
      <c r="AG376" s="96"/>
      <c r="AK376" s="96"/>
      <c r="AL376" s="96"/>
      <c r="AM376" s="96"/>
      <c r="AN376" s="96"/>
      <c r="AO376" s="96"/>
      <c r="AP376" s="96"/>
      <c r="AQ376" s="96"/>
      <c r="AR376" s="96"/>
      <c r="AS376" s="96"/>
    </row>
    <row r="377" spans="18:45" hidden="1">
      <c r="R377" s="96"/>
      <c r="S377" s="96"/>
      <c r="T377" s="96"/>
      <c r="U377" s="96"/>
      <c r="V377" s="96"/>
      <c r="W377" s="96"/>
      <c r="X377" s="96"/>
      <c r="Y377" s="96"/>
      <c r="Z377" s="96"/>
      <c r="AA377" s="96"/>
      <c r="AB377" s="96"/>
      <c r="AD377" s="96"/>
      <c r="AE377" s="96"/>
      <c r="AF377" s="96"/>
      <c r="AG377" s="96"/>
      <c r="AK377" s="96"/>
      <c r="AL377" s="96"/>
      <c r="AM377" s="96"/>
      <c r="AN377" s="96"/>
      <c r="AO377" s="96"/>
      <c r="AP377" s="96"/>
      <c r="AQ377" s="96"/>
      <c r="AR377" s="96"/>
      <c r="AS377" s="96"/>
    </row>
    <row r="378" spans="18:45" hidden="1">
      <c r="R378" s="96"/>
      <c r="S378" s="96"/>
      <c r="T378" s="96"/>
      <c r="U378" s="96"/>
      <c r="V378" s="96"/>
      <c r="W378" s="96"/>
      <c r="X378" s="96"/>
      <c r="Y378" s="96"/>
      <c r="Z378" s="96"/>
      <c r="AA378" s="96"/>
      <c r="AB378" s="96"/>
      <c r="AD378" s="96"/>
      <c r="AE378" s="96"/>
      <c r="AF378" s="96"/>
      <c r="AG378" s="96"/>
      <c r="AK378" s="96"/>
      <c r="AL378" s="96"/>
      <c r="AM378" s="96"/>
      <c r="AN378" s="96"/>
      <c r="AO378" s="96"/>
      <c r="AP378" s="96"/>
      <c r="AQ378" s="96"/>
      <c r="AR378" s="96"/>
      <c r="AS378" s="96"/>
    </row>
    <row r="379" spans="18:45" hidden="1">
      <c r="R379" s="96"/>
      <c r="S379" s="96"/>
      <c r="T379" s="96"/>
      <c r="U379" s="96"/>
      <c r="V379" s="96"/>
      <c r="W379" s="96"/>
      <c r="X379" s="96"/>
      <c r="Y379" s="96"/>
      <c r="Z379" s="96"/>
      <c r="AA379" s="96"/>
      <c r="AB379" s="96"/>
      <c r="AD379" s="96"/>
      <c r="AE379" s="96"/>
      <c r="AF379" s="96"/>
      <c r="AG379" s="96"/>
      <c r="AK379" s="96"/>
      <c r="AL379" s="96"/>
      <c r="AM379" s="96"/>
      <c r="AN379" s="96"/>
      <c r="AO379" s="96"/>
      <c r="AP379" s="96"/>
      <c r="AQ379" s="96"/>
      <c r="AR379" s="96"/>
      <c r="AS379" s="96"/>
    </row>
    <row r="380" spans="18:45" hidden="1">
      <c r="R380" s="96"/>
      <c r="S380" s="96"/>
      <c r="T380" s="96"/>
      <c r="U380" s="96"/>
      <c r="V380" s="96"/>
      <c r="W380" s="96"/>
      <c r="X380" s="96"/>
      <c r="Y380" s="96"/>
      <c r="Z380" s="96"/>
      <c r="AA380" s="96"/>
      <c r="AB380" s="96"/>
      <c r="AD380" s="96"/>
      <c r="AE380" s="96"/>
      <c r="AF380" s="96"/>
      <c r="AG380" s="96"/>
      <c r="AK380" s="96"/>
      <c r="AL380" s="96"/>
      <c r="AM380" s="96"/>
      <c r="AN380" s="96"/>
      <c r="AO380" s="96"/>
      <c r="AP380" s="96"/>
      <c r="AQ380" s="96"/>
      <c r="AR380" s="96"/>
      <c r="AS380" s="96"/>
    </row>
    <row r="381" spans="18:45" hidden="1">
      <c r="R381" s="96"/>
      <c r="S381" s="96"/>
      <c r="T381" s="96"/>
      <c r="U381" s="96"/>
      <c r="V381" s="96"/>
      <c r="W381" s="96"/>
      <c r="X381" s="96"/>
      <c r="Y381" s="96"/>
      <c r="Z381" s="96"/>
      <c r="AA381" s="96"/>
      <c r="AB381" s="96"/>
      <c r="AD381" s="96"/>
      <c r="AE381" s="96"/>
      <c r="AF381" s="96"/>
      <c r="AG381" s="96"/>
      <c r="AK381" s="96"/>
      <c r="AL381" s="96"/>
      <c r="AM381" s="96"/>
      <c r="AN381" s="96"/>
      <c r="AO381" s="96"/>
      <c r="AP381" s="96"/>
      <c r="AQ381" s="96"/>
      <c r="AR381" s="96"/>
      <c r="AS381" s="96"/>
    </row>
    <row r="382" spans="18:45" hidden="1">
      <c r="R382" s="96"/>
      <c r="S382" s="96"/>
      <c r="T382" s="96"/>
      <c r="U382" s="96"/>
      <c r="V382" s="96"/>
      <c r="W382" s="96"/>
      <c r="X382" s="96"/>
      <c r="Y382" s="96"/>
      <c r="Z382" s="96"/>
      <c r="AA382" s="96"/>
      <c r="AB382" s="96"/>
      <c r="AD382" s="96"/>
      <c r="AE382" s="96"/>
      <c r="AF382" s="96"/>
      <c r="AG382" s="96"/>
      <c r="AK382" s="96"/>
      <c r="AL382" s="96"/>
      <c r="AM382" s="96"/>
      <c r="AN382" s="96"/>
      <c r="AO382" s="96"/>
      <c r="AP382" s="96"/>
      <c r="AQ382" s="96"/>
      <c r="AR382" s="96"/>
      <c r="AS382" s="96"/>
    </row>
    <row r="383" spans="18:45" hidden="1">
      <c r="R383" s="96"/>
      <c r="S383" s="96"/>
      <c r="T383" s="96"/>
      <c r="U383" s="96"/>
      <c r="V383" s="96"/>
      <c r="W383" s="96"/>
      <c r="X383" s="96"/>
      <c r="Y383" s="96"/>
      <c r="Z383" s="96"/>
      <c r="AA383" s="96"/>
      <c r="AB383" s="96"/>
      <c r="AD383" s="96"/>
      <c r="AE383" s="96"/>
      <c r="AF383" s="96"/>
      <c r="AG383" s="96"/>
      <c r="AK383" s="96"/>
      <c r="AL383" s="96"/>
      <c r="AM383" s="96"/>
      <c r="AN383" s="96"/>
      <c r="AO383" s="96"/>
      <c r="AP383" s="96"/>
      <c r="AQ383" s="96"/>
      <c r="AR383" s="96"/>
      <c r="AS383" s="96"/>
    </row>
    <row r="384" spans="18:45" hidden="1">
      <c r="R384" s="96"/>
      <c r="S384" s="96"/>
      <c r="T384" s="96"/>
      <c r="U384" s="96"/>
      <c r="V384" s="96"/>
      <c r="W384" s="96"/>
      <c r="X384" s="96"/>
      <c r="Y384" s="96"/>
      <c r="Z384" s="96"/>
      <c r="AA384" s="96"/>
      <c r="AB384" s="96"/>
      <c r="AD384" s="96"/>
      <c r="AE384" s="96"/>
      <c r="AF384" s="96"/>
      <c r="AG384" s="96"/>
      <c r="AK384" s="96"/>
      <c r="AL384" s="96"/>
      <c r="AM384" s="96"/>
      <c r="AN384" s="96"/>
      <c r="AO384" s="96"/>
      <c r="AP384" s="96"/>
      <c r="AQ384" s="96"/>
      <c r="AR384" s="96"/>
      <c r="AS384" s="96"/>
    </row>
    <row r="385" spans="18:45" hidden="1">
      <c r="R385" s="96"/>
      <c r="S385" s="96"/>
      <c r="T385" s="96"/>
      <c r="U385" s="96"/>
      <c r="V385" s="96"/>
      <c r="W385" s="96"/>
      <c r="X385" s="96"/>
      <c r="Y385" s="96"/>
      <c r="Z385" s="96"/>
      <c r="AA385" s="96"/>
      <c r="AB385" s="96"/>
      <c r="AD385" s="96"/>
      <c r="AE385" s="96"/>
      <c r="AF385" s="96"/>
      <c r="AG385" s="96"/>
      <c r="AK385" s="96"/>
      <c r="AL385" s="96"/>
      <c r="AM385" s="96"/>
      <c r="AN385" s="96"/>
      <c r="AO385" s="96"/>
      <c r="AP385" s="96"/>
      <c r="AQ385" s="96"/>
      <c r="AR385" s="96"/>
      <c r="AS385" s="96"/>
    </row>
    <row r="386" spans="18:45" hidden="1">
      <c r="R386" s="96"/>
      <c r="S386" s="96"/>
      <c r="T386" s="96"/>
      <c r="U386" s="96"/>
      <c r="V386" s="96"/>
      <c r="W386" s="96"/>
      <c r="X386" s="96"/>
      <c r="Y386" s="96"/>
      <c r="Z386" s="96"/>
      <c r="AA386" s="96"/>
      <c r="AB386" s="96"/>
      <c r="AD386" s="96"/>
      <c r="AE386" s="96"/>
      <c r="AF386" s="96"/>
      <c r="AG386" s="96"/>
      <c r="AK386" s="96"/>
      <c r="AL386" s="96"/>
      <c r="AM386" s="96"/>
      <c r="AN386" s="96"/>
      <c r="AO386" s="96"/>
      <c r="AP386" s="96"/>
      <c r="AQ386" s="96"/>
      <c r="AR386" s="96"/>
      <c r="AS386" s="96"/>
    </row>
    <row r="387" spans="18:45" hidden="1">
      <c r="R387" s="96"/>
      <c r="S387" s="96"/>
      <c r="T387" s="96"/>
      <c r="U387" s="96"/>
      <c r="V387" s="96"/>
      <c r="W387" s="96"/>
      <c r="X387" s="96"/>
      <c r="Y387" s="96"/>
      <c r="Z387" s="96"/>
      <c r="AA387" s="96"/>
      <c r="AB387" s="96"/>
      <c r="AD387" s="96"/>
      <c r="AE387" s="96"/>
      <c r="AF387" s="96"/>
      <c r="AG387" s="96"/>
      <c r="AK387" s="96"/>
      <c r="AL387" s="96"/>
      <c r="AM387" s="96"/>
      <c r="AN387" s="96"/>
      <c r="AO387" s="96"/>
      <c r="AP387" s="96"/>
      <c r="AQ387" s="96"/>
      <c r="AR387" s="96"/>
      <c r="AS387" s="96"/>
    </row>
    <row r="388" spans="18:45" hidden="1">
      <c r="R388" s="96"/>
      <c r="S388" s="96"/>
      <c r="T388" s="96"/>
      <c r="U388" s="96"/>
      <c r="V388" s="96"/>
      <c r="W388" s="96"/>
      <c r="X388" s="96"/>
      <c r="Y388" s="96"/>
      <c r="Z388" s="96"/>
      <c r="AA388" s="96"/>
      <c r="AB388" s="96"/>
      <c r="AD388" s="96"/>
      <c r="AE388" s="96"/>
      <c r="AF388" s="96"/>
      <c r="AG388" s="96"/>
      <c r="AK388" s="96"/>
      <c r="AL388" s="96"/>
      <c r="AM388" s="96"/>
      <c r="AN388" s="96"/>
      <c r="AO388" s="96"/>
      <c r="AP388" s="96"/>
      <c r="AQ388" s="96"/>
      <c r="AR388" s="96"/>
      <c r="AS388" s="96"/>
    </row>
    <row r="389" spans="18:45" hidden="1">
      <c r="R389" s="96"/>
      <c r="S389" s="96"/>
      <c r="T389" s="96"/>
      <c r="U389" s="96"/>
      <c r="V389" s="96"/>
      <c r="W389" s="96"/>
      <c r="X389" s="96"/>
      <c r="Y389" s="96"/>
      <c r="Z389" s="96"/>
      <c r="AA389" s="96"/>
      <c r="AB389" s="96"/>
      <c r="AD389" s="96"/>
      <c r="AE389" s="96"/>
      <c r="AF389" s="96"/>
      <c r="AG389" s="96"/>
      <c r="AK389" s="96"/>
      <c r="AL389" s="96"/>
      <c r="AM389" s="96"/>
      <c r="AN389" s="96"/>
      <c r="AO389" s="96"/>
      <c r="AP389" s="96"/>
      <c r="AQ389" s="96"/>
      <c r="AR389" s="96"/>
      <c r="AS389" s="96"/>
    </row>
    <row r="390" spans="18:45" hidden="1">
      <c r="R390" s="96"/>
      <c r="S390" s="96"/>
      <c r="T390" s="96"/>
      <c r="U390" s="96"/>
      <c r="V390" s="96"/>
      <c r="W390" s="96"/>
      <c r="X390" s="96"/>
      <c r="Y390" s="96"/>
      <c r="Z390" s="96"/>
      <c r="AA390" s="96"/>
      <c r="AB390" s="96"/>
      <c r="AD390" s="96"/>
      <c r="AE390" s="96"/>
      <c r="AF390" s="96"/>
      <c r="AG390" s="96"/>
      <c r="AK390" s="96"/>
      <c r="AL390" s="96"/>
      <c r="AM390" s="96"/>
      <c r="AN390" s="96"/>
      <c r="AO390" s="96"/>
      <c r="AP390" s="96"/>
      <c r="AQ390" s="96"/>
      <c r="AR390" s="96"/>
      <c r="AS390" s="96"/>
    </row>
    <row r="391" spans="18:45" hidden="1">
      <c r="R391" s="96"/>
      <c r="S391" s="96"/>
      <c r="T391" s="96"/>
      <c r="U391" s="96"/>
      <c r="V391" s="96"/>
      <c r="W391" s="96"/>
      <c r="X391" s="96"/>
      <c r="Y391" s="96"/>
      <c r="Z391" s="96"/>
      <c r="AA391" s="96"/>
      <c r="AB391" s="96"/>
      <c r="AD391" s="96"/>
      <c r="AE391" s="96"/>
      <c r="AF391" s="96"/>
      <c r="AG391" s="96"/>
      <c r="AK391" s="96"/>
      <c r="AL391" s="96"/>
      <c r="AM391" s="96"/>
      <c r="AN391" s="96"/>
      <c r="AO391" s="96"/>
      <c r="AP391" s="96"/>
      <c r="AQ391" s="96"/>
      <c r="AR391" s="96"/>
      <c r="AS391" s="96"/>
    </row>
    <row r="392" spans="18:45" hidden="1">
      <c r="R392" s="96"/>
      <c r="S392" s="96"/>
      <c r="T392" s="96"/>
      <c r="U392" s="96"/>
      <c r="V392" s="96"/>
      <c r="W392" s="96"/>
      <c r="X392" s="96"/>
      <c r="Y392" s="96"/>
      <c r="Z392" s="96"/>
      <c r="AA392" s="96"/>
      <c r="AB392" s="96"/>
      <c r="AD392" s="96"/>
      <c r="AE392" s="96"/>
      <c r="AF392" s="96"/>
      <c r="AG392" s="96"/>
      <c r="AK392" s="96"/>
      <c r="AL392" s="96"/>
      <c r="AM392" s="96"/>
      <c r="AN392" s="96"/>
      <c r="AO392" s="96"/>
      <c r="AP392" s="96"/>
      <c r="AQ392" s="96"/>
      <c r="AR392" s="96"/>
      <c r="AS392" s="96"/>
    </row>
    <row r="393" spans="18:45" hidden="1">
      <c r="R393" s="96"/>
      <c r="S393" s="96"/>
      <c r="T393" s="96"/>
      <c r="U393" s="96"/>
      <c r="V393" s="96"/>
      <c r="W393" s="96"/>
      <c r="X393" s="96"/>
      <c r="Y393" s="96"/>
      <c r="Z393" s="96"/>
      <c r="AA393" s="96"/>
      <c r="AB393" s="96"/>
      <c r="AD393" s="96"/>
      <c r="AE393" s="96"/>
      <c r="AF393" s="96"/>
      <c r="AG393" s="96"/>
      <c r="AK393" s="96"/>
      <c r="AL393" s="96"/>
      <c r="AM393" s="96"/>
      <c r="AN393" s="96"/>
      <c r="AO393" s="96"/>
      <c r="AP393" s="96"/>
      <c r="AQ393" s="96"/>
      <c r="AR393" s="96"/>
      <c r="AS393" s="96"/>
    </row>
    <row r="394" spans="18:45" hidden="1">
      <c r="R394" s="96"/>
      <c r="S394" s="96"/>
      <c r="T394" s="96"/>
      <c r="U394" s="96"/>
      <c r="V394" s="96"/>
      <c r="W394" s="96"/>
      <c r="X394" s="96"/>
      <c r="Y394" s="96"/>
      <c r="Z394" s="96"/>
      <c r="AA394" s="96"/>
      <c r="AB394" s="96"/>
      <c r="AD394" s="96"/>
      <c r="AE394" s="96"/>
      <c r="AF394" s="96"/>
      <c r="AG394" s="96"/>
      <c r="AK394" s="96"/>
      <c r="AL394" s="96"/>
      <c r="AM394" s="96"/>
      <c r="AN394" s="96"/>
      <c r="AO394" s="96"/>
      <c r="AP394" s="96"/>
      <c r="AQ394" s="96"/>
      <c r="AR394" s="96"/>
      <c r="AS394" s="96"/>
    </row>
    <row r="395" spans="18:45" hidden="1">
      <c r="R395" s="96"/>
      <c r="S395" s="96"/>
      <c r="T395" s="96"/>
      <c r="U395" s="96"/>
      <c r="V395" s="96"/>
      <c r="W395" s="96"/>
      <c r="X395" s="96"/>
      <c r="Y395" s="96"/>
      <c r="Z395" s="96"/>
      <c r="AA395" s="96"/>
      <c r="AB395" s="96"/>
      <c r="AD395" s="96"/>
      <c r="AE395" s="96"/>
      <c r="AF395" s="96"/>
      <c r="AG395" s="96"/>
      <c r="AK395" s="96"/>
      <c r="AL395" s="96"/>
      <c r="AM395" s="96"/>
      <c r="AN395" s="96"/>
      <c r="AO395" s="96"/>
      <c r="AP395" s="96"/>
      <c r="AQ395" s="96"/>
      <c r="AR395" s="96"/>
      <c r="AS395" s="96"/>
    </row>
    <row r="396" spans="18:45" hidden="1">
      <c r="R396" s="96"/>
      <c r="S396" s="96"/>
      <c r="T396" s="96"/>
      <c r="U396" s="96"/>
      <c r="V396" s="96"/>
      <c r="W396" s="96"/>
      <c r="X396" s="96"/>
      <c r="Y396" s="96"/>
      <c r="Z396" s="96"/>
      <c r="AA396" s="96"/>
      <c r="AB396" s="96"/>
      <c r="AD396" s="96"/>
      <c r="AE396" s="96"/>
      <c r="AF396" s="96"/>
      <c r="AG396" s="96"/>
      <c r="AK396" s="96"/>
      <c r="AL396" s="96"/>
      <c r="AM396" s="96"/>
      <c r="AN396" s="96"/>
      <c r="AO396" s="96"/>
      <c r="AP396" s="96"/>
      <c r="AQ396" s="96"/>
      <c r="AR396" s="96"/>
      <c r="AS396" s="96"/>
    </row>
    <row r="397" spans="18:45" hidden="1">
      <c r="R397" s="96"/>
      <c r="S397" s="96"/>
      <c r="T397" s="96"/>
      <c r="U397" s="96"/>
      <c r="V397" s="96"/>
      <c r="W397" s="96"/>
      <c r="X397" s="96"/>
      <c r="Y397" s="96"/>
      <c r="Z397" s="96"/>
      <c r="AA397" s="96"/>
      <c r="AB397" s="96"/>
      <c r="AD397" s="96"/>
      <c r="AE397" s="96"/>
      <c r="AF397" s="96"/>
      <c r="AG397" s="96"/>
      <c r="AK397" s="96"/>
      <c r="AL397" s="96"/>
      <c r="AM397" s="96"/>
      <c r="AN397" s="96"/>
      <c r="AO397" s="96"/>
      <c r="AP397" s="96"/>
      <c r="AQ397" s="96"/>
      <c r="AR397" s="96"/>
      <c r="AS397" s="96"/>
    </row>
    <row r="398" spans="18:45" hidden="1">
      <c r="R398" s="96"/>
      <c r="S398" s="96"/>
      <c r="T398" s="96"/>
      <c r="U398" s="96"/>
      <c r="V398" s="96"/>
      <c r="W398" s="96"/>
      <c r="X398" s="96"/>
      <c r="Y398" s="96"/>
      <c r="Z398" s="96"/>
      <c r="AA398" s="96"/>
      <c r="AB398" s="96"/>
      <c r="AD398" s="96"/>
      <c r="AE398" s="96"/>
      <c r="AF398" s="96"/>
      <c r="AG398" s="96"/>
      <c r="AK398" s="96"/>
      <c r="AL398" s="96"/>
      <c r="AM398" s="96"/>
      <c r="AN398" s="96"/>
      <c r="AO398" s="96"/>
      <c r="AP398" s="96"/>
      <c r="AQ398" s="96"/>
      <c r="AR398" s="96"/>
      <c r="AS398" s="96"/>
    </row>
    <row r="399" spans="18:45" hidden="1">
      <c r="R399" s="96"/>
      <c r="S399" s="96"/>
      <c r="T399" s="96"/>
      <c r="U399" s="96"/>
      <c r="V399" s="96"/>
      <c r="W399" s="96"/>
      <c r="X399" s="96"/>
      <c r="Y399" s="96"/>
      <c r="Z399" s="96"/>
      <c r="AA399" s="96"/>
      <c r="AB399" s="96"/>
      <c r="AD399" s="96"/>
      <c r="AE399" s="96"/>
      <c r="AF399" s="96"/>
      <c r="AG399" s="96"/>
      <c r="AK399" s="96"/>
      <c r="AL399" s="96"/>
      <c r="AM399" s="96"/>
      <c r="AN399" s="96"/>
      <c r="AO399" s="96"/>
      <c r="AP399" s="96"/>
      <c r="AQ399" s="96"/>
      <c r="AR399" s="96"/>
      <c r="AS399" s="96"/>
    </row>
    <row r="400" spans="18:45" hidden="1">
      <c r="R400" s="96"/>
      <c r="S400" s="96"/>
      <c r="T400" s="96"/>
      <c r="U400" s="96"/>
      <c r="V400" s="96"/>
      <c r="W400" s="96"/>
      <c r="X400" s="96"/>
      <c r="Y400" s="96"/>
      <c r="Z400" s="96"/>
      <c r="AA400" s="96"/>
      <c r="AB400" s="96"/>
      <c r="AD400" s="96"/>
      <c r="AE400" s="96"/>
      <c r="AF400" s="96"/>
      <c r="AG400" s="96"/>
      <c r="AK400" s="96"/>
      <c r="AL400" s="96"/>
      <c r="AM400" s="96"/>
      <c r="AN400" s="96"/>
      <c r="AO400" s="96"/>
      <c r="AP400" s="96"/>
      <c r="AQ400" s="96"/>
      <c r="AR400" s="96"/>
      <c r="AS400" s="96"/>
    </row>
    <row r="401" spans="18:45" hidden="1">
      <c r="R401" s="96"/>
      <c r="S401" s="96"/>
      <c r="T401" s="96"/>
      <c r="U401" s="96"/>
      <c r="V401" s="96"/>
      <c r="W401" s="96"/>
      <c r="X401" s="96"/>
      <c r="Y401" s="96"/>
      <c r="Z401" s="96"/>
      <c r="AA401" s="96"/>
      <c r="AB401" s="96"/>
      <c r="AD401" s="96"/>
      <c r="AE401" s="96"/>
      <c r="AF401" s="96"/>
      <c r="AG401" s="96"/>
      <c r="AK401" s="96"/>
      <c r="AL401" s="96"/>
      <c r="AM401" s="96"/>
      <c r="AN401" s="96"/>
      <c r="AO401" s="96"/>
      <c r="AP401" s="96"/>
      <c r="AQ401" s="96"/>
      <c r="AR401" s="96"/>
      <c r="AS401" s="96"/>
    </row>
    <row r="402" spans="18:45" hidden="1">
      <c r="R402" s="96"/>
      <c r="S402" s="96"/>
      <c r="T402" s="96"/>
      <c r="U402" s="96"/>
      <c r="V402" s="96"/>
      <c r="W402" s="96"/>
      <c r="X402" s="96"/>
      <c r="Y402" s="96"/>
      <c r="Z402" s="96"/>
      <c r="AA402" s="96"/>
      <c r="AB402" s="96"/>
      <c r="AD402" s="96"/>
      <c r="AE402" s="96"/>
      <c r="AF402" s="96"/>
      <c r="AG402" s="96"/>
      <c r="AK402" s="96"/>
      <c r="AL402" s="96"/>
      <c r="AM402" s="96"/>
      <c r="AN402" s="96"/>
      <c r="AO402" s="96"/>
      <c r="AP402" s="96"/>
      <c r="AQ402" s="96"/>
      <c r="AR402" s="96"/>
      <c r="AS402" s="96"/>
    </row>
    <row r="403" spans="18:45" hidden="1">
      <c r="R403" s="96"/>
      <c r="S403" s="96"/>
      <c r="T403" s="96"/>
      <c r="U403" s="96"/>
      <c r="V403" s="96"/>
      <c r="W403" s="96"/>
      <c r="X403" s="96"/>
      <c r="Y403" s="96"/>
      <c r="Z403" s="96"/>
      <c r="AA403" s="96"/>
      <c r="AB403" s="96"/>
      <c r="AD403" s="96"/>
      <c r="AE403" s="96"/>
      <c r="AF403" s="96"/>
      <c r="AG403" s="96"/>
      <c r="AK403" s="96"/>
      <c r="AL403" s="96"/>
      <c r="AM403" s="96"/>
      <c r="AN403" s="96"/>
      <c r="AO403" s="96"/>
      <c r="AP403" s="96"/>
      <c r="AQ403" s="96"/>
      <c r="AR403" s="96"/>
      <c r="AS403" s="96"/>
    </row>
    <row r="404" spans="18:45" hidden="1">
      <c r="R404" s="96"/>
      <c r="S404" s="96"/>
      <c r="T404" s="96"/>
      <c r="U404" s="96"/>
      <c r="V404" s="96"/>
      <c r="W404" s="96"/>
      <c r="X404" s="96"/>
      <c r="Y404" s="96"/>
      <c r="Z404" s="96"/>
      <c r="AA404" s="96"/>
      <c r="AB404" s="96"/>
      <c r="AD404" s="96"/>
      <c r="AE404" s="96"/>
      <c r="AF404" s="96"/>
      <c r="AG404" s="96"/>
      <c r="AK404" s="96"/>
      <c r="AL404" s="96"/>
      <c r="AM404" s="96"/>
      <c r="AN404" s="96"/>
      <c r="AO404" s="96"/>
      <c r="AP404" s="96"/>
      <c r="AQ404" s="96"/>
      <c r="AR404" s="96"/>
      <c r="AS404" s="96"/>
    </row>
    <row r="405" spans="18:45" hidden="1">
      <c r="R405" s="96"/>
      <c r="S405" s="96"/>
      <c r="T405" s="96"/>
      <c r="U405" s="96"/>
      <c r="V405" s="96"/>
      <c r="W405" s="96"/>
      <c r="X405" s="96"/>
      <c r="Y405" s="96"/>
      <c r="Z405" s="96"/>
      <c r="AA405" s="96"/>
      <c r="AB405" s="96"/>
      <c r="AD405" s="96"/>
      <c r="AE405" s="96"/>
      <c r="AF405" s="96"/>
      <c r="AG405" s="96"/>
      <c r="AK405" s="96"/>
      <c r="AL405" s="96"/>
      <c r="AM405" s="96"/>
      <c r="AN405" s="96"/>
      <c r="AO405" s="96"/>
      <c r="AP405" s="96"/>
      <c r="AQ405" s="96"/>
      <c r="AR405" s="96"/>
      <c r="AS405" s="96"/>
    </row>
    <row r="406" spans="18:45" hidden="1">
      <c r="R406" s="96"/>
      <c r="S406" s="96"/>
      <c r="T406" s="96"/>
      <c r="U406" s="96"/>
      <c r="V406" s="96"/>
      <c r="W406" s="96"/>
      <c r="X406" s="96"/>
      <c r="Y406" s="96"/>
      <c r="Z406" s="96"/>
      <c r="AA406" s="96"/>
      <c r="AB406" s="96"/>
      <c r="AD406" s="96"/>
      <c r="AE406" s="96"/>
      <c r="AF406" s="96"/>
      <c r="AG406" s="96"/>
      <c r="AK406" s="96"/>
      <c r="AL406" s="96"/>
      <c r="AM406" s="96"/>
      <c r="AN406" s="96"/>
      <c r="AO406" s="96"/>
      <c r="AP406" s="96"/>
      <c r="AQ406" s="96"/>
      <c r="AR406" s="96"/>
      <c r="AS406" s="96"/>
    </row>
    <row r="407" spans="18:45" hidden="1">
      <c r="R407" s="96"/>
      <c r="S407" s="96"/>
      <c r="T407" s="96"/>
      <c r="U407" s="96"/>
      <c r="V407" s="96"/>
      <c r="W407" s="96"/>
      <c r="X407" s="96"/>
      <c r="Y407" s="96"/>
      <c r="Z407" s="96"/>
      <c r="AA407" s="96"/>
      <c r="AB407" s="96"/>
      <c r="AD407" s="96"/>
      <c r="AE407" s="96"/>
      <c r="AF407" s="96"/>
      <c r="AG407" s="96"/>
      <c r="AK407" s="96"/>
      <c r="AL407" s="96"/>
      <c r="AM407" s="96"/>
      <c r="AN407" s="96"/>
      <c r="AO407" s="96"/>
      <c r="AP407" s="96"/>
      <c r="AQ407" s="96"/>
      <c r="AR407" s="96"/>
      <c r="AS407" s="96"/>
    </row>
    <row r="408" spans="18:45" hidden="1">
      <c r="R408" s="96"/>
      <c r="S408" s="96"/>
      <c r="T408" s="96"/>
      <c r="U408" s="96"/>
      <c r="V408" s="96"/>
      <c r="W408" s="96"/>
      <c r="X408" s="96"/>
      <c r="Y408" s="96"/>
      <c r="Z408" s="96"/>
      <c r="AA408" s="96"/>
      <c r="AB408" s="96"/>
      <c r="AD408" s="96"/>
      <c r="AE408" s="96"/>
      <c r="AF408" s="96"/>
      <c r="AG408" s="96"/>
      <c r="AK408" s="96"/>
      <c r="AL408" s="96"/>
      <c r="AM408" s="96"/>
      <c r="AN408" s="96"/>
      <c r="AO408" s="96"/>
      <c r="AP408" s="96"/>
      <c r="AQ408" s="96"/>
      <c r="AR408" s="96"/>
      <c r="AS408" s="96"/>
    </row>
    <row r="409" spans="18:45" hidden="1">
      <c r="R409" s="96"/>
      <c r="S409" s="96"/>
      <c r="T409" s="96"/>
      <c r="U409" s="96"/>
      <c r="V409" s="96"/>
      <c r="W409" s="96"/>
      <c r="X409" s="96"/>
      <c r="Y409" s="96"/>
      <c r="Z409" s="96"/>
      <c r="AA409" s="96"/>
      <c r="AB409" s="96"/>
      <c r="AD409" s="96"/>
      <c r="AE409" s="96"/>
      <c r="AF409" s="96"/>
      <c r="AG409" s="96"/>
      <c r="AK409" s="96"/>
      <c r="AL409" s="96"/>
      <c r="AM409" s="96"/>
      <c r="AN409" s="96"/>
      <c r="AO409" s="96"/>
      <c r="AP409" s="96"/>
      <c r="AQ409" s="96"/>
      <c r="AR409" s="96"/>
      <c r="AS409" s="96"/>
    </row>
    <row r="410" spans="18:45" hidden="1">
      <c r="R410" s="96"/>
      <c r="S410" s="96"/>
      <c r="T410" s="96"/>
      <c r="U410" s="96"/>
      <c r="V410" s="96"/>
      <c r="W410" s="96"/>
      <c r="X410" s="96"/>
      <c r="Y410" s="96"/>
      <c r="Z410" s="96"/>
      <c r="AA410" s="96"/>
      <c r="AB410" s="96"/>
      <c r="AD410" s="96"/>
      <c r="AE410" s="96"/>
      <c r="AF410" s="96"/>
      <c r="AG410" s="96"/>
      <c r="AK410" s="96"/>
      <c r="AL410" s="96"/>
      <c r="AM410" s="96"/>
      <c r="AN410" s="96"/>
      <c r="AO410" s="96"/>
      <c r="AP410" s="96"/>
      <c r="AQ410" s="96"/>
      <c r="AR410" s="96"/>
      <c r="AS410" s="96"/>
    </row>
    <row r="411" spans="18:45" hidden="1">
      <c r="R411" s="96"/>
      <c r="S411" s="96"/>
      <c r="T411" s="96"/>
      <c r="U411" s="96"/>
      <c r="V411" s="96"/>
      <c r="W411" s="96"/>
      <c r="X411" s="96"/>
      <c r="Y411" s="96"/>
      <c r="Z411" s="96"/>
      <c r="AA411" s="96"/>
      <c r="AB411" s="96"/>
      <c r="AD411" s="96"/>
      <c r="AE411" s="96"/>
      <c r="AF411" s="96"/>
      <c r="AG411" s="96"/>
      <c r="AK411" s="96"/>
      <c r="AL411" s="96"/>
      <c r="AM411" s="96"/>
      <c r="AN411" s="96"/>
      <c r="AO411" s="96"/>
      <c r="AP411" s="96"/>
      <c r="AQ411" s="96"/>
      <c r="AR411" s="96"/>
      <c r="AS411" s="96"/>
    </row>
    <row r="412" spans="18:45" hidden="1">
      <c r="R412" s="96"/>
      <c r="S412" s="96"/>
      <c r="T412" s="96"/>
      <c r="U412" s="96"/>
      <c r="V412" s="96"/>
      <c r="W412" s="96"/>
      <c r="X412" s="96"/>
      <c r="Y412" s="96"/>
      <c r="Z412" s="96"/>
      <c r="AA412" s="96"/>
      <c r="AB412" s="96"/>
      <c r="AD412" s="96"/>
      <c r="AE412" s="96"/>
      <c r="AF412" s="96"/>
      <c r="AG412" s="96"/>
      <c r="AK412" s="96"/>
      <c r="AL412" s="96"/>
      <c r="AM412" s="96"/>
      <c r="AN412" s="96"/>
      <c r="AO412" s="96"/>
      <c r="AP412" s="96"/>
      <c r="AQ412" s="96"/>
      <c r="AR412" s="96"/>
      <c r="AS412" s="96"/>
    </row>
    <row r="413" spans="18:45" hidden="1">
      <c r="R413" s="96"/>
      <c r="S413" s="96"/>
      <c r="T413" s="96"/>
      <c r="U413" s="96"/>
      <c r="V413" s="96"/>
      <c r="W413" s="96"/>
      <c r="X413" s="96"/>
      <c r="Y413" s="96"/>
      <c r="Z413" s="96"/>
      <c r="AA413" s="96"/>
      <c r="AB413" s="96"/>
      <c r="AD413" s="96"/>
      <c r="AE413" s="96"/>
      <c r="AF413" s="96"/>
      <c r="AG413" s="96"/>
      <c r="AK413" s="96"/>
      <c r="AL413" s="96"/>
      <c r="AM413" s="96"/>
      <c r="AN413" s="96"/>
      <c r="AO413" s="96"/>
      <c r="AP413" s="96"/>
      <c r="AQ413" s="96"/>
      <c r="AR413" s="96"/>
      <c r="AS413" s="96"/>
    </row>
    <row r="414" spans="18:45" hidden="1">
      <c r="R414" s="96"/>
      <c r="S414" s="96"/>
      <c r="T414" s="96"/>
      <c r="U414" s="96"/>
      <c r="V414" s="96"/>
      <c r="W414" s="96"/>
      <c r="X414" s="96"/>
      <c r="Y414" s="96"/>
      <c r="Z414" s="96"/>
      <c r="AA414" s="96"/>
      <c r="AB414" s="96"/>
      <c r="AD414" s="96"/>
      <c r="AE414" s="96"/>
      <c r="AF414" s="96"/>
      <c r="AG414" s="96"/>
      <c r="AK414" s="96"/>
      <c r="AL414" s="96"/>
      <c r="AM414" s="96"/>
      <c r="AN414" s="96"/>
      <c r="AO414" s="96"/>
      <c r="AP414" s="96"/>
      <c r="AQ414" s="96"/>
      <c r="AR414" s="96"/>
      <c r="AS414" s="96"/>
    </row>
    <row r="415" spans="18:45" hidden="1">
      <c r="R415" s="96"/>
      <c r="S415" s="96"/>
      <c r="T415" s="96"/>
      <c r="U415" s="96"/>
      <c r="V415" s="96"/>
      <c r="W415" s="96"/>
      <c r="X415" s="96"/>
      <c r="Y415" s="96"/>
      <c r="Z415" s="96"/>
      <c r="AA415" s="96"/>
      <c r="AB415" s="96"/>
      <c r="AD415" s="96"/>
      <c r="AE415" s="96"/>
      <c r="AF415" s="96"/>
      <c r="AG415" s="96"/>
      <c r="AK415" s="96"/>
      <c r="AL415" s="96"/>
      <c r="AM415" s="96"/>
      <c r="AN415" s="96"/>
      <c r="AO415" s="96"/>
      <c r="AP415" s="96"/>
      <c r="AQ415" s="96"/>
      <c r="AR415" s="96"/>
      <c r="AS415" s="96"/>
    </row>
    <row r="416" spans="18:45" hidden="1">
      <c r="R416" s="96"/>
      <c r="S416" s="96"/>
      <c r="T416" s="96"/>
      <c r="U416" s="96"/>
      <c r="V416" s="96"/>
      <c r="W416" s="96"/>
      <c r="X416" s="96"/>
      <c r="Y416" s="96"/>
      <c r="Z416" s="96"/>
      <c r="AA416" s="96"/>
      <c r="AB416" s="96"/>
      <c r="AD416" s="96"/>
      <c r="AE416" s="96"/>
      <c r="AF416" s="96"/>
      <c r="AG416" s="96"/>
      <c r="AK416" s="96"/>
      <c r="AL416" s="96"/>
      <c r="AM416" s="96"/>
      <c r="AN416" s="96"/>
      <c r="AO416" s="96"/>
      <c r="AP416" s="96"/>
      <c r="AQ416" s="96"/>
      <c r="AR416" s="96"/>
      <c r="AS416" s="96"/>
    </row>
    <row r="417" spans="18:45" hidden="1">
      <c r="R417" s="96"/>
      <c r="S417" s="96"/>
      <c r="T417" s="96"/>
      <c r="U417" s="96"/>
      <c r="V417" s="96"/>
      <c r="W417" s="96"/>
      <c r="X417" s="96"/>
      <c r="Y417" s="96"/>
      <c r="Z417" s="96"/>
      <c r="AA417" s="96"/>
      <c r="AB417" s="96"/>
      <c r="AD417" s="96"/>
      <c r="AE417" s="96"/>
      <c r="AF417" s="96"/>
      <c r="AG417" s="96"/>
      <c r="AK417" s="96"/>
      <c r="AL417" s="96"/>
      <c r="AM417" s="96"/>
      <c r="AN417" s="96"/>
      <c r="AO417" s="96"/>
      <c r="AP417" s="96"/>
      <c r="AQ417" s="96"/>
      <c r="AR417" s="96"/>
      <c r="AS417" s="96"/>
    </row>
    <row r="418" spans="18:45" hidden="1">
      <c r="R418" s="96"/>
      <c r="S418" s="96"/>
      <c r="T418" s="96"/>
      <c r="U418" s="96"/>
      <c r="V418" s="96"/>
      <c r="W418" s="96"/>
      <c r="X418" s="96"/>
      <c r="Y418" s="96"/>
      <c r="Z418" s="96"/>
      <c r="AA418" s="96"/>
      <c r="AB418" s="96"/>
      <c r="AD418" s="96"/>
      <c r="AE418" s="96"/>
      <c r="AF418" s="96"/>
      <c r="AG418" s="96"/>
      <c r="AK418" s="96"/>
      <c r="AL418" s="96"/>
      <c r="AM418" s="96"/>
      <c r="AN418" s="96"/>
      <c r="AO418" s="96"/>
      <c r="AP418" s="96"/>
      <c r="AQ418" s="96"/>
      <c r="AR418" s="96"/>
      <c r="AS418" s="96"/>
    </row>
    <row r="419" spans="18:45" hidden="1">
      <c r="R419" s="96"/>
      <c r="S419" s="96"/>
      <c r="T419" s="96"/>
      <c r="U419" s="96"/>
      <c r="V419" s="96"/>
      <c r="W419" s="96"/>
      <c r="X419" s="96"/>
      <c r="Y419" s="96"/>
      <c r="Z419" s="96"/>
      <c r="AA419" s="96"/>
      <c r="AB419" s="96"/>
      <c r="AD419" s="96"/>
      <c r="AE419" s="96"/>
      <c r="AF419" s="96"/>
      <c r="AG419" s="96"/>
      <c r="AK419" s="96"/>
      <c r="AL419" s="96"/>
      <c r="AM419" s="96"/>
      <c r="AN419" s="96"/>
      <c r="AO419" s="96"/>
      <c r="AP419" s="96"/>
      <c r="AQ419" s="96"/>
      <c r="AR419" s="96"/>
      <c r="AS419" s="96"/>
    </row>
    <row r="420" spans="18:45" hidden="1">
      <c r="R420" s="96"/>
      <c r="S420" s="96"/>
      <c r="T420" s="96"/>
      <c r="U420" s="96"/>
      <c r="V420" s="96"/>
      <c r="W420" s="96"/>
      <c r="X420" s="96"/>
      <c r="Y420" s="96"/>
      <c r="Z420" s="96"/>
      <c r="AA420" s="96"/>
      <c r="AB420" s="96"/>
      <c r="AD420" s="96"/>
      <c r="AE420" s="96"/>
      <c r="AF420" s="96"/>
      <c r="AG420" s="96"/>
      <c r="AK420" s="96"/>
      <c r="AL420" s="96"/>
      <c r="AM420" s="96"/>
      <c r="AN420" s="96"/>
      <c r="AO420" s="96"/>
      <c r="AP420" s="96"/>
      <c r="AQ420" s="96"/>
      <c r="AR420" s="96"/>
      <c r="AS420" s="96"/>
    </row>
    <row r="421" spans="18:45" hidden="1">
      <c r="R421" s="96"/>
      <c r="S421" s="96"/>
      <c r="T421" s="96"/>
      <c r="U421" s="96"/>
      <c r="V421" s="96"/>
      <c r="W421" s="96"/>
      <c r="X421" s="96"/>
      <c r="Y421" s="96"/>
      <c r="Z421" s="96"/>
      <c r="AA421" s="96"/>
      <c r="AB421" s="96"/>
      <c r="AD421" s="96"/>
      <c r="AE421" s="96"/>
      <c r="AF421" s="96"/>
      <c r="AG421" s="96"/>
      <c r="AK421" s="96"/>
      <c r="AL421" s="96"/>
      <c r="AM421" s="96"/>
      <c r="AN421" s="96"/>
      <c r="AO421" s="96"/>
      <c r="AP421" s="96"/>
      <c r="AQ421" s="96"/>
      <c r="AR421" s="96"/>
      <c r="AS421" s="96"/>
    </row>
    <row r="422" spans="18:45" hidden="1">
      <c r="R422" s="96"/>
      <c r="S422" s="96"/>
      <c r="T422" s="96"/>
      <c r="U422" s="96"/>
      <c r="V422" s="96"/>
      <c r="W422" s="96"/>
      <c r="X422" s="96"/>
      <c r="Y422" s="96"/>
      <c r="Z422" s="96"/>
      <c r="AA422" s="96"/>
      <c r="AB422" s="96"/>
      <c r="AD422" s="96"/>
      <c r="AE422" s="96"/>
      <c r="AF422" s="96"/>
      <c r="AG422" s="96"/>
      <c r="AK422" s="96"/>
      <c r="AL422" s="96"/>
      <c r="AM422" s="96"/>
      <c r="AN422" s="96"/>
      <c r="AO422" s="96"/>
      <c r="AP422" s="96"/>
      <c r="AQ422" s="96"/>
      <c r="AR422" s="96"/>
      <c r="AS422" s="96"/>
    </row>
    <row r="423" spans="18:45" hidden="1">
      <c r="R423" s="96"/>
      <c r="S423" s="96"/>
      <c r="T423" s="96"/>
      <c r="U423" s="96"/>
      <c r="V423" s="96"/>
      <c r="W423" s="96"/>
      <c r="X423" s="96"/>
      <c r="Y423" s="96"/>
      <c r="Z423" s="96"/>
      <c r="AA423" s="96"/>
      <c r="AB423" s="96"/>
      <c r="AD423" s="96"/>
      <c r="AE423" s="96"/>
      <c r="AF423" s="96"/>
      <c r="AG423" s="96"/>
      <c r="AK423" s="96"/>
      <c r="AL423" s="96"/>
      <c r="AM423" s="96"/>
      <c r="AN423" s="96"/>
      <c r="AO423" s="96"/>
      <c r="AP423" s="96"/>
      <c r="AQ423" s="96"/>
      <c r="AR423" s="96"/>
      <c r="AS423" s="96"/>
    </row>
    <row r="424" spans="18:45" hidden="1">
      <c r="R424" s="96"/>
      <c r="S424" s="96"/>
      <c r="T424" s="96"/>
      <c r="U424" s="96"/>
      <c r="V424" s="96"/>
      <c r="W424" s="96"/>
      <c r="X424" s="96"/>
      <c r="Y424" s="96"/>
      <c r="Z424" s="96"/>
      <c r="AA424" s="96"/>
      <c r="AB424" s="96"/>
      <c r="AD424" s="96"/>
      <c r="AE424" s="96"/>
      <c r="AF424" s="96"/>
      <c r="AG424" s="96"/>
      <c r="AK424" s="96"/>
      <c r="AL424" s="96"/>
      <c r="AM424" s="96"/>
      <c r="AN424" s="96"/>
      <c r="AO424" s="96"/>
      <c r="AP424" s="96"/>
      <c r="AQ424" s="96"/>
      <c r="AR424" s="96"/>
      <c r="AS424" s="96"/>
    </row>
    <row r="425" spans="18:45" hidden="1">
      <c r="R425" s="96"/>
      <c r="S425" s="96"/>
      <c r="T425" s="96"/>
      <c r="U425" s="96"/>
      <c r="V425" s="96"/>
      <c r="W425" s="96"/>
      <c r="X425" s="96"/>
      <c r="Y425" s="96"/>
      <c r="Z425" s="96"/>
      <c r="AA425" s="96"/>
      <c r="AB425" s="96"/>
      <c r="AD425" s="96"/>
      <c r="AE425" s="96"/>
      <c r="AF425" s="96"/>
      <c r="AG425" s="96"/>
      <c r="AK425" s="96"/>
      <c r="AL425" s="96"/>
      <c r="AM425" s="96"/>
      <c r="AN425" s="96"/>
      <c r="AO425" s="96"/>
      <c r="AP425" s="96"/>
      <c r="AQ425" s="96"/>
      <c r="AR425" s="96"/>
      <c r="AS425" s="96"/>
    </row>
    <row r="426" spans="18:45" hidden="1">
      <c r="R426" s="96"/>
      <c r="S426" s="96"/>
      <c r="T426" s="96"/>
      <c r="U426" s="96"/>
      <c r="V426" s="96"/>
      <c r="W426" s="96"/>
      <c r="X426" s="96"/>
      <c r="Y426" s="96"/>
      <c r="Z426" s="96"/>
      <c r="AA426" s="96"/>
      <c r="AB426" s="96"/>
      <c r="AD426" s="96"/>
      <c r="AE426" s="96"/>
      <c r="AF426" s="96"/>
      <c r="AG426" s="96"/>
      <c r="AK426" s="96"/>
      <c r="AL426" s="96"/>
      <c r="AM426" s="96"/>
      <c r="AN426" s="96"/>
      <c r="AO426" s="96"/>
      <c r="AP426" s="96"/>
      <c r="AQ426" s="96"/>
      <c r="AR426" s="96"/>
      <c r="AS426" s="96"/>
    </row>
    <row r="427" spans="18:45" hidden="1">
      <c r="R427" s="96"/>
      <c r="S427" s="96"/>
      <c r="T427" s="96"/>
      <c r="U427" s="96"/>
      <c r="V427" s="96"/>
      <c r="W427" s="96"/>
      <c r="X427" s="96"/>
      <c r="Y427" s="96"/>
      <c r="Z427" s="96"/>
      <c r="AA427" s="96"/>
      <c r="AB427" s="96"/>
      <c r="AD427" s="96"/>
      <c r="AE427" s="96"/>
      <c r="AF427" s="96"/>
      <c r="AG427" s="96"/>
      <c r="AK427" s="96"/>
      <c r="AL427" s="96"/>
      <c r="AM427" s="96"/>
      <c r="AN427" s="96"/>
      <c r="AO427" s="96"/>
      <c r="AP427" s="96"/>
      <c r="AQ427" s="96"/>
      <c r="AR427" s="96"/>
      <c r="AS427" s="96"/>
    </row>
    <row r="428" spans="18:45" hidden="1">
      <c r="R428" s="96"/>
      <c r="S428" s="96"/>
      <c r="T428" s="96"/>
      <c r="U428" s="96"/>
      <c r="V428" s="96"/>
      <c r="W428" s="96"/>
      <c r="X428" s="96"/>
      <c r="Y428" s="96"/>
      <c r="Z428" s="96"/>
      <c r="AA428" s="96"/>
      <c r="AB428" s="96"/>
      <c r="AD428" s="96"/>
      <c r="AE428" s="96"/>
      <c r="AF428" s="96"/>
      <c r="AG428" s="96"/>
      <c r="AK428" s="96"/>
      <c r="AL428" s="96"/>
      <c r="AM428" s="96"/>
      <c r="AN428" s="96"/>
      <c r="AO428" s="96"/>
      <c r="AP428" s="96"/>
      <c r="AQ428" s="96"/>
      <c r="AR428" s="96"/>
      <c r="AS428" s="96"/>
    </row>
    <row r="429" spans="18:45" hidden="1">
      <c r="R429" s="96"/>
      <c r="S429" s="96"/>
      <c r="T429" s="96"/>
      <c r="U429" s="96"/>
      <c r="V429" s="96"/>
      <c r="W429" s="96"/>
      <c r="X429" s="96"/>
      <c r="Y429" s="96"/>
      <c r="Z429" s="96"/>
      <c r="AA429" s="96"/>
      <c r="AB429" s="96"/>
      <c r="AD429" s="96"/>
      <c r="AE429" s="96"/>
      <c r="AF429" s="96"/>
      <c r="AG429" s="96"/>
      <c r="AK429" s="96"/>
      <c r="AL429" s="96"/>
      <c r="AM429" s="96"/>
      <c r="AN429" s="96"/>
      <c r="AO429" s="96"/>
      <c r="AP429" s="96"/>
      <c r="AQ429" s="96"/>
      <c r="AR429" s="96"/>
      <c r="AS429" s="96"/>
    </row>
    <row r="430" spans="18:45" hidden="1">
      <c r="R430" s="96"/>
      <c r="S430" s="96"/>
      <c r="T430" s="96"/>
      <c r="U430" s="96"/>
      <c r="V430" s="96"/>
      <c r="W430" s="96"/>
      <c r="X430" s="96"/>
      <c r="Y430" s="96"/>
      <c r="Z430" s="96"/>
      <c r="AA430" s="96"/>
      <c r="AB430" s="96"/>
      <c r="AD430" s="96"/>
      <c r="AE430" s="96"/>
      <c r="AF430" s="96"/>
      <c r="AG430" s="96"/>
      <c r="AK430" s="96"/>
      <c r="AL430" s="96"/>
      <c r="AM430" s="96"/>
      <c r="AN430" s="96"/>
      <c r="AO430" s="96"/>
      <c r="AP430" s="96"/>
      <c r="AQ430" s="96"/>
      <c r="AR430" s="96"/>
      <c r="AS430" s="96"/>
    </row>
    <row r="431" spans="18:45" hidden="1">
      <c r="R431" s="96"/>
      <c r="S431" s="96"/>
      <c r="T431" s="96"/>
      <c r="U431" s="96"/>
      <c r="V431" s="96"/>
      <c r="W431" s="96"/>
      <c r="X431" s="96"/>
      <c r="Y431" s="96"/>
      <c r="Z431" s="96"/>
      <c r="AA431" s="96"/>
      <c r="AB431" s="96"/>
      <c r="AD431" s="96"/>
      <c r="AE431" s="96"/>
      <c r="AF431" s="96"/>
      <c r="AG431" s="96"/>
      <c r="AK431" s="96"/>
      <c r="AL431" s="96"/>
      <c r="AM431" s="96"/>
      <c r="AN431" s="96"/>
      <c r="AO431" s="96"/>
      <c r="AP431" s="96"/>
      <c r="AQ431" s="96"/>
      <c r="AR431" s="96"/>
      <c r="AS431" s="96"/>
    </row>
    <row r="432" spans="18:45" hidden="1">
      <c r="R432" s="96"/>
      <c r="S432" s="96"/>
      <c r="T432" s="96"/>
      <c r="U432" s="96"/>
      <c r="V432" s="96"/>
      <c r="W432" s="96"/>
      <c r="X432" s="96"/>
      <c r="Y432" s="96"/>
      <c r="Z432" s="96"/>
      <c r="AA432" s="96"/>
      <c r="AB432" s="96"/>
      <c r="AD432" s="96"/>
      <c r="AE432" s="96"/>
      <c r="AF432" s="96"/>
      <c r="AG432" s="96"/>
      <c r="AK432" s="96"/>
      <c r="AL432" s="96"/>
      <c r="AM432" s="96"/>
      <c r="AN432" s="96"/>
      <c r="AO432" s="96"/>
      <c r="AP432" s="96"/>
      <c r="AQ432" s="96"/>
      <c r="AR432" s="96"/>
      <c r="AS432" s="96"/>
    </row>
    <row r="433" spans="18:45" hidden="1">
      <c r="R433" s="96"/>
      <c r="S433" s="96"/>
      <c r="T433" s="96"/>
      <c r="U433" s="96"/>
      <c r="V433" s="96"/>
      <c r="W433" s="96"/>
      <c r="X433" s="96"/>
      <c r="Y433" s="96"/>
      <c r="Z433" s="96"/>
      <c r="AA433" s="96"/>
      <c r="AB433" s="96"/>
      <c r="AD433" s="96"/>
      <c r="AE433" s="96"/>
      <c r="AF433" s="96"/>
      <c r="AG433" s="96"/>
      <c r="AK433" s="96"/>
      <c r="AL433" s="96"/>
      <c r="AM433" s="96"/>
      <c r="AN433" s="96"/>
      <c r="AO433" s="96"/>
      <c r="AP433" s="96"/>
      <c r="AQ433" s="96"/>
      <c r="AR433" s="96"/>
      <c r="AS433" s="96"/>
    </row>
    <row r="434" spans="18:45" hidden="1">
      <c r="R434" s="96"/>
      <c r="S434" s="96"/>
      <c r="T434" s="96"/>
      <c r="U434" s="96"/>
      <c r="V434" s="96"/>
      <c r="W434" s="96"/>
      <c r="X434" s="96"/>
      <c r="Y434" s="96"/>
      <c r="Z434" s="96"/>
      <c r="AA434" s="96"/>
      <c r="AB434" s="96"/>
      <c r="AD434" s="96"/>
      <c r="AE434" s="96"/>
      <c r="AF434" s="96"/>
      <c r="AG434" s="96"/>
      <c r="AK434" s="96"/>
      <c r="AL434" s="96"/>
      <c r="AM434" s="96"/>
      <c r="AN434" s="96"/>
      <c r="AO434" s="96"/>
      <c r="AP434" s="96"/>
      <c r="AQ434" s="96"/>
      <c r="AR434" s="96"/>
      <c r="AS434" s="96"/>
    </row>
    <row r="435" spans="18:45" hidden="1">
      <c r="R435" s="96"/>
      <c r="S435" s="96"/>
      <c r="T435" s="96"/>
      <c r="U435" s="96"/>
      <c r="V435" s="96"/>
      <c r="W435" s="96"/>
      <c r="X435" s="96"/>
      <c r="Y435" s="96"/>
      <c r="Z435" s="96"/>
      <c r="AA435" s="96"/>
      <c r="AB435" s="96"/>
      <c r="AD435" s="96"/>
      <c r="AE435" s="96"/>
      <c r="AF435" s="96"/>
      <c r="AG435" s="96"/>
      <c r="AK435" s="96"/>
      <c r="AL435" s="96"/>
      <c r="AM435" s="96"/>
      <c r="AN435" s="96"/>
      <c r="AO435" s="96"/>
      <c r="AP435" s="96"/>
      <c r="AQ435" s="96"/>
      <c r="AR435" s="96"/>
      <c r="AS435" s="96"/>
    </row>
    <row r="436" spans="18:45" hidden="1">
      <c r="R436" s="96"/>
      <c r="S436" s="96"/>
      <c r="T436" s="96"/>
      <c r="U436" s="96"/>
      <c r="V436" s="96"/>
      <c r="W436" s="96"/>
      <c r="X436" s="96"/>
      <c r="Y436" s="96"/>
      <c r="Z436" s="96"/>
      <c r="AA436" s="96"/>
      <c r="AB436" s="96"/>
      <c r="AD436" s="96"/>
      <c r="AE436" s="96"/>
      <c r="AF436" s="96"/>
      <c r="AG436" s="96"/>
      <c r="AK436" s="96"/>
      <c r="AL436" s="96"/>
      <c r="AM436" s="96"/>
      <c r="AN436" s="96"/>
      <c r="AO436" s="96"/>
      <c r="AP436" s="96"/>
      <c r="AQ436" s="96"/>
      <c r="AR436" s="96"/>
      <c r="AS436" s="96"/>
    </row>
    <row r="437" spans="18:45" hidden="1">
      <c r="R437" s="96"/>
      <c r="S437" s="96"/>
      <c r="T437" s="96"/>
      <c r="U437" s="96"/>
      <c r="V437" s="96"/>
      <c r="W437" s="96"/>
      <c r="X437" s="96"/>
      <c r="Y437" s="96"/>
      <c r="Z437" s="96"/>
      <c r="AA437" s="96"/>
      <c r="AB437" s="96"/>
      <c r="AD437" s="96"/>
      <c r="AE437" s="96"/>
      <c r="AF437" s="96"/>
      <c r="AG437" s="96"/>
      <c r="AK437" s="96"/>
      <c r="AL437" s="96"/>
      <c r="AM437" s="96"/>
      <c r="AN437" s="96"/>
      <c r="AO437" s="96"/>
      <c r="AP437" s="96"/>
      <c r="AQ437" s="96"/>
      <c r="AR437" s="96"/>
      <c r="AS437" s="96"/>
    </row>
    <row r="438" spans="18:45" hidden="1">
      <c r="R438" s="96"/>
      <c r="S438" s="96"/>
      <c r="T438" s="96"/>
      <c r="U438" s="96"/>
      <c r="V438" s="96"/>
      <c r="W438" s="96"/>
      <c r="X438" s="96"/>
      <c r="Y438" s="96"/>
      <c r="Z438" s="96"/>
      <c r="AA438" s="96"/>
      <c r="AB438" s="96"/>
      <c r="AD438" s="96"/>
      <c r="AE438" s="96"/>
      <c r="AF438" s="96"/>
      <c r="AG438" s="96"/>
      <c r="AK438" s="96"/>
      <c r="AL438" s="96"/>
      <c r="AM438" s="96"/>
      <c r="AN438" s="96"/>
      <c r="AO438" s="96"/>
      <c r="AP438" s="96"/>
      <c r="AQ438" s="96"/>
      <c r="AR438" s="96"/>
      <c r="AS438" s="96"/>
    </row>
    <row r="439" spans="18:45" hidden="1">
      <c r="R439" s="96"/>
      <c r="S439" s="96"/>
      <c r="T439" s="96"/>
      <c r="U439" s="96"/>
      <c r="V439" s="96"/>
      <c r="W439" s="96"/>
      <c r="X439" s="96"/>
      <c r="Y439" s="96"/>
      <c r="Z439" s="96"/>
      <c r="AA439" s="96"/>
      <c r="AB439" s="96"/>
      <c r="AD439" s="96"/>
      <c r="AE439" s="96"/>
      <c r="AF439" s="96"/>
      <c r="AG439" s="96"/>
      <c r="AK439" s="96"/>
      <c r="AL439" s="96"/>
      <c r="AM439" s="96"/>
      <c r="AN439" s="96"/>
      <c r="AO439" s="96"/>
      <c r="AP439" s="96"/>
      <c r="AQ439" s="96"/>
      <c r="AR439" s="96"/>
      <c r="AS439" s="96"/>
    </row>
    <row r="440" spans="18:45" hidden="1">
      <c r="R440" s="96"/>
      <c r="S440" s="96"/>
      <c r="T440" s="96"/>
      <c r="U440" s="96"/>
      <c r="V440" s="96"/>
      <c r="W440" s="96"/>
      <c r="X440" s="96"/>
      <c r="Y440" s="96"/>
      <c r="Z440" s="96"/>
      <c r="AA440" s="96"/>
      <c r="AB440" s="96"/>
      <c r="AD440" s="96"/>
      <c r="AE440" s="96"/>
      <c r="AF440" s="96"/>
      <c r="AG440" s="96"/>
      <c r="AK440" s="96"/>
      <c r="AL440" s="96"/>
      <c r="AM440" s="96"/>
      <c r="AN440" s="96"/>
      <c r="AO440" s="96"/>
      <c r="AP440" s="96"/>
      <c r="AQ440" s="96"/>
      <c r="AR440" s="96"/>
      <c r="AS440" s="96"/>
    </row>
    <row r="441" spans="18:45" hidden="1">
      <c r="R441" s="96"/>
      <c r="S441" s="96"/>
      <c r="T441" s="96"/>
      <c r="U441" s="96"/>
      <c r="V441" s="96"/>
      <c r="W441" s="96"/>
      <c r="X441" s="96"/>
      <c r="Y441" s="96"/>
      <c r="Z441" s="96"/>
      <c r="AA441" s="96"/>
      <c r="AB441" s="96"/>
      <c r="AD441" s="96"/>
      <c r="AE441" s="96"/>
      <c r="AF441" s="96"/>
      <c r="AG441" s="96"/>
      <c r="AK441" s="96"/>
      <c r="AL441" s="96"/>
      <c r="AM441" s="96"/>
      <c r="AN441" s="96"/>
      <c r="AO441" s="96"/>
      <c r="AP441" s="96"/>
      <c r="AQ441" s="96"/>
      <c r="AR441" s="96"/>
      <c r="AS441" s="96"/>
    </row>
    <row r="442" spans="18:45" hidden="1">
      <c r="R442" s="96"/>
      <c r="S442" s="96"/>
      <c r="T442" s="96"/>
      <c r="U442" s="96"/>
      <c r="V442" s="96"/>
      <c r="W442" s="96"/>
      <c r="X442" s="96"/>
      <c r="Y442" s="96"/>
      <c r="Z442" s="96"/>
      <c r="AA442" s="96"/>
      <c r="AB442" s="96"/>
      <c r="AD442" s="96"/>
      <c r="AE442" s="96"/>
      <c r="AF442" s="96"/>
      <c r="AG442" s="96"/>
      <c r="AK442" s="96"/>
      <c r="AL442" s="96"/>
      <c r="AM442" s="96"/>
      <c r="AN442" s="96"/>
      <c r="AO442" s="96"/>
      <c r="AP442" s="96"/>
      <c r="AQ442" s="96"/>
      <c r="AR442" s="96"/>
      <c r="AS442" s="96"/>
    </row>
    <row r="443" spans="18:45" hidden="1">
      <c r="R443" s="96"/>
      <c r="S443" s="96"/>
      <c r="T443" s="96"/>
      <c r="U443" s="96"/>
      <c r="V443" s="96"/>
      <c r="W443" s="96"/>
      <c r="X443" s="96"/>
      <c r="Y443" s="96"/>
      <c r="Z443" s="96"/>
      <c r="AA443" s="96"/>
      <c r="AB443" s="96"/>
      <c r="AD443" s="96"/>
      <c r="AE443" s="96"/>
      <c r="AF443" s="96"/>
      <c r="AG443" s="96"/>
      <c r="AK443" s="96"/>
      <c r="AL443" s="96"/>
      <c r="AM443" s="96"/>
      <c r="AN443" s="96"/>
      <c r="AO443" s="96"/>
      <c r="AP443" s="96"/>
      <c r="AQ443" s="96"/>
      <c r="AR443" s="96"/>
      <c r="AS443" s="96"/>
    </row>
    <row r="444" spans="18:45" hidden="1">
      <c r="R444" s="96"/>
      <c r="S444" s="96"/>
      <c r="T444" s="96"/>
      <c r="U444" s="96"/>
      <c r="V444" s="96"/>
      <c r="W444" s="96"/>
      <c r="X444" s="96"/>
      <c r="Y444" s="96"/>
      <c r="Z444" s="96"/>
      <c r="AA444" s="96"/>
      <c r="AB444" s="96"/>
      <c r="AD444" s="96"/>
      <c r="AE444" s="96"/>
      <c r="AF444" s="96"/>
      <c r="AG444" s="96"/>
      <c r="AK444" s="96"/>
      <c r="AL444" s="96"/>
      <c r="AM444" s="96"/>
      <c r="AN444" s="96"/>
      <c r="AO444" s="96"/>
      <c r="AP444" s="96"/>
      <c r="AQ444" s="96"/>
      <c r="AR444" s="96"/>
      <c r="AS444" s="96"/>
    </row>
    <row r="445" spans="18:45" hidden="1">
      <c r="R445" s="96"/>
      <c r="S445" s="96"/>
      <c r="T445" s="96"/>
      <c r="U445" s="96"/>
      <c r="V445" s="96"/>
      <c r="W445" s="96"/>
      <c r="X445" s="96"/>
      <c r="Y445" s="96"/>
      <c r="Z445" s="96"/>
      <c r="AA445" s="96"/>
      <c r="AB445" s="96"/>
      <c r="AD445" s="96"/>
      <c r="AE445" s="96"/>
      <c r="AF445" s="96"/>
      <c r="AG445" s="96"/>
      <c r="AK445" s="96"/>
      <c r="AL445" s="96"/>
      <c r="AM445" s="96"/>
      <c r="AN445" s="96"/>
      <c r="AO445" s="96"/>
      <c r="AP445" s="96"/>
      <c r="AQ445" s="96"/>
      <c r="AR445" s="96"/>
      <c r="AS445" s="96"/>
    </row>
    <row r="446" spans="18:45" hidden="1">
      <c r="R446" s="96"/>
      <c r="S446" s="96"/>
      <c r="T446" s="96"/>
      <c r="U446" s="96"/>
      <c r="V446" s="96"/>
      <c r="W446" s="96"/>
      <c r="X446" s="96"/>
      <c r="Y446" s="96"/>
      <c r="Z446" s="96"/>
      <c r="AA446" s="96"/>
      <c r="AB446" s="96"/>
      <c r="AD446" s="96"/>
      <c r="AE446" s="96"/>
      <c r="AF446" s="96"/>
      <c r="AG446" s="96"/>
      <c r="AK446" s="96"/>
      <c r="AL446" s="96"/>
      <c r="AM446" s="96"/>
      <c r="AN446" s="96"/>
      <c r="AO446" s="96"/>
      <c r="AP446" s="96"/>
      <c r="AQ446" s="96"/>
      <c r="AR446" s="96"/>
      <c r="AS446" s="96"/>
    </row>
    <row r="447" spans="18:45" hidden="1">
      <c r="R447" s="96"/>
      <c r="S447" s="96"/>
      <c r="T447" s="96"/>
      <c r="U447" s="96"/>
      <c r="V447" s="96"/>
      <c r="W447" s="96"/>
      <c r="X447" s="96"/>
      <c r="Y447" s="96"/>
      <c r="Z447" s="96"/>
      <c r="AA447" s="96"/>
      <c r="AB447" s="96"/>
      <c r="AD447" s="96"/>
      <c r="AE447" s="96"/>
      <c r="AF447" s="96"/>
      <c r="AG447" s="96"/>
      <c r="AK447" s="96"/>
      <c r="AL447" s="96"/>
      <c r="AM447" s="96"/>
      <c r="AN447" s="96"/>
      <c r="AO447" s="96"/>
      <c r="AP447" s="96"/>
      <c r="AQ447" s="96"/>
      <c r="AR447" s="96"/>
      <c r="AS447" s="96"/>
    </row>
    <row r="448" spans="18:45" hidden="1">
      <c r="R448" s="96"/>
      <c r="S448" s="96"/>
      <c r="T448" s="96"/>
      <c r="U448" s="96"/>
      <c r="V448" s="96"/>
      <c r="W448" s="96"/>
      <c r="X448" s="96"/>
      <c r="Y448" s="96"/>
      <c r="Z448" s="96"/>
      <c r="AA448" s="96"/>
      <c r="AB448" s="96"/>
      <c r="AD448" s="96"/>
      <c r="AE448" s="96"/>
      <c r="AF448" s="96"/>
      <c r="AG448" s="96"/>
      <c r="AK448" s="96"/>
      <c r="AL448" s="96"/>
      <c r="AM448" s="96"/>
      <c r="AN448" s="96"/>
      <c r="AO448" s="96"/>
      <c r="AP448" s="96"/>
      <c r="AQ448" s="96"/>
      <c r="AR448" s="96"/>
      <c r="AS448" s="96"/>
    </row>
    <row r="449" spans="18:45" hidden="1">
      <c r="R449" s="96"/>
      <c r="S449" s="96"/>
      <c r="T449" s="96"/>
      <c r="U449" s="96"/>
      <c r="V449" s="96"/>
      <c r="W449" s="96"/>
      <c r="X449" s="96"/>
      <c r="Y449" s="96"/>
      <c r="Z449" s="96"/>
      <c r="AA449" s="96"/>
      <c r="AB449" s="96"/>
      <c r="AD449" s="96"/>
      <c r="AE449" s="96"/>
      <c r="AF449" s="96"/>
      <c r="AG449" s="96"/>
      <c r="AK449" s="96"/>
      <c r="AL449" s="96"/>
      <c r="AM449" s="96"/>
      <c r="AN449" s="96"/>
      <c r="AO449" s="96"/>
      <c r="AP449" s="96"/>
      <c r="AQ449" s="96"/>
      <c r="AR449" s="96"/>
      <c r="AS449" s="96"/>
    </row>
    <row r="450" spans="18:45" hidden="1">
      <c r="R450" s="96"/>
      <c r="S450" s="96"/>
      <c r="T450" s="96"/>
      <c r="U450" s="96"/>
      <c r="V450" s="96"/>
      <c r="W450" s="96"/>
      <c r="X450" s="96"/>
      <c r="Y450" s="96"/>
      <c r="Z450" s="96"/>
      <c r="AA450" s="96"/>
      <c r="AB450" s="96"/>
      <c r="AD450" s="96"/>
      <c r="AE450" s="96"/>
      <c r="AF450" s="96"/>
      <c r="AG450" s="96"/>
      <c r="AK450" s="96"/>
      <c r="AL450" s="96"/>
      <c r="AM450" s="96"/>
      <c r="AN450" s="96"/>
      <c r="AO450" s="96"/>
      <c r="AP450" s="96"/>
      <c r="AQ450" s="96"/>
      <c r="AR450" s="96"/>
      <c r="AS450" s="96"/>
    </row>
    <row r="451" spans="18:45" hidden="1">
      <c r="R451" s="96"/>
      <c r="S451" s="96"/>
      <c r="T451" s="96"/>
      <c r="U451" s="96"/>
      <c r="V451" s="96"/>
      <c r="W451" s="96"/>
      <c r="X451" s="96"/>
      <c r="Y451" s="96"/>
      <c r="Z451" s="96"/>
      <c r="AA451" s="96"/>
      <c r="AB451" s="96"/>
      <c r="AD451" s="96"/>
      <c r="AE451" s="96"/>
      <c r="AF451" s="96"/>
      <c r="AG451" s="96"/>
      <c r="AK451" s="96"/>
      <c r="AL451" s="96"/>
      <c r="AM451" s="96"/>
      <c r="AN451" s="96"/>
      <c r="AO451" s="96"/>
      <c r="AP451" s="96"/>
      <c r="AQ451" s="96"/>
      <c r="AR451" s="96"/>
      <c r="AS451" s="96"/>
    </row>
    <row r="452" spans="18:45" hidden="1">
      <c r="R452" s="96"/>
      <c r="S452" s="96"/>
      <c r="T452" s="96"/>
      <c r="U452" s="96"/>
      <c r="V452" s="96"/>
      <c r="W452" s="96"/>
      <c r="X452" s="96"/>
      <c r="Y452" s="96"/>
      <c r="Z452" s="96"/>
      <c r="AA452" s="96"/>
      <c r="AB452" s="96"/>
      <c r="AD452" s="96"/>
      <c r="AE452" s="96"/>
      <c r="AF452" s="96"/>
      <c r="AG452" s="96"/>
      <c r="AK452" s="96"/>
      <c r="AL452" s="96"/>
      <c r="AM452" s="96"/>
      <c r="AN452" s="96"/>
      <c r="AO452" s="96"/>
      <c r="AP452" s="96"/>
      <c r="AQ452" s="96"/>
      <c r="AR452" s="96"/>
      <c r="AS452" s="96"/>
    </row>
    <row r="453" spans="18:45" hidden="1">
      <c r="R453" s="96"/>
      <c r="S453" s="96"/>
      <c r="T453" s="96"/>
      <c r="U453" s="96"/>
      <c r="V453" s="96"/>
      <c r="W453" s="96"/>
      <c r="X453" s="96"/>
      <c r="Y453" s="96"/>
      <c r="Z453" s="96"/>
      <c r="AA453" s="96"/>
      <c r="AB453" s="96"/>
      <c r="AD453" s="96"/>
      <c r="AE453" s="96"/>
      <c r="AF453" s="96"/>
      <c r="AG453" s="96"/>
      <c r="AK453" s="96"/>
      <c r="AL453" s="96"/>
      <c r="AM453" s="96"/>
      <c r="AN453" s="96"/>
      <c r="AO453" s="96"/>
      <c r="AP453" s="96"/>
      <c r="AQ453" s="96"/>
      <c r="AR453" s="96"/>
      <c r="AS453" s="96"/>
    </row>
    <row r="454" spans="18:45" hidden="1">
      <c r="R454" s="96"/>
      <c r="S454" s="96"/>
      <c r="T454" s="96"/>
      <c r="U454" s="96"/>
      <c r="V454" s="96"/>
      <c r="W454" s="96"/>
      <c r="X454" s="96"/>
      <c r="Y454" s="96"/>
      <c r="Z454" s="96"/>
      <c r="AA454" s="96"/>
      <c r="AB454" s="96"/>
      <c r="AD454" s="96"/>
      <c r="AE454" s="96"/>
      <c r="AF454" s="96"/>
      <c r="AG454" s="96"/>
      <c r="AK454" s="96"/>
      <c r="AL454" s="96"/>
      <c r="AM454" s="96"/>
      <c r="AN454" s="96"/>
      <c r="AO454" s="96"/>
      <c r="AP454" s="96"/>
      <c r="AQ454" s="96"/>
      <c r="AR454" s="96"/>
      <c r="AS454" s="96"/>
    </row>
    <row r="455" spans="18:45" hidden="1">
      <c r="R455" s="96"/>
      <c r="S455" s="96"/>
      <c r="T455" s="96"/>
      <c r="U455" s="96"/>
      <c r="V455" s="96"/>
      <c r="W455" s="96"/>
      <c r="X455" s="96"/>
      <c r="Y455" s="96"/>
      <c r="Z455" s="96"/>
      <c r="AA455" s="96"/>
      <c r="AB455" s="96"/>
      <c r="AD455" s="96"/>
      <c r="AE455" s="96"/>
      <c r="AF455" s="96"/>
      <c r="AG455" s="96"/>
      <c r="AK455" s="96"/>
      <c r="AL455" s="96"/>
      <c r="AM455" s="96"/>
      <c r="AN455" s="96"/>
      <c r="AO455" s="96"/>
      <c r="AP455" s="96"/>
      <c r="AQ455" s="96"/>
      <c r="AR455" s="96"/>
      <c r="AS455" s="96"/>
    </row>
    <row r="456" spans="18:45" hidden="1">
      <c r="R456" s="96"/>
      <c r="S456" s="96"/>
      <c r="T456" s="96"/>
      <c r="U456" s="96"/>
      <c r="V456" s="96"/>
      <c r="W456" s="96"/>
      <c r="X456" s="96"/>
      <c r="Y456" s="96"/>
      <c r="Z456" s="96"/>
      <c r="AA456" s="96"/>
      <c r="AB456" s="96"/>
      <c r="AD456" s="96"/>
      <c r="AE456" s="96"/>
      <c r="AF456" s="96"/>
      <c r="AG456" s="96"/>
      <c r="AK456" s="96"/>
      <c r="AL456" s="96"/>
      <c r="AM456" s="96"/>
      <c r="AN456" s="96"/>
      <c r="AO456" s="96"/>
      <c r="AP456" s="96"/>
      <c r="AQ456" s="96"/>
      <c r="AR456" s="96"/>
      <c r="AS456" s="96"/>
    </row>
    <row r="457" spans="18:45" hidden="1">
      <c r="R457" s="96"/>
      <c r="S457" s="96"/>
      <c r="T457" s="96"/>
      <c r="U457" s="96"/>
      <c r="V457" s="96"/>
      <c r="W457" s="96"/>
      <c r="X457" s="96"/>
      <c r="Y457" s="96"/>
      <c r="Z457" s="96"/>
      <c r="AA457" s="96"/>
      <c r="AB457" s="96"/>
      <c r="AD457" s="96"/>
      <c r="AE457" s="96"/>
      <c r="AF457" s="96"/>
      <c r="AG457" s="96"/>
      <c r="AK457" s="96"/>
      <c r="AL457" s="96"/>
      <c r="AM457" s="96"/>
      <c r="AN457" s="96"/>
      <c r="AO457" s="96"/>
      <c r="AP457" s="96"/>
      <c r="AQ457" s="96"/>
      <c r="AR457" s="96"/>
      <c r="AS457" s="96"/>
    </row>
    <row r="458" spans="18:45" hidden="1">
      <c r="R458" s="96"/>
      <c r="S458" s="96"/>
      <c r="T458" s="96"/>
      <c r="U458" s="96"/>
      <c r="V458" s="96"/>
      <c r="W458" s="96"/>
      <c r="X458" s="96"/>
      <c r="Y458" s="96"/>
      <c r="Z458" s="96"/>
      <c r="AA458" s="96"/>
      <c r="AB458" s="96"/>
      <c r="AD458" s="96"/>
      <c r="AE458" s="96"/>
      <c r="AF458" s="96"/>
      <c r="AG458" s="96"/>
      <c r="AK458" s="96"/>
      <c r="AL458" s="96"/>
      <c r="AM458" s="96"/>
      <c r="AN458" s="96"/>
      <c r="AO458" s="96"/>
      <c r="AP458" s="96"/>
      <c r="AQ458" s="96"/>
      <c r="AR458" s="96"/>
      <c r="AS458" s="96"/>
    </row>
    <row r="459" spans="18:45" hidden="1">
      <c r="R459" s="96"/>
      <c r="S459" s="96"/>
      <c r="T459" s="96"/>
      <c r="U459" s="96"/>
      <c r="V459" s="96"/>
      <c r="W459" s="96"/>
      <c r="X459" s="96"/>
      <c r="Y459" s="96"/>
      <c r="Z459" s="96"/>
      <c r="AA459" s="96"/>
      <c r="AB459" s="96"/>
      <c r="AD459" s="96"/>
      <c r="AE459" s="96"/>
      <c r="AF459" s="96"/>
      <c r="AG459" s="96"/>
      <c r="AK459" s="96"/>
      <c r="AL459" s="96"/>
      <c r="AM459" s="96"/>
      <c r="AN459" s="96"/>
      <c r="AO459" s="96"/>
      <c r="AP459" s="96"/>
      <c r="AQ459" s="96"/>
      <c r="AR459" s="96"/>
      <c r="AS459" s="96"/>
    </row>
    <row r="460" spans="18:45" hidden="1">
      <c r="R460" s="96"/>
      <c r="S460" s="96"/>
      <c r="T460" s="96"/>
      <c r="U460" s="96"/>
      <c r="V460" s="96"/>
      <c r="W460" s="96"/>
      <c r="X460" s="96"/>
      <c r="Y460" s="96"/>
      <c r="Z460" s="96"/>
      <c r="AA460" s="96"/>
      <c r="AB460" s="96"/>
      <c r="AD460" s="96"/>
      <c r="AE460" s="96"/>
      <c r="AF460" s="96"/>
      <c r="AG460" s="96"/>
      <c r="AK460" s="96"/>
      <c r="AL460" s="96"/>
      <c r="AM460" s="96"/>
      <c r="AN460" s="96"/>
      <c r="AO460" s="96"/>
      <c r="AP460" s="96"/>
      <c r="AQ460" s="96"/>
      <c r="AR460" s="96"/>
      <c r="AS460" s="96"/>
    </row>
    <row r="461" spans="18:45" hidden="1">
      <c r="R461" s="96"/>
      <c r="S461" s="96"/>
      <c r="T461" s="96"/>
      <c r="U461" s="96"/>
      <c r="V461" s="96"/>
      <c r="W461" s="96"/>
      <c r="X461" s="96"/>
      <c r="Y461" s="96"/>
      <c r="Z461" s="96"/>
      <c r="AA461" s="96"/>
      <c r="AB461" s="96"/>
      <c r="AD461" s="96"/>
      <c r="AE461" s="96"/>
      <c r="AF461" s="96"/>
      <c r="AG461" s="96"/>
      <c r="AK461" s="96"/>
      <c r="AL461" s="96"/>
      <c r="AM461" s="96"/>
      <c r="AN461" s="96"/>
      <c r="AO461" s="96"/>
      <c r="AP461" s="96"/>
      <c r="AQ461" s="96"/>
      <c r="AR461" s="96"/>
      <c r="AS461" s="96"/>
    </row>
    <row r="462" spans="18:45" hidden="1">
      <c r="R462" s="96"/>
      <c r="S462" s="96"/>
      <c r="T462" s="96"/>
      <c r="U462" s="96"/>
      <c r="V462" s="96"/>
      <c r="W462" s="96"/>
      <c r="X462" s="96"/>
      <c r="Y462" s="96"/>
      <c r="Z462" s="96"/>
      <c r="AA462" s="96"/>
      <c r="AB462" s="96"/>
      <c r="AD462" s="96"/>
      <c r="AE462" s="96"/>
      <c r="AF462" s="96"/>
      <c r="AG462" s="96"/>
      <c r="AK462" s="96"/>
      <c r="AL462" s="96"/>
      <c r="AM462" s="96"/>
      <c r="AN462" s="96"/>
      <c r="AO462" s="96"/>
      <c r="AP462" s="96"/>
      <c r="AQ462" s="96"/>
      <c r="AR462" s="96"/>
      <c r="AS462" s="96"/>
    </row>
    <row r="463" spans="18:45" hidden="1">
      <c r="R463" s="96"/>
      <c r="S463" s="96"/>
      <c r="T463" s="96"/>
      <c r="U463" s="96"/>
      <c r="V463" s="96"/>
      <c r="W463" s="96"/>
      <c r="X463" s="96"/>
      <c r="Y463" s="96"/>
      <c r="Z463" s="96"/>
      <c r="AA463" s="96"/>
      <c r="AB463" s="96"/>
      <c r="AD463" s="96"/>
      <c r="AE463" s="96"/>
      <c r="AF463" s="96"/>
      <c r="AG463" s="96"/>
      <c r="AK463" s="96"/>
      <c r="AL463" s="96"/>
      <c r="AM463" s="96"/>
      <c r="AN463" s="96"/>
      <c r="AO463" s="96"/>
      <c r="AP463" s="96"/>
      <c r="AQ463" s="96"/>
      <c r="AR463" s="96"/>
      <c r="AS463" s="96"/>
    </row>
    <row r="464" spans="18:45" hidden="1">
      <c r="R464" s="96"/>
      <c r="S464" s="96"/>
      <c r="T464" s="96"/>
      <c r="U464" s="96"/>
      <c r="V464" s="96"/>
      <c r="W464" s="96"/>
      <c r="X464" s="96"/>
      <c r="Y464" s="96"/>
      <c r="Z464" s="96"/>
      <c r="AA464" s="96"/>
      <c r="AB464" s="96"/>
      <c r="AD464" s="96"/>
      <c r="AE464" s="96"/>
      <c r="AF464" s="96"/>
      <c r="AG464" s="96"/>
      <c r="AK464" s="96"/>
      <c r="AL464" s="96"/>
      <c r="AM464" s="96"/>
      <c r="AN464" s="96"/>
      <c r="AO464" s="96"/>
      <c r="AP464" s="96"/>
      <c r="AQ464" s="96"/>
      <c r="AR464" s="96"/>
      <c r="AS464" s="96"/>
    </row>
    <row r="465" spans="18:45" hidden="1">
      <c r="R465" s="96"/>
      <c r="S465" s="96"/>
      <c r="T465" s="96"/>
      <c r="U465" s="96"/>
      <c r="V465" s="96"/>
      <c r="W465" s="96"/>
      <c r="X465" s="96"/>
      <c r="Y465" s="96"/>
      <c r="Z465" s="96"/>
      <c r="AA465" s="96"/>
      <c r="AB465" s="96"/>
      <c r="AD465" s="96"/>
      <c r="AE465" s="96"/>
      <c r="AF465" s="96"/>
      <c r="AG465" s="96"/>
      <c r="AK465" s="96"/>
      <c r="AL465" s="96"/>
      <c r="AM465" s="96"/>
      <c r="AN465" s="96"/>
      <c r="AO465" s="96"/>
      <c r="AP465" s="96"/>
      <c r="AQ465" s="96"/>
      <c r="AR465" s="96"/>
      <c r="AS465" s="96"/>
    </row>
    <row r="466" spans="18:45" hidden="1">
      <c r="R466" s="96"/>
      <c r="S466" s="96"/>
      <c r="T466" s="96"/>
      <c r="U466" s="96"/>
      <c r="V466" s="96"/>
      <c r="W466" s="96"/>
      <c r="X466" s="96"/>
      <c r="Y466" s="96"/>
      <c r="Z466" s="96"/>
      <c r="AA466" s="96"/>
      <c r="AB466" s="96"/>
      <c r="AD466" s="96"/>
      <c r="AE466" s="96"/>
      <c r="AF466" s="96"/>
      <c r="AG466" s="96"/>
      <c r="AK466" s="96"/>
      <c r="AL466" s="96"/>
      <c r="AM466" s="96"/>
      <c r="AN466" s="96"/>
      <c r="AO466" s="96"/>
      <c r="AP466" s="96"/>
      <c r="AQ466" s="96"/>
      <c r="AR466" s="96"/>
      <c r="AS466" s="96"/>
    </row>
    <row r="467" spans="18:45" hidden="1">
      <c r="R467" s="96"/>
      <c r="S467" s="96"/>
      <c r="T467" s="96"/>
      <c r="U467" s="96"/>
      <c r="V467" s="96"/>
      <c r="W467" s="96"/>
      <c r="X467" s="96"/>
      <c r="Y467" s="96"/>
      <c r="Z467" s="96"/>
      <c r="AA467" s="96"/>
      <c r="AB467" s="96"/>
      <c r="AD467" s="96"/>
      <c r="AE467" s="96"/>
      <c r="AF467" s="96"/>
      <c r="AG467" s="96"/>
      <c r="AK467" s="96"/>
      <c r="AL467" s="96"/>
      <c r="AM467" s="96"/>
      <c r="AN467" s="96"/>
      <c r="AO467" s="96"/>
      <c r="AP467" s="96"/>
      <c r="AQ467" s="96"/>
      <c r="AR467" s="96"/>
      <c r="AS467" s="96"/>
    </row>
    <row r="468" spans="18:45" hidden="1">
      <c r="R468" s="96"/>
      <c r="S468" s="96"/>
      <c r="T468" s="96"/>
      <c r="U468" s="96"/>
      <c r="V468" s="96"/>
      <c r="W468" s="96"/>
      <c r="X468" s="96"/>
      <c r="Y468" s="96"/>
      <c r="Z468" s="96"/>
      <c r="AA468" s="96"/>
      <c r="AB468" s="96"/>
      <c r="AD468" s="96"/>
      <c r="AE468" s="96"/>
      <c r="AF468" s="96"/>
      <c r="AG468" s="96"/>
      <c r="AK468" s="96"/>
      <c r="AL468" s="96"/>
      <c r="AM468" s="96"/>
      <c r="AN468" s="96"/>
      <c r="AO468" s="96"/>
      <c r="AP468" s="96"/>
      <c r="AQ468" s="96"/>
      <c r="AR468" s="96"/>
      <c r="AS468" s="96"/>
    </row>
    <row r="469" spans="18:45" hidden="1">
      <c r="R469" s="96"/>
      <c r="S469" s="96"/>
      <c r="T469" s="96"/>
      <c r="U469" s="96"/>
      <c r="V469" s="96"/>
      <c r="W469" s="96"/>
      <c r="X469" s="96"/>
      <c r="Y469" s="96"/>
      <c r="Z469" s="96"/>
      <c r="AA469" s="96"/>
      <c r="AB469" s="96"/>
      <c r="AD469" s="96"/>
      <c r="AE469" s="96"/>
      <c r="AF469" s="96"/>
      <c r="AG469" s="96"/>
      <c r="AK469" s="96"/>
      <c r="AL469" s="96"/>
      <c r="AM469" s="96"/>
      <c r="AN469" s="96"/>
      <c r="AO469" s="96"/>
      <c r="AP469" s="96"/>
      <c r="AQ469" s="96"/>
      <c r="AR469" s="96"/>
      <c r="AS469" s="96"/>
    </row>
    <row r="470" spans="18:45" hidden="1">
      <c r="R470" s="96"/>
      <c r="S470" s="96"/>
      <c r="T470" s="96"/>
      <c r="U470" s="96"/>
      <c r="V470" s="96"/>
      <c r="W470" s="96"/>
      <c r="X470" s="96"/>
      <c r="Y470" s="96"/>
      <c r="Z470" s="96"/>
      <c r="AA470" s="96"/>
      <c r="AB470" s="96"/>
      <c r="AD470" s="96"/>
      <c r="AE470" s="96"/>
      <c r="AF470" s="96"/>
      <c r="AG470" s="96"/>
      <c r="AK470" s="96"/>
      <c r="AL470" s="96"/>
      <c r="AM470" s="96"/>
      <c r="AN470" s="96"/>
      <c r="AO470" s="96"/>
      <c r="AP470" s="96"/>
      <c r="AQ470" s="96"/>
      <c r="AR470" s="96"/>
      <c r="AS470" s="96"/>
    </row>
    <row r="471" spans="18:45" hidden="1">
      <c r="R471" s="96"/>
      <c r="S471" s="96"/>
      <c r="T471" s="96"/>
      <c r="U471" s="96"/>
      <c r="V471" s="96"/>
      <c r="W471" s="96"/>
      <c r="X471" s="96"/>
      <c r="Y471" s="96"/>
      <c r="Z471" s="96"/>
      <c r="AA471" s="96"/>
      <c r="AB471" s="96"/>
      <c r="AD471" s="96"/>
      <c r="AE471" s="96"/>
      <c r="AF471" s="96"/>
      <c r="AG471" s="96"/>
      <c r="AK471" s="96"/>
      <c r="AL471" s="96"/>
      <c r="AM471" s="96"/>
      <c r="AN471" s="96"/>
      <c r="AO471" s="96"/>
      <c r="AP471" s="96"/>
      <c r="AQ471" s="96"/>
      <c r="AR471" s="96"/>
      <c r="AS471" s="96"/>
    </row>
    <row r="472" spans="18:45" hidden="1">
      <c r="R472" s="96"/>
      <c r="S472" s="96"/>
      <c r="T472" s="96"/>
      <c r="U472" s="96"/>
      <c r="V472" s="96"/>
      <c r="W472" s="96"/>
      <c r="X472" s="96"/>
      <c r="Y472" s="96"/>
      <c r="Z472" s="96"/>
      <c r="AA472" s="96"/>
      <c r="AB472" s="96"/>
      <c r="AD472" s="96"/>
      <c r="AE472" s="96"/>
      <c r="AF472" s="96"/>
      <c r="AG472" s="96"/>
      <c r="AK472" s="96"/>
      <c r="AL472" s="96"/>
      <c r="AM472" s="96"/>
      <c r="AN472" s="96"/>
      <c r="AO472" s="96"/>
      <c r="AP472" s="96"/>
      <c r="AQ472" s="96"/>
      <c r="AR472" s="96"/>
      <c r="AS472" s="96"/>
    </row>
    <row r="473" spans="18:45" hidden="1">
      <c r="R473" s="96"/>
      <c r="S473" s="96"/>
      <c r="T473" s="96"/>
      <c r="U473" s="96"/>
      <c r="V473" s="96"/>
      <c r="W473" s="96"/>
      <c r="X473" s="96"/>
      <c r="Y473" s="96"/>
      <c r="Z473" s="96"/>
      <c r="AA473" s="96"/>
      <c r="AB473" s="96"/>
      <c r="AD473" s="96"/>
      <c r="AE473" s="96"/>
      <c r="AF473" s="96"/>
      <c r="AG473" s="96"/>
      <c r="AK473" s="96"/>
      <c r="AL473" s="96"/>
      <c r="AM473" s="96"/>
      <c r="AN473" s="96"/>
      <c r="AO473" s="96"/>
      <c r="AP473" s="96"/>
      <c r="AQ473" s="96"/>
      <c r="AR473" s="96"/>
      <c r="AS473" s="96"/>
    </row>
    <row r="474" spans="18:45" hidden="1">
      <c r="R474" s="96"/>
      <c r="S474" s="96"/>
      <c r="T474" s="96"/>
      <c r="U474" s="96"/>
      <c r="V474" s="96"/>
      <c r="W474" s="96"/>
      <c r="X474" s="96"/>
      <c r="Y474" s="96"/>
      <c r="Z474" s="96"/>
      <c r="AA474" s="96"/>
      <c r="AB474" s="96"/>
      <c r="AD474" s="96"/>
      <c r="AE474" s="96"/>
      <c r="AF474" s="96"/>
      <c r="AG474" s="96"/>
      <c r="AK474" s="96"/>
      <c r="AL474" s="96"/>
      <c r="AM474" s="96"/>
      <c r="AN474" s="96"/>
      <c r="AO474" s="96"/>
      <c r="AP474" s="96"/>
      <c r="AQ474" s="96"/>
      <c r="AR474" s="96"/>
      <c r="AS474" s="96"/>
    </row>
    <row r="475" spans="18:45" hidden="1">
      <c r="R475" s="96"/>
      <c r="S475" s="96"/>
      <c r="T475" s="96"/>
      <c r="U475" s="96"/>
      <c r="V475" s="96"/>
      <c r="W475" s="96"/>
      <c r="X475" s="96"/>
      <c r="Y475" s="96"/>
      <c r="Z475" s="96"/>
      <c r="AA475" s="96"/>
      <c r="AB475" s="96"/>
      <c r="AD475" s="96"/>
      <c r="AE475" s="96"/>
      <c r="AF475" s="96"/>
      <c r="AG475" s="96"/>
      <c r="AK475" s="96"/>
      <c r="AL475" s="96"/>
      <c r="AM475" s="96"/>
      <c r="AN475" s="96"/>
      <c r="AO475" s="96"/>
      <c r="AP475" s="96"/>
      <c r="AQ475" s="96"/>
      <c r="AR475" s="96"/>
      <c r="AS475" s="96"/>
    </row>
    <row r="476" spans="18:45" hidden="1">
      <c r="R476" s="96"/>
      <c r="S476" s="96"/>
      <c r="T476" s="96"/>
      <c r="U476" s="96"/>
      <c r="V476" s="96"/>
      <c r="W476" s="96"/>
      <c r="X476" s="96"/>
      <c r="Y476" s="96"/>
      <c r="Z476" s="96"/>
      <c r="AA476" s="96"/>
      <c r="AB476" s="96"/>
      <c r="AD476" s="96"/>
      <c r="AE476" s="96"/>
      <c r="AF476" s="96"/>
      <c r="AG476" s="96"/>
      <c r="AK476" s="96"/>
      <c r="AL476" s="96"/>
      <c r="AM476" s="96"/>
      <c r="AN476" s="96"/>
      <c r="AO476" s="96"/>
      <c r="AP476" s="96"/>
      <c r="AQ476" s="96"/>
      <c r="AR476" s="96"/>
      <c r="AS476" s="96"/>
    </row>
    <row r="477" spans="18:45" hidden="1">
      <c r="R477" s="96"/>
      <c r="S477" s="96"/>
      <c r="T477" s="96"/>
      <c r="U477" s="96"/>
      <c r="V477" s="96"/>
      <c r="W477" s="96"/>
      <c r="X477" s="96"/>
      <c r="Y477" s="96"/>
      <c r="Z477" s="96"/>
      <c r="AA477" s="96"/>
      <c r="AB477" s="96"/>
      <c r="AD477" s="96"/>
      <c r="AE477" s="96"/>
      <c r="AF477" s="96"/>
      <c r="AG477" s="96"/>
      <c r="AK477" s="96"/>
      <c r="AL477" s="96"/>
      <c r="AM477" s="96"/>
      <c r="AN477" s="96"/>
      <c r="AO477" s="96"/>
      <c r="AP477" s="96"/>
      <c r="AQ477" s="96"/>
      <c r="AR477" s="96"/>
      <c r="AS477" s="96"/>
    </row>
    <row r="478" spans="18:45" hidden="1">
      <c r="R478" s="96"/>
      <c r="S478" s="96"/>
      <c r="T478" s="96"/>
      <c r="U478" s="96"/>
      <c r="V478" s="96"/>
      <c r="W478" s="96"/>
      <c r="X478" s="96"/>
      <c r="Y478" s="96"/>
      <c r="Z478" s="96"/>
      <c r="AA478" s="96"/>
      <c r="AB478" s="96"/>
      <c r="AD478" s="96"/>
      <c r="AE478" s="96"/>
      <c r="AF478" s="96"/>
      <c r="AG478" s="96"/>
      <c r="AK478" s="96"/>
      <c r="AL478" s="96"/>
      <c r="AM478" s="96"/>
      <c r="AN478" s="96"/>
      <c r="AO478" s="96"/>
      <c r="AP478" s="96"/>
      <c r="AQ478" s="96"/>
      <c r="AR478" s="96"/>
      <c r="AS478" s="96"/>
    </row>
    <row r="479" spans="18:45" hidden="1">
      <c r="R479" s="96"/>
      <c r="S479" s="96"/>
      <c r="T479" s="96"/>
      <c r="U479" s="96"/>
      <c r="V479" s="96"/>
      <c r="W479" s="96"/>
      <c r="X479" s="96"/>
      <c r="Y479" s="96"/>
      <c r="Z479" s="96"/>
      <c r="AA479" s="96"/>
      <c r="AB479" s="96"/>
      <c r="AD479" s="96"/>
      <c r="AE479" s="96"/>
      <c r="AF479" s="96"/>
      <c r="AG479" s="96"/>
      <c r="AK479" s="96"/>
      <c r="AL479" s="96"/>
      <c r="AM479" s="96"/>
      <c r="AN479" s="96"/>
      <c r="AO479" s="96"/>
      <c r="AP479" s="96"/>
      <c r="AQ479" s="96"/>
      <c r="AR479" s="96"/>
      <c r="AS479" s="96"/>
    </row>
    <row r="480" spans="18:45" hidden="1">
      <c r="R480" s="96"/>
      <c r="S480" s="96"/>
      <c r="T480" s="96"/>
      <c r="U480" s="96"/>
      <c r="V480" s="96"/>
      <c r="W480" s="96"/>
      <c r="X480" s="96"/>
      <c r="Y480" s="96"/>
      <c r="Z480" s="96"/>
      <c r="AA480" s="96"/>
      <c r="AB480" s="96"/>
      <c r="AD480" s="96"/>
      <c r="AE480" s="96"/>
      <c r="AF480" s="96"/>
      <c r="AG480" s="96"/>
      <c r="AK480" s="96"/>
      <c r="AL480" s="96"/>
      <c r="AM480" s="96"/>
      <c r="AN480" s="96"/>
      <c r="AO480" s="96"/>
      <c r="AP480" s="96"/>
      <c r="AQ480" s="96"/>
      <c r="AR480" s="96"/>
      <c r="AS480" s="96"/>
    </row>
    <row r="481" spans="18:45" hidden="1">
      <c r="R481" s="96"/>
      <c r="S481" s="96"/>
      <c r="T481" s="96"/>
      <c r="U481" s="96"/>
      <c r="V481" s="96"/>
      <c r="W481" s="96"/>
      <c r="X481" s="96"/>
      <c r="Y481" s="96"/>
      <c r="Z481" s="96"/>
      <c r="AA481" s="96"/>
      <c r="AB481" s="96"/>
      <c r="AD481" s="96"/>
      <c r="AE481" s="96"/>
      <c r="AF481" s="96"/>
      <c r="AG481" s="96"/>
      <c r="AK481" s="96"/>
      <c r="AL481" s="96"/>
      <c r="AM481" s="96"/>
      <c r="AN481" s="96"/>
      <c r="AO481" s="96"/>
      <c r="AP481" s="96"/>
      <c r="AQ481" s="96"/>
      <c r="AR481" s="96"/>
      <c r="AS481" s="96"/>
    </row>
    <row r="482" spans="18:45" hidden="1">
      <c r="R482" s="96"/>
      <c r="S482" s="96"/>
      <c r="T482" s="96"/>
      <c r="U482" s="96"/>
      <c r="V482" s="96"/>
      <c r="W482" s="96"/>
      <c r="X482" s="96"/>
      <c r="Y482" s="96"/>
      <c r="Z482" s="96"/>
      <c r="AA482" s="96"/>
      <c r="AB482" s="96"/>
      <c r="AD482" s="96"/>
      <c r="AE482" s="96"/>
      <c r="AF482" s="96"/>
      <c r="AG482" s="96"/>
      <c r="AK482" s="96"/>
      <c r="AL482" s="96"/>
      <c r="AM482" s="96"/>
      <c r="AN482" s="96"/>
      <c r="AO482" s="96"/>
      <c r="AP482" s="96"/>
      <c r="AQ482" s="96"/>
      <c r="AR482" s="96"/>
      <c r="AS482" s="96"/>
    </row>
    <row r="483" spans="18:45" hidden="1">
      <c r="R483" s="96"/>
      <c r="S483" s="96"/>
      <c r="T483" s="96"/>
      <c r="U483" s="96"/>
      <c r="V483" s="96"/>
      <c r="W483" s="96"/>
      <c r="X483" s="96"/>
      <c r="Y483" s="96"/>
      <c r="Z483" s="96"/>
      <c r="AA483" s="96"/>
      <c r="AB483" s="96"/>
      <c r="AD483" s="96"/>
      <c r="AE483" s="96"/>
      <c r="AF483" s="96"/>
      <c r="AG483" s="96"/>
      <c r="AK483" s="96"/>
      <c r="AL483" s="96"/>
      <c r="AM483" s="96"/>
      <c r="AN483" s="96"/>
      <c r="AO483" s="96"/>
      <c r="AP483" s="96"/>
      <c r="AQ483" s="96"/>
      <c r="AR483" s="96"/>
      <c r="AS483" s="96"/>
    </row>
    <row r="484" spans="18:45" hidden="1">
      <c r="R484" s="96"/>
      <c r="S484" s="96"/>
      <c r="T484" s="96"/>
      <c r="U484" s="96"/>
      <c r="V484" s="96"/>
      <c r="W484" s="96"/>
      <c r="X484" s="96"/>
      <c r="Y484" s="96"/>
      <c r="Z484" s="96"/>
      <c r="AA484" s="96"/>
      <c r="AB484" s="96"/>
      <c r="AD484" s="96"/>
      <c r="AE484" s="96"/>
      <c r="AF484" s="96"/>
      <c r="AG484" s="96"/>
      <c r="AK484" s="96"/>
      <c r="AL484" s="96"/>
      <c r="AM484" s="96"/>
      <c r="AN484" s="96"/>
      <c r="AO484" s="96"/>
      <c r="AP484" s="96"/>
      <c r="AQ484" s="96"/>
      <c r="AR484" s="96"/>
      <c r="AS484" s="96"/>
    </row>
    <row r="485" spans="18:45" hidden="1">
      <c r="R485" s="96"/>
      <c r="S485" s="96"/>
      <c r="T485" s="96"/>
      <c r="U485" s="96"/>
      <c r="V485" s="96"/>
      <c r="W485" s="96"/>
      <c r="X485" s="96"/>
      <c r="Y485" s="96"/>
      <c r="Z485" s="96"/>
      <c r="AA485" s="96"/>
      <c r="AB485" s="96"/>
      <c r="AD485" s="96"/>
      <c r="AE485" s="96"/>
      <c r="AF485" s="96"/>
      <c r="AG485" s="96"/>
      <c r="AK485" s="96"/>
      <c r="AL485" s="96"/>
      <c r="AM485" s="96"/>
      <c r="AN485" s="96"/>
      <c r="AO485" s="96"/>
      <c r="AP485" s="96"/>
      <c r="AQ485" s="96"/>
      <c r="AR485" s="96"/>
      <c r="AS485" s="96"/>
    </row>
    <row r="486" spans="18:45" hidden="1">
      <c r="R486" s="96"/>
      <c r="S486" s="96"/>
      <c r="T486" s="96"/>
      <c r="U486" s="96"/>
      <c r="V486" s="96"/>
      <c r="W486" s="96"/>
      <c r="X486" s="96"/>
      <c r="Y486" s="96"/>
      <c r="Z486" s="96"/>
      <c r="AA486" s="96"/>
      <c r="AB486" s="96"/>
      <c r="AD486" s="96"/>
      <c r="AE486" s="96"/>
      <c r="AF486" s="96"/>
      <c r="AG486" s="96"/>
      <c r="AK486" s="96"/>
      <c r="AL486" s="96"/>
      <c r="AM486" s="96"/>
      <c r="AN486" s="96"/>
      <c r="AO486" s="96"/>
      <c r="AP486" s="96"/>
      <c r="AQ486" s="96"/>
      <c r="AR486" s="96"/>
      <c r="AS486" s="96"/>
    </row>
    <row r="487" spans="18:45" hidden="1">
      <c r="R487" s="96"/>
      <c r="S487" s="96"/>
      <c r="T487" s="96"/>
      <c r="U487" s="96"/>
      <c r="V487" s="96"/>
      <c r="W487" s="96"/>
      <c r="X487" s="96"/>
      <c r="Y487" s="96"/>
      <c r="Z487" s="96"/>
      <c r="AA487" s="96"/>
      <c r="AB487" s="96"/>
      <c r="AD487" s="96"/>
      <c r="AE487" s="96"/>
      <c r="AF487" s="96"/>
      <c r="AG487" s="96"/>
      <c r="AK487" s="96"/>
      <c r="AL487" s="96"/>
      <c r="AM487" s="96"/>
      <c r="AN487" s="96"/>
      <c r="AO487" s="96"/>
      <c r="AP487" s="96"/>
      <c r="AQ487" s="96"/>
      <c r="AR487" s="96"/>
      <c r="AS487" s="96"/>
    </row>
    <row r="488" spans="18:45" hidden="1">
      <c r="R488" s="96"/>
      <c r="S488" s="96"/>
      <c r="T488" s="96"/>
      <c r="U488" s="96"/>
      <c r="V488" s="96"/>
      <c r="W488" s="96"/>
      <c r="X488" s="96"/>
      <c r="Y488" s="96"/>
      <c r="Z488" s="96"/>
      <c r="AA488" s="96"/>
      <c r="AB488" s="96"/>
      <c r="AD488" s="96"/>
      <c r="AE488" s="96"/>
      <c r="AF488" s="96"/>
      <c r="AG488" s="96"/>
      <c r="AK488" s="96"/>
      <c r="AL488" s="96"/>
      <c r="AM488" s="96"/>
      <c r="AN488" s="96"/>
      <c r="AO488" s="96"/>
      <c r="AP488" s="96"/>
      <c r="AQ488" s="96"/>
      <c r="AR488" s="96"/>
      <c r="AS488" s="96"/>
    </row>
    <row r="489" spans="18:45" hidden="1">
      <c r="R489" s="96"/>
      <c r="S489" s="96"/>
      <c r="T489" s="96"/>
      <c r="U489" s="96"/>
      <c r="V489" s="96"/>
      <c r="W489" s="96"/>
      <c r="X489" s="96"/>
      <c r="Y489" s="96"/>
      <c r="Z489" s="96"/>
      <c r="AA489" s="96"/>
      <c r="AB489" s="96"/>
      <c r="AD489" s="96"/>
      <c r="AE489" s="96"/>
      <c r="AF489" s="96"/>
      <c r="AG489" s="96"/>
      <c r="AK489" s="96"/>
      <c r="AL489" s="96"/>
      <c r="AM489" s="96"/>
      <c r="AN489" s="96"/>
      <c r="AO489" s="96"/>
      <c r="AP489" s="96"/>
      <c r="AQ489" s="96"/>
      <c r="AR489" s="96"/>
      <c r="AS489" s="96"/>
    </row>
    <row r="490" spans="18:45" hidden="1">
      <c r="R490" s="96"/>
      <c r="S490" s="96"/>
      <c r="T490" s="96"/>
      <c r="U490" s="96"/>
      <c r="V490" s="96"/>
      <c r="W490" s="96"/>
      <c r="X490" s="96"/>
      <c r="Y490" s="96"/>
      <c r="Z490" s="96"/>
      <c r="AA490" s="96"/>
      <c r="AB490" s="96"/>
      <c r="AD490" s="96"/>
      <c r="AE490" s="96"/>
      <c r="AF490" s="96"/>
      <c r="AG490" s="96"/>
      <c r="AK490" s="96"/>
      <c r="AL490" s="96"/>
      <c r="AM490" s="96"/>
      <c r="AN490" s="96"/>
      <c r="AO490" s="96"/>
      <c r="AP490" s="96"/>
      <c r="AQ490" s="96"/>
      <c r="AR490" s="96"/>
      <c r="AS490" s="96"/>
    </row>
    <row r="491" spans="18:45" hidden="1">
      <c r="R491" s="96"/>
      <c r="S491" s="96"/>
      <c r="T491" s="96"/>
      <c r="U491" s="96"/>
      <c r="V491" s="96"/>
      <c r="W491" s="96"/>
      <c r="X491" s="96"/>
      <c r="Y491" s="96"/>
      <c r="Z491" s="96"/>
      <c r="AA491" s="96"/>
      <c r="AB491" s="96"/>
      <c r="AD491" s="96"/>
      <c r="AE491" s="96"/>
      <c r="AF491" s="96"/>
      <c r="AG491" s="96"/>
      <c r="AK491" s="96"/>
      <c r="AL491" s="96"/>
      <c r="AM491" s="96"/>
      <c r="AN491" s="96"/>
      <c r="AO491" s="96"/>
      <c r="AP491" s="96"/>
      <c r="AQ491" s="96"/>
      <c r="AR491" s="96"/>
      <c r="AS491" s="96"/>
    </row>
    <row r="492" spans="18:45" hidden="1">
      <c r="R492" s="96"/>
      <c r="S492" s="96"/>
      <c r="T492" s="96"/>
      <c r="U492" s="96"/>
      <c r="V492" s="96"/>
      <c r="W492" s="96"/>
      <c r="X492" s="96"/>
      <c r="Y492" s="96"/>
      <c r="Z492" s="96"/>
      <c r="AA492" s="96"/>
      <c r="AB492" s="96"/>
      <c r="AD492" s="96"/>
      <c r="AE492" s="96"/>
      <c r="AF492" s="96"/>
      <c r="AG492" s="96"/>
      <c r="AK492" s="96"/>
      <c r="AL492" s="96"/>
      <c r="AM492" s="96"/>
      <c r="AN492" s="96"/>
      <c r="AO492" s="96"/>
      <c r="AP492" s="96"/>
      <c r="AQ492" s="96"/>
      <c r="AR492" s="96"/>
      <c r="AS492" s="96"/>
    </row>
    <row r="493" spans="18:45" hidden="1">
      <c r="R493" s="96"/>
      <c r="S493" s="96"/>
      <c r="T493" s="96"/>
      <c r="U493" s="96"/>
      <c r="V493" s="96"/>
      <c r="W493" s="96"/>
      <c r="X493" s="96"/>
      <c r="Y493" s="96"/>
      <c r="Z493" s="96"/>
      <c r="AA493" s="96"/>
      <c r="AB493" s="96"/>
      <c r="AD493" s="96"/>
      <c r="AE493" s="96"/>
      <c r="AF493" s="96"/>
      <c r="AG493" s="96"/>
      <c r="AK493" s="96"/>
      <c r="AL493" s="96"/>
      <c r="AM493" s="96"/>
      <c r="AN493" s="96"/>
      <c r="AO493" s="96"/>
      <c r="AP493" s="96"/>
      <c r="AQ493" s="96"/>
      <c r="AR493" s="96"/>
      <c r="AS493" s="96"/>
    </row>
    <row r="494" spans="18:45" hidden="1">
      <c r="R494" s="96"/>
      <c r="S494" s="96"/>
      <c r="T494" s="96"/>
      <c r="U494" s="96"/>
      <c r="V494" s="96"/>
      <c r="W494" s="96"/>
      <c r="X494" s="96"/>
      <c r="Y494" s="96"/>
      <c r="Z494" s="96"/>
      <c r="AA494" s="96"/>
      <c r="AB494" s="96"/>
      <c r="AD494" s="96"/>
      <c r="AE494" s="96"/>
      <c r="AF494" s="96"/>
      <c r="AG494" s="96"/>
      <c r="AK494" s="96"/>
      <c r="AL494" s="96"/>
      <c r="AM494" s="96"/>
      <c r="AN494" s="96"/>
      <c r="AO494" s="96"/>
      <c r="AP494" s="96"/>
      <c r="AQ494" s="96"/>
      <c r="AR494" s="96"/>
      <c r="AS494" s="96"/>
    </row>
    <row r="495" spans="18:45" hidden="1">
      <c r="R495" s="96"/>
      <c r="S495" s="96"/>
      <c r="T495" s="96"/>
      <c r="U495" s="96"/>
      <c r="V495" s="96"/>
      <c r="W495" s="96"/>
      <c r="X495" s="96"/>
      <c r="Y495" s="96"/>
      <c r="Z495" s="96"/>
      <c r="AA495" s="96"/>
      <c r="AB495" s="96"/>
      <c r="AD495" s="96"/>
      <c r="AE495" s="96"/>
      <c r="AF495" s="96"/>
      <c r="AG495" s="96"/>
      <c r="AK495" s="96"/>
      <c r="AL495" s="96"/>
      <c r="AM495" s="96"/>
      <c r="AN495" s="96"/>
      <c r="AO495" s="96"/>
      <c r="AP495" s="96"/>
      <c r="AQ495" s="96"/>
      <c r="AR495" s="96"/>
      <c r="AS495" s="96"/>
    </row>
    <row r="496" spans="18:45" hidden="1">
      <c r="R496" s="96"/>
      <c r="S496" s="96"/>
      <c r="T496" s="96"/>
      <c r="U496" s="96"/>
      <c r="V496" s="96"/>
      <c r="W496" s="96"/>
      <c r="X496" s="96"/>
      <c r="Y496" s="96"/>
      <c r="Z496" s="96"/>
      <c r="AA496" s="96"/>
      <c r="AB496" s="96"/>
      <c r="AD496" s="96"/>
      <c r="AE496" s="96"/>
      <c r="AF496" s="96"/>
      <c r="AG496" s="96"/>
      <c r="AK496" s="96"/>
      <c r="AL496" s="96"/>
      <c r="AM496" s="96"/>
      <c r="AN496" s="96"/>
      <c r="AO496" s="96"/>
      <c r="AP496" s="96"/>
      <c r="AQ496" s="96"/>
      <c r="AR496" s="96"/>
      <c r="AS496" s="96"/>
    </row>
    <row r="497" spans="18:45" hidden="1">
      <c r="R497" s="96"/>
      <c r="S497" s="96"/>
      <c r="T497" s="96"/>
      <c r="U497" s="96"/>
      <c r="V497" s="96"/>
      <c r="W497" s="96"/>
      <c r="X497" s="96"/>
      <c r="Y497" s="96"/>
      <c r="Z497" s="96"/>
      <c r="AA497" s="96"/>
      <c r="AB497" s="96"/>
      <c r="AD497" s="96"/>
      <c r="AE497" s="96"/>
      <c r="AF497" s="96"/>
      <c r="AG497" s="96"/>
      <c r="AK497" s="96"/>
      <c r="AL497" s="96"/>
      <c r="AM497" s="96"/>
      <c r="AN497" s="96"/>
      <c r="AO497" s="96"/>
      <c r="AP497" s="96"/>
      <c r="AQ497" s="96"/>
      <c r="AR497" s="96"/>
      <c r="AS497" s="96"/>
    </row>
    <row r="498" spans="18:45" hidden="1">
      <c r="R498" s="96"/>
      <c r="S498" s="96"/>
      <c r="T498" s="96"/>
      <c r="U498" s="96"/>
      <c r="V498" s="96"/>
      <c r="W498" s="96"/>
      <c r="X498" s="96"/>
      <c r="Y498" s="96"/>
      <c r="Z498" s="96"/>
      <c r="AA498" s="96"/>
      <c r="AB498" s="96"/>
      <c r="AD498" s="96"/>
      <c r="AE498" s="96"/>
      <c r="AF498" s="96"/>
      <c r="AG498" s="96"/>
      <c r="AK498" s="96"/>
      <c r="AL498" s="96"/>
      <c r="AM498" s="96"/>
      <c r="AN498" s="96"/>
      <c r="AO498" s="96"/>
      <c r="AP498" s="96"/>
      <c r="AQ498" s="96"/>
      <c r="AR498" s="96"/>
      <c r="AS498" s="96"/>
    </row>
    <row r="499" spans="18:45" hidden="1">
      <c r="R499" s="96"/>
      <c r="S499" s="96"/>
      <c r="T499" s="96"/>
      <c r="U499" s="96"/>
      <c r="V499" s="96"/>
      <c r="W499" s="96"/>
      <c r="X499" s="96"/>
      <c r="Y499" s="96"/>
      <c r="Z499" s="96"/>
      <c r="AA499" s="96"/>
      <c r="AB499" s="96"/>
      <c r="AD499" s="96"/>
      <c r="AE499" s="96"/>
      <c r="AF499" s="96"/>
      <c r="AG499" s="96"/>
      <c r="AK499" s="96"/>
      <c r="AL499" s="96"/>
      <c r="AM499" s="96"/>
      <c r="AN499" s="96"/>
      <c r="AO499" s="96"/>
      <c r="AP499" s="96"/>
      <c r="AQ499" s="96"/>
      <c r="AR499" s="96"/>
      <c r="AS499" s="96"/>
    </row>
    <row r="500" spans="18:45" hidden="1">
      <c r="R500" s="96"/>
      <c r="S500" s="96"/>
      <c r="T500" s="96"/>
      <c r="U500" s="96"/>
      <c r="V500" s="96"/>
      <c r="W500" s="96"/>
      <c r="X500" s="96"/>
      <c r="Y500" s="96"/>
      <c r="Z500" s="96"/>
      <c r="AA500" s="96"/>
      <c r="AB500" s="96"/>
      <c r="AD500" s="96"/>
      <c r="AE500" s="96"/>
      <c r="AF500" s="96"/>
      <c r="AG500" s="96"/>
      <c r="AK500" s="96"/>
      <c r="AL500" s="96"/>
      <c r="AM500" s="96"/>
      <c r="AN500" s="96"/>
      <c r="AO500" s="96"/>
      <c r="AP500" s="96"/>
      <c r="AQ500" s="96"/>
      <c r="AR500" s="96"/>
      <c r="AS500" s="96"/>
    </row>
    <row r="501" spans="18:45" hidden="1">
      <c r="R501" s="96"/>
      <c r="S501" s="96"/>
      <c r="T501" s="96"/>
      <c r="U501" s="96"/>
      <c r="V501" s="96"/>
      <c r="W501" s="96"/>
      <c r="X501" s="96"/>
      <c r="Y501" s="96"/>
      <c r="Z501" s="96"/>
      <c r="AA501" s="96"/>
      <c r="AB501" s="96"/>
      <c r="AD501" s="96"/>
      <c r="AE501" s="96"/>
      <c r="AF501" s="96"/>
      <c r="AG501" s="96"/>
      <c r="AK501" s="96"/>
      <c r="AL501" s="96"/>
      <c r="AM501" s="96"/>
      <c r="AN501" s="96"/>
      <c r="AO501" s="96"/>
      <c r="AP501" s="96"/>
      <c r="AQ501" s="96"/>
      <c r="AR501" s="96"/>
      <c r="AS501" s="96"/>
    </row>
    <row r="502" spans="18:45" hidden="1">
      <c r="R502" s="96"/>
      <c r="S502" s="96"/>
      <c r="T502" s="96"/>
      <c r="U502" s="96"/>
      <c r="V502" s="96"/>
      <c r="W502" s="96"/>
      <c r="X502" s="96"/>
      <c r="Y502" s="96"/>
      <c r="Z502" s="96"/>
      <c r="AA502" s="96"/>
      <c r="AB502" s="96"/>
      <c r="AD502" s="96"/>
      <c r="AE502" s="96"/>
      <c r="AF502" s="96"/>
      <c r="AG502" s="96"/>
      <c r="AK502" s="96"/>
      <c r="AL502" s="96"/>
      <c r="AM502" s="96"/>
      <c r="AN502" s="96"/>
      <c r="AO502" s="96"/>
      <c r="AP502" s="96"/>
      <c r="AQ502" s="96"/>
      <c r="AR502" s="96"/>
      <c r="AS502" s="96"/>
    </row>
    <row r="503" spans="18:45" ht="13.75">
      <c r="Z503" s="127"/>
    </row>
  </sheetData>
  <mergeCells count="4">
    <mergeCell ref="AD1:AG1"/>
    <mergeCell ref="AI1:AM1"/>
    <mergeCell ref="AO1:AP1"/>
    <mergeCell ref="R1:Z1"/>
  </mergeCells>
  <dataValidations count="1">
    <dataValidation type="list" allowBlank="1" showInputMessage="1" showErrorMessage="1" sqref="E3:E196" xr:uid="{684914E7-E909-4D34-8F6C-7DD6EFE33C24}">
      <formula1>"Protocol Example (28Sep2023) 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9DC4F96-889B-44A9-A119-CF8245EFD8EB}">
          <x14:formula1>
            <xm:f>Summary!$D$12:$L$12</xm:f>
          </x14:formula1>
          <xm:sqref>H197:H1048576 E1:E2 H1:H2 E197:E1048576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9D00-E2A1-4C08-B86C-B008B1E241B8}">
  <dimension ref="A2:K27"/>
  <sheetViews>
    <sheetView workbookViewId="0">
      <selection activeCell="E4" sqref="E4"/>
    </sheetView>
  </sheetViews>
  <sheetFormatPr defaultColWidth="9" defaultRowHeight="13.75"/>
  <cols>
    <col min="1" max="1" width="51.640625" style="74" bestFit="1" customWidth="1"/>
    <col min="2" max="3" width="9" style="74"/>
    <col min="4" max="4" width="20.35546875" style="74" customWidth="1"/>
    <col min="5" max="5" width="31.5" style="74" bestFit="1" customWidth="1"/>
    <col min="6" max="6" width="18.2109375" style="74" customWidth="1"/>
    <col min="7" max="7" width="20.85546875" style="74" customWidth="1"/>
    <col min="8" max="8" width="31.5" style="74" bestFit="1" customWidth="1"/>
    <col min="9" max="9" width="21.140625" style="74" customWidth="1"/>
    <col min="10" max="10" width="9" style="74"/>
    <col min="11" max="11" width="14" style="74" bestFit="1" customWidth="1"/>
    <col min="12" max="16384" width="9" style="74"/>
  </cols>
  <sheetData>
    <row r="2" spans="1:11" ht="14.6">
      <c r="A2" s="99" t="s">
        <v>63</v>
      </c>
      <c r="B2" s="99"/>
      <c r="C2" s="99" t="s">
        <v>64</v>
      </c>
      <c r="D2" s="99" t="s">
        <v>65</v>
      </c>
      <c r="E2" s="100" t="s">
        <v>66</v>
      </c>
      <c r="F2" s="99" t="s">
        <v>67</v>
      </c>
      <c r="G2" s="99" t="s">
        <v>68</v>
      </c>
      <c r="H2" s="100" t="s">
        <v>69</v>
      </c>
      <c r="I2" s="100" t="s">
        <v>70</v>
      </c>
      <c r="J2" s="100" t="s">
        <v>71</v>
      </c>
      <c r="K2" s="100" t="s">
        <v>72</v>
      </c>
    </row>
    <row r="3" spans="1:11">
      <c r="A3" s="74" t="e" cm="1" vm="105">
        <f t="array" ref="A3">_xlfn._xlws.FILTER(QA!A3:K500, QA!C3:C500="Inline")</f>
        <v>#VALUE!</v>
      </c>
      <c r="J3" s="70"/>
    </row>
    <row r="4" spans="1:11">
      <c r="J4" s="70"/>
    </row>
    <row r="5" spans="1:11">
      <c r="J5" s="70"/>
    </row>
    <row r="6" spans="1:11">
      <c r="J6" s="70"/>
    </row>
    <row r="7" spans="1:11">
      <c r="J7" s="70"/>
    </row>
    <row r="8" spans="1:11">
      <c r="J8" s="70"/>
    </row>
    <row r="9" spans="1:11">
      <c r="J9" s="70"/>
    </row>
    <row r="10" spans="1:11">
      <c r="J10" s="70"/>
    </row>
    <row r="11" spans="1:11">
      <c r="J11" s="70"/>
    </row>
    <row r="12" spans="1:11">
      <c r="J12" s="70"/>
    </row>
    <row r="13" spans="1:11">
      <c r="J13" s="70"/>
    </row>
    <row r="14" spans="1:11">
      <c r="J14" s="70"/>
    </row>
    <row r="15" spans="1:11">
      <c r="J15" s="70"/>
    </row>
    <row r="16" spans="1:11">
      <c r="J16" s="70"/>
    </row>
    <row r="17" spans="10:10">
      <c r="J17" s="70"/>
    </row>
    <row r="18" spans="10:10">
      <c r="J18" s="70"/>
    </row>
    <row r="19" spans="10:10">
      <c r="J19" s="70"/>
    </row>
    <row r="20" spans="10:10">
      <c r="J20" s="70"/>
    </row>
    <row r="21" spans="10:10">
      <c r="J21" s="70"/>
    </row>
    <row r="22" spans="10:10">
      <c r="J22" s="70"/>
    </row>
    <row r="23" spans="10:10">
      <c r="J23" s="70"/>
    </row>
    <row r="24" spans="10:10">
      <c r="J24" s="70"/>
    </row>
    <row r="25" spans="10:10">
      <c r="J25" s="70"/>
    </row>
    <row r="26" spans="10:10">
      <c r="J26" s="70"/>
    </row>
    <row r="27" spans="10:10">
      <c r="J27" s="70"/>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A7B2B84-5330-476F-8ABD-008A7462446D}">
          <x14:formula1>
            <xm:f>Summary!$D$12:$L$12</xm:f>
          </x14:formula1>
          <xm:sqref>E2 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71F3-20B6-4F5A-B178-F8AA31FB508D}">
  <dimension ref="A2:K47"/>
  <sheetViews>
    <sheetView topLeftCell="A36" workbookViewId="0">
      <selection activeCell="F9" sqref="F9"/>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210937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63</v>
      </c>
      <c r="B2" s="84"/>
      <c r="C2" s="84" t="s">
        <v>64</v>
      </c>
      <c r="D2" s="84" t="s">
        <v>65</v>
      </c>
      <c r="E2" s="85" t="s">
        <v>66</v>
      </c>
      <c r="F2" s="84" t="s">
        <v>67</v>
      </c>
      <c r="G2" s="84" t="s">
        <v>68</v>
      </c>
      <c r="H2" s="85" t="s">
        <v>69</v>
      </c>
      <c r="I2" s="85" t="s">
        <v>70</v>
      </c>
      <c r="J2" s="85" t="s">
        <v>71</v>
      </c>
      <c r="K2" s="85" t="s">
        <v>72</v>
      </c>
    </row>
    <row r="3" spans="1:11">
      <c r="A3" s="83" t="str" cm="1">
        <f t="array" ref="A3:K47">_xlfn._xlws.FILTER(QA!A3:K500, QA!C3:C500="Paragraph")</f>
        <v>&lt;Full protocol title&gt;</v>
      </c>
      <c r="B3" s="83">
        <v>0</v>
      </c>
      <c r="C3" s="83" t="str">
        <v>Paragraph</v>
      </c>
      <c r="D3" s="83" t="str">
        <v>A First-In-Human, Phase 1, Randomized, Double-Blind, Placebo-Controlled Study to Evaluate the Safety, Tolerability, and Pharmacokinetics of ABC-123 as a Single Dose in Healthy Participants and as Multiple Doses in Participants with Grade 2 Boneitis</v>
      </c>
      <c r="E3" s="83" t="str">
        <v>Protocol Example (28Sep2023) 1</v>
      </c>
      <c r="F3" s="83" t="str">
        <v>Insert the full protocol title verbatim, maintaining inline continuity.</v>
      </c>
      <c r="G3" s="83" t="str">
        <v>A First-In-Human, Phase 1, Randomized, Double-Blind, Placebo-Controlled Study to Evaluate the Safety, Tolerability, and Pharmacokinetics of ABC-123 as a Single Dose in Healthy Participants and as Multiple Doses in Participants with Grade 2 Boneitis</v>
      </c>
      <c r="H3" s="83">
        <v>0</v>
      </c>
      <c r="I3" s="83" t="e" vm="3">
        <v>#VALUE!</v>
      </c>
      <c r="J3" s="83">
        <v>0.61</v>
      </c>
      <c r="K3" s="83">
        <v>0</v>
      </c>
    </row>
    <row r="4" spans="1:11">
      <c r="A4" s="83" t="str">
        <v>&lt;brief lay description of disease&gt;</v>
      </c>
      <c r="B4" s="83">
        <v>0</v>
      </c>
      <c r="C4" s="83" t="str">
        <v>Paragraph</v>
      </c>
      <c r="D4" s="83" t="str">
        <v>ABC-123 is intended for use in patients with boneitis, a disease that causes bones to change shape or disappear.</v>
      </c>
      <c r="E4" s="83" t="str">
        <v>Protocol Example (28Sep2023) 1</v>
      </c>
      <c r="F4" s="83" t="str">
        <v>Provide a brief, clear lay description of boneitis to fit seamlessly within the sentence.</v>
      </c>
      <c r="G4" s="83" t="str">
        <v>a disease that causes bones to change shape or disappear</v>
      </c>
      <c r="H4" s="83">
        <v>0</v>
      </c>
      <c r="I4" s="83" t="e" vm="13">
        <v>#VALUE!</v>
      </c>
      <c r="J4" s="83">
        <v>0.79</v>
      </c>
      <c r="K4" s="83">
        <v>0</v>
      </c>
    </row>
    <row r="5" spans="1:11">
      <c r="A5" s="83" t="str">
        <v>&lt;type of study (eg, first-in-human, Phase 1, Phase 2)&gt;</v>
      </c>
      <c r="B5" s="83">
        <v>0</v>
      </c>
      <c r="C5" s="83" t="str">
        <v>Paragraph</v>
      </c>
      <c r="D5"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5" s="83" t="str">
        <v>Protocol Example (28Sep2023) 1</v>
      </c>
      <c r="F5" s="83" t="str">
        <v>Provide the study type in concise, inline format (e.g., first-in-human, Phase 1) to maintain paragraph continuity.</v>
      </c>
      <c r="G5" s="83" t="str">
        <v>first-in-human, Phase 1</v>
      </c>
      <c r="H5" s="83">
        <v>0</v>
      </c>
      <c r="I5" s="83" t="e" vm="15">
        <v>#VALUE!</v>
      </c>
      <c r="J5" s="83">
        <v>0</v>
      </c>
      <c r="K5" s="83">
        <v>0</v>
      </c>
    </row>
    <row r="6" spans="1:11">
      <c r="A6" s="83" t="str">
        <v>&lt;lay terminology for SAD portion of study&gt;</v>
      </c>
      <c r="B6" s="83">
        <v>0</v>
      </c>
      <c r="C6" s="83" t="str">
        <v>Paragraph</v>
      </c>
      <c r="D6"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6" s="83" t="str">
        <v>Protocol Example (28Sep2023) 1</v>
      </c>
      <c r="F6" s="83" t="str">
        <v>Provide a concise lay term for the SAD portion of the study, matching the flow for an inline reference.</v>
      </c>
      <c r="G6" s="83" t="str">
        <v>the single-dose part of the study</v>
      </c>
      <c r="H6" s="83">
        <v>0</v>
      </c>
      <c r="I6" s="83" t="e" vm="21">
        <v>#VALUE!</v>
      </c>
      <c r="J6" s="83">
        <v>0</v>
      </c>
      <c r="K6" s="83">
        <v>0</v>
      </c>
    </row>
    <row r="7" spans="1:11">
      <c r="A7" s="83" t="str">
        <v>&lt;lay terminology for repeat-dose portion of study&gt;</v>
      </c>
      <c r="B7" s="83">
        <v>0</v>
      </c>
      <c r="C7" s="83" t="str">
        <v>Paragraph</v>
      </c>
      <c r="D7"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7" s="83" t="str">
        <v>Protocol Example (28Sep2023) 1</v>
      </c>
      <c r="F7" s="83">
        <v>0</v>
      </c>
      <c r="G7" s="83">
        <v>0</v>
      </c>
      <c r="H7" s="83">
        <v>0</v>
      </c>
      <c r="I7" s="83" t="e" vm="28">
        <v>#VALUE!</v>
      </c>
      <c r="J7" s="83">
        <v>0</v>
      </c>
      <c r="K7" s="83">
        <v>0</v>
      </c>
    </row>
    <row r="8" spans="1:11">
      <c r="A8" s="83" t="str">
        <v>&lt;lay terminology for dosing regimen/duration&gt;</v>
      </c>
      <c r="B8" s="83">
        <v>0</v>
      </c>
      <c r="C8" s="83" t="str">
        <v>Paragraph</v>
      </c>
      <c r="D8" s="83" t="str">
        <v>Following Check-out from the CRU, all participants will return for Follow-up study visits up to 6 weeks post dosing in the first 3 cohorts and 10 weeks post dosing in the remaining cohorts as shown in the Schedule of Assessments</v>
      </c>
      <c r="E8" s="83" t="str">
        <v>Protocol Example (28Sep2023) 1</v>
      </c>
      <c r="F8" s="83" t="str">
        <v>Rewrite the dosing regimen and duration in clear lay terms suitable for an informed consent document.</v>
      </c>
      <c r="G8" s="83" t="str">
        <v>every other week for 3 doses over up to 6 weeks</v>
      </c>
      <c r="H8" s="83">
        <v>0</v>
      </c>
      <c r="I8" s="83" t="e" vm="29">
        <v>#VALUE!</v>
      </c>
      <c r="J8" s="83">
        <v>0</v>
      </c>
      <c r="K8" s="83">
        <v>0</v>
      </c>
    </row>
    <row r="9" spans="1:11">
      <c r="A9" s="83" t="str">
        <v>&lt;brief lay description of disease&gt;</v>
      </c>
      <c r="B9" s="83">
        <v>0</v>
      </c>
      <c r="C9" s="83" t="str">
        <v>Paragraph</v>
      </c>
      <c r="D9" s="83" t="str">
        <v>ABC-123 is intended for use in patients with boneitis, a disease that causes bones to change shape or disappear.</v>
      </c>
      <c r="E9" s="83" t="str">
        <v>Protocol Example (28Sep2023) 1</v>
      </c>
      <c r="F9" s="83" t="str">
        <v>Provide a brief, clear lay description of boneitis to fit seamlessly within the sentence.</v>
      </c>
      <c r="G9" s="83" t="str">
        <v>a disease that causes bones to change shape or disappear</v>
      </c>
      <c r="H9" s="83">
        <v>0</v>
      </c>
      <c r="I9" s="83" t="e" vm="13">
        <v>#VALUE!</v>
      </c>
      <c r="J9" s="83">
        <v>0.79</v>
      </c>
      <c r="K9" s="83">
        <v>0</v>
      </c>
    </row>
    <row r="10" spans="1:11">
      <c r="A10" s="83" t="str">
        <v>&lt;lay terminology for SAD portion of study&gt;</v>
      </c>
      <c r="B10" s="83">
        <v>0</v>
      </c>
      <c r="C10" s="83" t="str">
        <v>Paragraph</v>
      </c>
      <c r="D10"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0" s="83" t="str">
        <v>Protocol Example (28Sep2023) 1</v>
      </c>
      <c r="F10" s="83" t="str">
        <v>Provide a concise lay term for the SAD portion of the study, matching the flow for an inline reference.</v>
      </c>
      <c r="G10" s="83" t="str">
        <v>the single-dose part of the study</v>
      </c>
      <c r="H10" s="83">
        <v>0</v>
      </c>
      <c r="I10" s="83" t="e" vm="21">
        <v>#VALUE!</v>
      </c>
      <c r="J10" s="83">
        <v>0</v>
      </c>
      <c r="K10" s="83">
        <v>0</v>
      </c>
    </row>
    <row r="11" spans="1:11">
      <c r="A11" s="83" t="str">
        <v>&lt;lay terminology summarizing design and enrollment plan for Cohort 1 with sentinel participants&gt;</v>
      </c>
      <c r="B11" s="83">
        <v>0</v>
      </c>
      <c r="C11" s="83" t="str">
        <v>Paragraph</v>
      </c>
      <c r="D11"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11" s="83" t="str">
        <v>Protocol Example (28Sep2023) 1</v>
      </c>
      <c r="F11" s="83" t="str">
        <v>Summarize the design and enrollment plan for Cohort 1, explaining sentinel dosing in lay language.</v>
      </c>
      <c r="G11" s="83" t="str">
        <v>The first group (Cohort 1) will include 8 participants, with 2 participants (called sentinels) receiving the study drug or placebo first to monitor safety. If no safety concerns are found after 48 hours, the remaining participants in the group will receive their doses.</v>
      </c>
      <c r="H11" s="83">
        <v>0</v>
      </c>
      <c r="I11" s="83" t="e" vm="39">
        <v>#VALUE!</v>
      </c>
      <c r="J11" s="83">
        <v>0</v>
      </c>
      <c r="K11" s="83">
        <v>0</v>
      </c>
    </row>
    <row r="12" spans="1:11">
      <c r="A12" s="83" t="str">
        <v>&lt;lay terminology for repeat-dose portion of study&gt;</v>
      </c>
      <c r="B12" s="83">
        <v>0</v>
      </c>
      <c r="C12" s="83" t="str">
        <v>Paragraph</v>
      </c>
      <c r="D12"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12" s="83" t="str">
        <v>Protocol Example (28Sep2023) 1</v>
      </c>
      <c r="F12" s="83">
        <v>0</v>
      </c>
      <c r="G12" s="83">
        <v>0</v>
      </c>
      <c r="H12" s="83">
        <v>0</v>
      </c>
      <c r="I12" s="83" t="e" vm="28">
        <v>#VALUE!</v>
      </c>
      <c r="J12" s="83">
        <v>0</v>
      </c>
      <c r="K12" s="83">
        <v>0</v>
      </c>
    </row>
    <row r="13" spans="1:11">
      <c r="A13" s="83" t="str">
        <v>&lt;lay terminology for dosing regimen/duration&gt;</v>
      </c>
      <c r="B13" s="83">
        <v>0</v>
      </c>
      <c r="C13" s="83" t="str">
        <v>Paragraph</v>
      </c>
      <c r="D13" s="83" t="str">
        <v>Following Check-out from the CRU, all participants will return for Follow-up study visits up to 6 weeks post dosing in the first 3 cohorts and 10 weeks post dosing in the remaining cohorts as shown in the Schedule of Assessments</v>
      </c>
      <c r="E13" s="83" t="str">
        <v>Protocol Example (28Sep2023) 1</v>
      </c>
      <c r="F13" s="83" t="str">
        <v>Rewrite the dosing regimen and duration in clear lay terms suitable for an informed consent document.</v>
      </c>
      <c r="G13" s="83" t="str">
        <v>every other week for 3 doses over up to 6 weeks</v>
      </c>
      <c r="H13" s="83">
        <v>0</v>
      </c>
      <c r="I13" s="83" t="e" vm="29">
        <v>#VALUE!</v>
      </c>
      <c r="J13" s="83">
        <v>0</v>
      </c>
      <c r="K13" s="83">
        <v>0</v>
      </c>
    </row>
    <row r="14" spans="1:11">
      <c r="A14" s="83" t="str">
        <v>&lt;lay terminology for choice of dose for repeat-dose portion of study based on data from SAD portion of study&gt;</v>
      </c>
      <c r="B14" s="83">
        <v>0</v>
      </c>
      <c r="C14" s="83" t="str">
        <v>Paragraph</v>
      </c>
      <c r="D14" s="83" t="str">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c>
      <c r="E14" s="83" t="str">
        <v>Protocol Example (28Sep2023) 1</v>
      </c>
      <c r="F14" s="83" t="str">
        <v>Provide a lay summary explaining that the repeat-dose regimen is chosen based on safety, tolerability, and PK data from the SAD portion.</v>
      </c>
      <c r="G14" s="83" t="str">
        <v>was selected based on safety, tolerability, and PK data from the single ascending dose (SAD) portion of the study</v>
      </c>
      <c r="H14" s="83">
        <v>0</v>
      </c>
      <c r="I14" s="83" t="e" vm="45">
        <v>#VALUE!</v>
      </c>
      <c r="J14" s="83">
        <v>0</v>
      </c>
      <c r="K14" s="83">
        <v>0</v>
      </c>
    </row>
    <row r="15" spans="1:11">
      <c r="A15" s="83" t="str">
        <v>&lt;lay terminology for SAD portion of study&gt;</v>
      </c>
      <c r="B15" s="83">
        <v>0</v>
      </c>
      <c r="C15" s="83" t="str">
        <v>Paragraph</v>
      </c>
      <c r="D15"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5" s="83" t="str">
        <v>Protocol Example (28Sep2023) 1</v>
      </c>
      <c r="F15" s="83" t="str">
        <v>Provide a concise lay term for the SAD portion of the study, matching the flow for an inline reference.</v>
      </c>
      <c r="G15" s="83" t="str">
        <v>the single-dose part of the study</v>
      </c>
      <c r="H15" s="83">
        <v>0</v>
      </c>
      <c r="I15" s="83" t="e" vm="21">
        <v>#VALUE!</v>
      </c>
      <c r="J15" s="83">
        <v>0</v>
      </c>
      <c r="K15" s="83">
        <v>0</v>
      </c>
    </row>
    <row r="16" spans="1:11">
      <c r="A16" s="83" t="str">
        <v>&lt;lay terminology for SAD portion of study&gt;</v>
      </c>
      <c r="B16" s="83">
        <v>0</v>
      </c>
      <c r="C16" s="83" t="str">
        <v>Paragraph</v>
      </c>
      <c r="D16"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6" s="83" t="str">
        <v>Protocol Example (28Sep2023) 1</v>
      </c>
      <c r="F16" s="83" t="str">
        <v>Provide a concise lay term for the SAD portion of the study, matching the flow for an inline reference.</v>
      </c>
      <c r="G16" s="83" t="str">
        <v>the single-dose part of the study</v>
      </c>
      <c r="H16" s="83">
        <v>0</v>
      </c>
      <c r="I16" s="83" t="e" vm="21">
        <v>#VALUE!</v>
      </c>
      <c r="J16" s="83">
        <v>0</v>
      </c>
      <c r="K16" s="83">
        <v>0</v>
      </c>
    </row>
    <row r="17" spans="1:11">
      <c r="A17" s="83" t="str">
        <v>&lt;lay summary of duration on study including details/time for screening, screeningthe clinic, follow-up periods&gt;</v>
      </c>
      <c r="B17" s="83">
        <v>0</v>
      </c>
      <c r="C17" s="83" t="str">
        <v>Paragraph</v>
      </c>
      <c r="D17"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17" s="83" t="str">
        <v>Protocol Example (28Sep2023) 1</v>
      </c>
      <c r="F17" s="83" t="str">
        <v>Write a lay summary of the study schedule for these cohorts, including screening period, dosing regimen, and total study duration.</v>
      </c>
      <c r="G17" s="83" t="str">
        <v>up to 5 weeks for screening, followed by repeat dosing every other week for 3 doses, and up to 15 weeks total from Screening to Follow-up</v>
      </c>
      <c r="H17" s="83">
        <v>0</v>
      </c>
      <c r="I17" s="83" t="e" vm="50">
        <v>#VALUE!</v>
      </c>
      <c r="J17" s="83">
        <v>0</v>
      </c>
      <c r="K17" s="83">
        <v>0</v>
      </c>
    </row>
    <row r="18" spans="1:11">
      <c r="A18" s="83" t="str">
        <v>&lt;lay summary of duration on study including details/time for screening, time in the clinic, follow-up periods&gt;</v>
      </c>
      <c r="B18" s="83">
        <v>0</v>
      </c>
      <c r="C18" s="83" t="str">
        <v>Paragraph</v>
      </c>
      <c r="D18"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18" s="83" t="str">
        <v>Protocol Example (28Sep2023) 1</v>
      </c>
      <c r="F18" s="83" t="str">
        <v>Write a lay summary of the study schedule for these cohorts, including screening period, dosing regimen, and total study duration.</v>
      </c>
      <c r="G18" s="83" t="str">
        <v>up to 5 weeks for screening, followed by repeat dosing every other week for 3 doses, and up to 15 weeks total from Screening to Follow-up</v>
      </c>
      <c r="H18" s="83">
        <v>0</v>
      </c>
      <c r="I18" s="83" t="e" vm="50">
        <v>#VALUE!</v>
      </c>
      <c r="J18" s="83">
        <v>0</v>
      </c>
      <c r="K18" s="83">
        <v>0</v>
      </c>
    </row>
    <row r="19" spans="1:11">
      <c r="A19" s="83" t="str">
        <v>&lt;lay terminology for repeat-dose portion of study&gt;</v>
      </c>
      <c r="B19" s="83">
        <v>0</v>
      </c>
      <c r="C19" s="83" t="str">
        <v>Paragraph</v>
      </c>
      <c r="D19"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19" s="83" t="str">
        <v>Protocol Example (28Sep2023) 1</v>
      </c>
      <c r="F19" s="83">
        <v>0</v>
      </c>
      <c r="G19" s="83">
        <v>0</v>
      </c>
      <c r="H19" s="83">
        <v>0</v>
      </c>
      <c r="I19" s="83" t="e" vm="28">
        <v>#VALUE!</v>
      </c>
      <c r="J19" s="83">
        <v>0</v>
      </c>
      <c r="K19" s="83">
        <v>0</v>
      </c>
    </row>
    <row r="20" spans="1:11">
      <c r="A20" s="83" t="str">
        <v>&lt;lay terminology for repeat-dose portion of study&gt;</v>
      </c>
      <c r="B20" s="83">
        <v>0</v>
      </c>
      <c r="C20" s="83" t="str">
        <v>Paragraph</v>
      </c>
      <c r="D20"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20" s="83" t="str">
        <v>Protocol Example (28Sep2023) 1</v>
      </c>
      <c r="F20" s="83">
        <v>0</v>
      </c>
      <c r="G20" s="83">
        <v>0</v>
      </c>
      <c r="H20" s="83">
        <v>0</v>
      </c>
      <c r="I20" s="83" t="e" vm="28">
        <v>#VALUE!</v>
      </c>
      <c r="J20" s="83">
        <v>0</v>
      </c>
      <c r="K20" s="83">
        <v>0</v>
      </c>
    </row>
    <row r="21" spans="1:11">
      <c r="A21" s="83" t="str">
        <v>&lt;lay summary of duration on study including details/ time for screening, time in the clinic, follow-up periods&gt;</v>
      </c>
      <c r="B21" s="83">
        <v>0</v>
      </c>
      <c r="C21" s="83" t="str">
        <v>Paragraph</v>
      </c>
      <c r="D21"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21" s="83" t="str">
        <v>Protocol Example (28Sep2023) 1</v>
      </c>
      <c r="F21" s="83" t="str">
        <v>Summarize the total study duration, specifying the time for screening, dosing, and follow-up in a concise lay format.</v>
      </c>
      <c r="G21" s="83" t="str">
        <v>up to 15 weeks, including up to 5 weeks for Screening, dosing every other week for 3 doses, and a Follow-up period</v>
      </c>
      <c r="H21" s="83">
        <v>0</v>
      </c>
      <c r="I21" s="83" t="e" vm="50">
        <v>#VALUE!</v>
      </c>
      <c r="J21" s="83">
        <v>0</v>
      </c>
      <c r="K21" s="83">
        <v>0</v>
      </c>
    </row>
    <row r="22" spans="1:11">
      <c r="A22" s="83" t="str">
        <v>&lt;lay terminology for SAD portion of study&gt;</v>
      </c>
      <c r="B22" s="83">
        <v>0</v>
      </c>
      <c r="C22" s="83" t="str">
        <v>Paragraph</v>
      </c>
      <c r="D22"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22" s="83" t="str">
        <v>Protocol Example (28Sep2023) 1</v>
      </c>
      <c r="F22" s="83" t="str">
        <v>Provide a concise lay term for the SAD portion of the study, matching the flow for an inline reference.</v>
      </c>
      <c r="G22" s="83" t="str">
        <v>the single-dose part of the study</v>
      </c>
      <c r="H22" s="83">
        <v>0</v>
      </c>
      <c r="I22" s="83" t="e" vm="21">
        <v>#VALUE!</v>
      </c>
      <c r="J22" s="83">
        <v>0</v>
      </c>
      <c r="K22" s="83">
        <v>0</v>
      </c>
    </row>
    <row r="23" spans="1:11">
      <c r="A23" s="83" t="str">
        <v>&lt;Bullet list of lay terminology of all assessments required during Check-in/Day1&gt;</v>
      </c>
      <c r="B23" s="83">
        <v>0</v>
      </c>
      <c r="C23" s="83" t="str">
        <v>Paragraph</v>
      </c>
      <c r="D23" s="83"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c>
      <c r="E23" s="83" t="str">
        <v>Protocol Example (28Sep2023) 1</v>
      </c>
      <c r="F23" s="83" t="str">
        <v>List all assessments required during Check-in/Day 1 using lay terminology as a concise bullet or inline list.</v>
      </c>
      <c r="G23" s="83" t="str">
        <v>Blood pressure, pulse rate, respiratory rate, body temperature, blood tests, heart monitoring (ECG), physical examination, and mental health assessment.</v>
      </c>
      <c r="H23" s="83">
        <v>0</v>
      </c>
      <c r="I23" s="83" t="e" vm="62">
        <v>#VALUE!</v>
      </c>
      <c r="J23" s="83">
        <v>0</v>
      </c>
      <c r="K23" s="83">
        <v>0</v>
      </c>
    </row>
    <row r="24" spans="1:11">
      <c r="A24" s="83" t="str">
        <v>&lt;lay terminology for repeat-dose portion of study&gt;</v>
      </c>
      <c r="B24" s="83">
        <v>0</v>
      </c>
      <c r="C24" s="83" t="str">
        <v>Paragraph</v>
      </c>
      <c r="D24"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24" s="83" t="str">
        <v>Protocol Example (28Sep2023) 1</v>
      </c>
      <c r="F24" s="83">
        <v>0</v>
      </c>
      <c r="G24" s="83">
        <v>0</v>
      </c>
      <c r="H24" s="83">
        <v>0</v>
      </c>
      <c r="I24" s="83" t="e" vm="28">
        <v>#VALUE!</v>
      </c>
      <c r="J24" s="83">
        <v>0</v>
      </c>
      <c r="K24" s="83">
        <v>0</v>
      </c>
    </row>
    <row r="25" spans="1:11">
      <c r="A25" s="83" t="str">
        <v>&lt;Bullet list of lay terminology of all assessments required during first Check-in/Day1&gt;</v>
      </c>
      <c r="B25" s="83">
        <v>0</v>
      </c>
      <c r="C25" s="83" t="str">
        <v>Paragraph</v>
      </c>
      <c r="D25" s="83"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c>
      <c r="E25" s="83" t="str">
        <v>Protocol Example (28Sep2023) 1</v>
      </c>
      <c r="F25" s="83" t="str">
        <v>List all assessments required during the first Check-in/Day 1 in simple, lay language as a concise inline bullet list.</v>
      </c>
      <c r="G25" s="83" t="str">
        <v>Blood pressure, pulse rate, respiratory rate, body temperature, ECG (heart tracing), blood tests, physical examination, mental health assessment.</v>
      </c>
      <c r="H25" s="83">
        <v>0</v>
      </c>
      <c r="I25" s="83" t="e" vm="62">
        <v>#VALUE!</v>
      </c>
      <c r="J25" s="83">
        <v>0</v>
      </c>
      <c r="K25" s="83">
        <v>0</v>
      </c>
    </row>
    <row r="26" spans="1:11">
      <c r="A26" s="83" t="str">
        <v>&lt;Second Check-in/Day X&gt;</v>
      </c>
      <c r="B26" s="83">
        <v>0</v>
      </c>
      <c r="C26" s="83" t="str">
        <v>Paragraph</v>
      </c>
      <c r="D26"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26" s="83" t="str">
        <v>Protocol Example (28Sep2023) 1</v>
      </c>
      <c r="F26" s="83" t="str">
        <v>Summarize the activities and timing for the second Check-in/Day X, focusing on follow-up visit requirements and monitoring procedures.</v>
      </c>
      <c r="G26" s="83" t="str">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c>
      <c r="H26" s="83">
        <v>0</v>
      </c>
      <c r="I26" s="83" t="e" vm="39">
        <v>#VALUE!</v>
      </c>
      <c r="J26" s="83">
        <v>0</v>
      </c>
      <c r="K26" s="83">
        <v>0</v>
      </c>
    </row>
    <row r="27" spans="1:11">
      <c r="A27" s="83" t="str">
        <v>&lt;second Check-in/Day X&gt;</v>
      </c>
      <c r="B27" s="83">
        <v>0</v>
      </c>
      <c r="C27" s="83" t="str">
        <v>Paragraph</v>
      </c>
      <c r="D27"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27" s="83" t="str">
        <v>Protocol Example (28Sep2023) 1</v>
      </c>
      <c r="F27" s="83" t="str">
        <v>Replace with the specific days corresponding to the second check-in as described in the study schedule.</v>
      </c>
      <c r="G27" s="83" t="str">
        <v>Second Check-in/Day 2 to Day 8</v>
      </c>
      <c r="H27" s="83">
        <v>0</v>
      </c>
      <c r="I27" s="83" t="e" vm="39">
        <v>#VALUE!</v>
      </c>
      <c r="J27" s="83">
        <v>0</v>
      </c>
      <c r="K27" s="83">
        <v>0</v>
      </c>
    </row>
    <row r="28" spans="1:11">
      <c r="A28" s="83" t="str">
        <v>&lt;Bullet list of lay terminology of all assessments required during second Check-in&gt;</v>
      </c>
      <c r="B28" s="83">
        <v>0</v>
      </c>
      <c r="C28" s="83" t="str">
        <v>Paragraph</v>
      </c>
      <c r="D28" s="83" t="str">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c>
      <c r="E28" s="83" t="str">
        <v>Protocol Example (28Sep2023) 1</v>
      </c>
      <c r="F28" s="83" t="str">
        <v>List in lay terminology all assessments required during the second Check-in period, formatted as a concise inline list.</v>
      </c>
      <c r="G28" s="83" t="str">
        <v>blood tests, heart monitoring (ECG), checking vital signs (blood pressure, pulse, breathing rate, body temperature), physical exams, and mental health checks</v>
      </c>
      <c r="H28" s="83">
        <v>0</v>
      </c>
      <c r="I28" s="83" t="e" vm="76">
        <v>#VALUE!</v>
      </c>
      <c r="J28" s="83">
        <v>0</v>
      </c>
      <c r="K28" s="83">
        <v>0</v>
      </c>
    </row>
    <row r="29" spans="1:11">
      <c r="A29" s="83" t="str">
        <v>&lt;Final Check-out/Day X&gt;</v>
      </c>
      <c r="B29" s="83">
        <v>0</v>
      </c>
      <c r="C29" s="83" t="str">
        <v>Paragraph</v>
      </c>
      <c r="D29" s="83" t="str">
        <v xml:space="preserve">Donation of blood is not permitted from 8 weeks (16 weeks for double red cell donation) prior to Screening until 90 days after the final Follow-up visit. </v>
      </c>
      <c r="E29" s="83" t="str">
        <v>Protocol Example (28Sep2023) 1</v>
      </c>
      <c r="F29" s="83" t="str">
        <v>Describe the activities or assessments to be performed at the final Check-out or Day X at the end of the in-residence period.</v>
      </c>
      <c r="G29" s="83">
        <v>0</v>
      </c>
      <c r="H29" s="83">
        <v>0</v>
      </c>
      <c r="I29" s="83" t="e" vm="79">
        <v>#VALUE!</v>
      </c>
      <c r="J29" s="83">
        <v>0</v>
      </c>
      <c r="K29" s="83">
        <v>0</v>
      </c>
    </row>
    <row r="30" spans="1:11">
      <c r="A30" s="83" t="str">
        <v>&lt;final Check-out/Day X&gt;</v>
      </c>
      <c r="B30" s="83">
        <v>0</v>
      </c>
      <c r="C30" s="83" t="str">
        <v>Paragraph</v>
      </c>
      <c r="D30" s="83" t="str">
        <v xml:space="preserve">Donation of blood is not permitted from 8 weeks (16 weeks for double red cell donation) prior to Screening until 90 days after the final Follow-up visit. </v>
      </c>
      <c r="E30" s="83" t="str">
        <v>Protocol Example (28Sep2023) 1</v>
      </c>
      <c r="F30" s="83" t="str">
        <v>Insert the correct day for final Check-out as referenced in the study schedule.</v>
      </c>
      <c r="G30" s="83" t="str">
        <v>final Check-out/Day 8</v>
      </c>
      <c r="H30" s="83">
        <v>0</v>
      </c>
      <c r="I30" s="83" t="e" vm="79">
        <v>#VALUE!</v>
      </c>
      <c r="J30" s="83">
        <v>0</v>
      </c>
      <c r="K30" s="83">
        <v>0</v>
      </c>
    </row>
    <row r="31" spans="1:11">
      <c r="A31" s="83" t="str">
        <v>&lt;lay terminology for SAD portion of study, Cohorts X-X&gt;</v>
      </c>
      <c r="B31" s="83">
        <v>0</v>
      </c>
      <c r="C31" s="83" t="str">
        <v>Paragraph</v>
      </c>
      <c r="D31"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c>
      <c r="E31" s="83" t="str">
        <v>Protocol Example (28Sep2023) 1</v>
      </c>
      <c r="F31" s="83" t="str">
        <v>Provide a layperson description of the SAD portion of the study and how cohorts are used.</v>
      </c>
      <c r="G31" s="83" t="str">
        <v>the part of the study where small groups of healthy volunteers (cohorts) receive single increasing doses of the study drug to see how safe it is</v>
      </c>
      <c r="H31" s="83">
        <v>0</v>
      </c>
      <c r="I31" s="83" t="e" vm="83">
        <v>#VALUE!</v>
      </c>
      <c r="J31" s="83">
        <v>0</v>
      </c>
      <c r="K31" s="83">
        <v>0</v>
      </c>
    </row>
    <row r="32" spans="1:11">
      <c r="A32" s="83" t="str">
        <v>&lt;lay terminology for SAD portion of study, Cohorts X-X&gt;</v>
      </c>
      <c r="B32" s="83">
        <v>0</v>
      </c>
      <c r="C32" s="83" t="str">
        <v>Paragraph</v>
      </c>
      <c r="D32"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c>
      <c r="E32" s="83" t="str">
        <v>Protocol Example (28Sep2023) 1</v>
      </c>
      <c r="F32" s="83" t="str">
        <v>Provide a layperson description of the SAD portion of the study and how cohorts are used.</v>
      </c>
      <c r="G32" s="83" t="str">
        <v>the part of the study where small groups of healthy volunteers (cohorts) receive single increasing doses of the study drug to see how safe it is</v>
      </c>
      <c r="H32" s="83">
        <v>0</v>
      </c>
      <c r="I32" s="83" t="e" vm="83">
        <v>#VALUE!</v>
      </c>
      <c r="J32" s="83">
        <v>0</v>
      </c>
      <c r="K32" s="83">
        <v>0</v>
      </c>
    </row>
    <row r="33" spans="1:11">
      <c r="A33" s="83" t="str">
        <v>&lt;lay terminology for repeat-dose portion of study&gt;</v>
      </c>
      <c r="B33" s="83">
        <v>0</v>
      </c>
      <c r="C33" s="83" t="str">
        <v>Paragraph</v>
      </c>
      <c r="D33"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33" s="83" t="str">
        <v>Protocol Example (28Sep2023) 1</v>
      </c>
      <c r="F33" s="83">
        <v>0</v>
      </c>
      <c r="G33" s="83">
        <v>0</v>
      </c>
      <c r="H33" s="83">
        <v>0</v>
      </c>
      <c r="I33" s="83" t="e" vm="28">
        <v>#VALUE!</v>
      </c>
      <c r="J33" s="83">
        <v>0</v>
      </c>
      <c r="K33" s="83">
        <v>0</v>
      </c>
    </row>
    <row r="34" spans="1:11">
      <c r="A34" s="83" t="str">
        <v>&lt;local health authority&gt;</v>
      </c>
      <c r="B34" s="83">
        <v>0</v>
      </c>
      <c r="C34" s="83" t="str">
        <v>Paragraph</v>
      </c>
      <c r="D34" s="83" t="str">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c>
      <c r="E34" s="83" t="str">
        <v>Protocol Example (28Sep2023) 1</v>
      </c>
      <c r="F34" s="83" t="str">
        <v>Provide the official term for the authority to which positive HIV test results must be reported, maintaining inline continuity.</v>
      </c>
      <c r="G34" s="83" t="str">
        <v>local regulatory authority</v>
      </c>
      <c r="H34" s="83">
        <v>0</v>
      </c>
      <c r="I34" s="83" t="e" vm="85">
        <v>#VALUE!</v>
      </c>
      <c r="J34" s="83">
        <v>0.63</v>
      </c>
      <c r="K34" s="83">
        <v>0</v>
      </c>
    </row>
    <row r="35" spans="1:11">
      <c r="A35" s="83" t="str">
        <v>&lt;local health authority&gt;</v>
      </c>
      <c r="B35" s="83">
        <v>0</v>
      </c>
      <c r="C35" s="83" t="str">
        <v>Paragraph</v>
      </c>
      <c r="D35" s="83" t="str">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c>
      <c r="E35" s="83" t="str">
        <v>Protocol Example (28Sep2023) 1</v>
      </c>
      <c r="F35" s="83" t="str">
        <v>Provide the official term for the authority to which positive HIV test results must be reported, maintaining inline continuity.</v>
      </c>
      <c r="G35" s="83" t="str">
        <v>local regulatory authority</v>
      </c>
      <c r="H35" s="83">
        <v>0</v>
      </c>
      <c r="I35" s="83" t="e" vm="87">
        <v>#VALUE!</v>
      </c>
      <c r="J35" s="83">
        <v>0</v>
      </c>
      <c r="K35" s="83">
        <v>0</v>
      </c>
    </row>
    <row r="36" spans="1:11">
      <c r="A36" s="83" t="str">
        <v>&lt;CRO Name&gt;</v>
      </c>
      <c r="B36" s="83">
        <v>0</v>
      </c>
      <c r="C36" s="83" t="str">
        <v>Paragraph</v>
      </c>
      <c r="D36" s="83">
        <v>0</v>
      </c>
      <c r="E36" s="83" t="str">
        <v>Protocol Example (28Sep2023) 1</v>
      </c>
      <c r="F36" s="83" t="str">
        <v>Summarize the CRO's role and oversight by the Sponsor as described in the context.</v>
      </c>
      <c r="G36" s="83" t="str">
        <v>The Contract Research Organization (CRO) involved in this study will work under the oversight of the Sponsor, with certain actions delegated to them as appropriate.</v>
      </c>
      <c r="H36" s="83">
        <v>0</v>
      </c>
      <c r="I36" s="83" t="e" vm="8">
        <v>#VALUE!</v>
      </c>
      <c r="J36" s="83">
        <v>0</v>
      </c>
      <c r="K36" s="83">
        <v>0</v>
      </c>
    </row>
    <row r="37" spans="1:11">
      <c r="A37" s="83" t="str">
        <v>&lt;CRO Name&gt;</v>
      </c>
      <c r="B37" s="83">
        <v>0</v>
      </c>
      <c r="C37" s="83" t="str">
        <v>Paragraph</v>
      </c>
      <c r="D37" s="83">
        <v>0</v>
      </c>
      <c r="E37" s="83" t="str">
        <v>Protocol Example (28Sep2023) 1</v>
      </c>
      <c r="F37" s="83" t="str">
        <v>Replace &lt;CRO Name&gt; with the formal term for the contract research organization as referenced in the protocol.</v>
      </c>
      <c r="G37" s="83" t="str">
        <v>Contract Research Organization (CRO)</v>
      </c>
      <c r="H37" s="83">
        <v>0</v>
      </c>
      <c r="I37" s="83" t="e" vm="8">
        <v>#VALUE!</v>
      </c>
      <c r="J37" s="83">
        <v>0</v>
      </c>
      <c r="K37" s="83">
        <v>0</v>
      </c>
    </row>
    <row r="38" spans="1:11">
      <c r="A38" s="83" t="str">
        <v>&lt;side effect&gt;</v>
      </c>
      <c r="B38" s="83">
        <v>0</v>
      </c>
      <c r="C38" s="83" t="str">
        <v>Paragraph</v>
      </c>
      <c r="D38" s="83" t="str">
        <v xml:space="preserve">Additional risks observed in clinical studies with blorp inductors include gastrointestinal adverse events (primarily nausea, diarrhea, and vomiting), asthenia/fatigue, hot flushes, and dizziness. </v>
      </c>
      <c r="E38" s="83" t="str">
        <v>Protocol Example (28Sep2023) 1</v>
      </c>
      <c r="F38" s="83" t="str">
        <v>List the most common side effects seen in people given drugs similar to the study drug, as described in the context.</v>
      </c>
      <c r="G38" s="83" t="str">
        <v>&lt;li&gt;Gastrointestinal adverse effects&lt;/li&gt;&lt;li&gt;Psychiatric effects (eg, amphibious jocularity, levitation, the crunge)&lt;/li&gt;&lt;li&gt;Neurological effects&lt;/li&gt;</v>
      </c>
      <c r="H38" s="83">
        <v>0</v>
      </c>
      <c r="I38" s="83" t="e" vm="93">
        <v>#VALUE!</v>
      </c>
      <c r="J38" s="83">
        <v>0</v>
      </c>
      <c r="K38" s="83">
        <v>0</v>
      </c>
    </row>
    <row r="39" spans="1:11">
      <c r="A39" s="83" t="str">
        <v>&lt;side effect&gt;</v>
      </c>
      <c r="B39" s="83">
        <v>0</v>
      </c>
      <c r="C39" s="83" t="str">
        <v>Paragraph</v>
      </c>
      <c r="D39"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39" s="83" t="str">
        <v>Protocol Example (28Sep2023) 1</v>
      </c>
      <c r="F39" s="83" t="str">
        <v>List the main side effects and adverse effects associated with blorp inductors and/or ABC-123.</v>
      </c>
      <c r="G39" s="83" t="str">
        <v>&lt;li&gt;Adverse psychiatric and neurological effects (eg, amphibious jocularity, levitation, and the crunge)&lt;/li&gt;&lt;li&gt;Gastrointestinal adverse effects&lt;/li&gt;</v>
      </c>
      <c r="H39" s="83">
        <v>0</v>
      </c>
      <c r="I39" s="83" t="e" vm="95">
        <v>#VALUE!</v>
      </c>
      <c r="J39" s="83">
        <v>0</v>
      </c>
      <c r="K39" s="83">
        <v>0</v>
      </c>
    </row>
    <row r="40" spans="1:11">
      <c r="A40" s="83" t="str">
        <v>&lt;side effect&gt;</v>
      </c>
      <c r="B40" s="83">
        <v>0</v>
      </c>
      <c r="C40" s="83" t="str">
        <v>Paragraph</v>
      </c>
      <c r="D40"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0" s="83" t="str">
        <v>Protocol Example (28Sep2023) 1</v>
      </c>
      <c r="F40" s="83" t="str">
        <v>List the main side effects observed or anticipated for blorp inductors and ABC-123.</v>
      </c>
      <c r="G40" s="83" t="str">
        <v>&lt;li&gt;Adverse psychiatric and neurological effects (eg, amphibious jocularity, levitation, and the crunge)&lt;/li&gt;&lt;li&gt;Gastrointestinal adverse effects&lt;/li&gt;&lt;li&gt;Potential for CNS-associated adverse effects&lt;/li&gt;</v>
      </c>
      <c r="H40" s="83">
        <v>0</v>
      </c>
      <c r="I40" s="83" t="e" vm="95">
        <v>#VALUE!</v>
      </c>
      <c r="J40" s="83">
        <v>0</v>
      </c>
      <c r="K40" s="83">
        <v>0</v>
      </c>
    </row>
    <row r="41" spans="1:11">
      <c r="A41" s="83" t="str">
        <v>&lt;side effect&gt;</v>
      </c>
      <c r="B41" s="83">
        <v>0</v>
      </c>
      <c r="C41" s="83" t="str">
        <v>Paragraph</v>
      </c>
      <c r="D41" s="83" t="str">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c>
      <c r="E41" s="83" t="str">
        <v>Protocol Example (28Sep2023) 1</v>
      </c>
      <c r="F41" s="83" t="str">
        <v>List the CNS-associated side effects observed with similar drugs (blorp inductors) that participants will be monitored for.</v>
      </c>
      <c r="G41" s="83" t="str">
        <v>&lt;li&gt;Amphibious jocularity&lt;/li&gt;&lt;li&gt;Levitation&lt;/li&gt;&lt;li&gt;The crunge&lt;/li&gt;</v>
      </c>
      <c r="H41" s="83">
        <v>0</v>
      </c>
      <c r="I41" s="83" t="e" vm="97">
        <v>#VALUE!</v>
      </c>
      <c r="J41" s="83">
        <v>0</v>
      </c>
      <c r="K41" s="83">
        <v>0</v>
      </c>
    </row>
    <row r="42" spans="1:11">
      <c r="A42" s="83" t="str">
        <v>&lt;side effect&gt;</v>
      </c>
      <c r="B42" s="83">
        <v>0</v>
      </c>
      <c r="C42" s="83" t="str">
        <v>Paragraph</v>
      </c>
      <c r="D42" s="83" t="str">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c>
      <c r="E42" s="83" t="str">
        <v>Protocol Example (28Sep2023) 1</v>
      </c>
      <c r="F42" s="83" t="str">
        <v>List the CNS-associated side effects seen with similar drugs that cross into the brain.</v>
      </c>
      <c r="G42" s="83" t="str">
        <v>&lt;li&gt;amphibious jocularity&lt;/li&gt;&lt;li&gt;levitation&lt;/li&gt;&lt;li&gt;the crunge&lt;/li&gt;</v>
      </c>
      <c r="H42" s="83">
        <v>0</v>
      </c>
      <c r="I42" s="83" t="e" vm="97">
        <v>#VALUE!</v>
      </c>
      <c r="J42" s="83">
        <v>0</v>
      </c>
      <c r="K42" s="83">
        <v>0</v>
      </c>
    </row>
    <row r="43" spans="1:11">
      <c r="A43" s="83" t="str">
        <v>&lt;side effect&gt;</v>
      </c>
      <c r="B43" s="83">
        <v>0</v>
      </c>
      <c r="C43" s="83" t="str">
        <v>Paragraph</v>
      </c>
      <c r="D43"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3" s="83" t="str">
        <v>Protocol Example (28Sep2023) 1</v>
      </c>
      <c r="F43" s="83" t="str">
        <v>List the adverse effects and monitoring considerations mentioned for blorp inductors and ABC-123.</v>
      </c>
      <c r="G43" s="83" t="str">
        <v>&lt;li&gt;Adverse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v>
      </c>
      <c r="H43" s="83">
        <v>0</v>
      </c>
      <c r="I43" s="83" t="e" vm="95">
        <v>#VALUE!</v>
      </c>
      <c r="J43" s="83">
        <v>0</v>
      </c>
      <c r="K43" s="83">
        <v>0</v>
      </c>
    </row>
    <row r="44" spans="1:11">
      <c r="A44" s="83" t="str">
        <v>&lt;side effect&gt;</v>
      </c>
      <c r="B44" s="83">
        <v>0</v>
      </c>
      <c r="C44" s="83" t="str">
        <v>Paragraph</v>
      </c>
      <c r="D44" s="83" t="str">
        <v xml:space="preserve">Additional risks observed in clinical studies with blorp inductors include gastrointestinal adverse events (primarily nausea, diarrhea, and vomiting), asthenia/fatigue, hot flushes, and dizziness. </v>
      </c>
      <c r="E44" s="83" t="str">
        <v>Protocol Example (28Sep2023) 1</v>
      </c>
      <c r="F44" s="83" t="str">
        <v>List the main adverse effects and side effects associated with blorp inductors and ABC-123, specifying both CNS and non-CNS events.</v>
      </c>
      <c r="G44" s="83" t="str">
        <v>&lt;li&gt;Gastrointestinal adverse effects (primary non-CNS)&lt;/li&gt;&lt;li&gt;Adverse psychiatric effects (e.g., amphibious jocularity)&lt;/li&gt;&lt;li&gt;Neurological adverse effects (e.g., levitation, the crunge)&lt;/li&gt;</v>
      </c>
      <c r="H44" s="83">
        <v>0</v>
      </c>
      <c r="I44" s="83" t="e" vm="93">
        <v>#VALUE!</v>
      </c>
      <c r="J44" s="83">
        <v>0</v>
      </c>
      <c r="K44" s="83">
        <v>0</v>
      </c>
    </row>
    <row r="45" spans="1:11">
      <c r="A45" s="83" t="str">
        <v>&lt;side effect&gt;</v>
      </c>
      <c r="B45" s="83">
        <v>0</v>
      </c>
      <c r="C45" s="83" t="str">
        <v>Paragraph</v>
      </c>
      <c r="D45"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5" s="83" t="str">
        <v>Protocol Example (28Sep2023) 1</v>
      </c>
      <c r="F45" s="83" t="str">
        <v>List the main side effects associated with the study drug, focusing on CNS and gastrointestinal effects.</v>
      </c>
      <c r="G45" s="83" t="str">
        <v>&lt;li&gt;Adverse psychiatric and neurological effects, including amphibious jocularity, levitation, and the crunge&lt;/li&gt;&lt;li&gt;Gastrointestinal adverse effects&lt;/li&gt;</v>
      </c>
      <c r="H45" s="83">
        <v>0</v>
      </c>
      <c r="I45" s="83" t="e" vm="95">
        <v>#VALUE!</v>
      </c>
      <c r="J45" s="83">
        <v>0</v>
      </c>
      <c r="K45" s="83">
        <v>0</v>
      </c>
    </row>
    <row r="46" spans="1:11">
      <c r="A46" s="83" t="str">
        <v>&lt;Lay terminology summarizing protocol requirement for females receiving HRT and whose menopausual status is in doubt.&gt;</v>
      </c>
      <c r="B46" s="83">
        <v>0</v>
      </c>
      <c r="C46" s="83" t="str">
        <v>Paragraph</v>
      </c>
      <c r="D46" s="83" t="str">
        <v>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c>
      <c r="E46" s="83" t="str">
        <v>Protocol Example (28Sep2023) 1</v>
      </c>
      <c r="F46" s="83" t="str">
        <v>Summarize in lay terms the protocol rule for women on HRT with uncertain menopause status.</v>
      </c>
      <c r="G46" s="83" t="str">
        <v>Women who are taking hormone replacement therapy (HRT) and whose menopausal status is uncertain must either stop HRT to confirm menopause before joining the study or, if they wish to continue HRT, use a highly effective non-estrogen hormonal birth control method during the study.</v>
      </c>
      <c r="H46" s="83">
        <v>0</v>
      </c>
      <c r="I46" s="83" t="e" vm="99">
        <v>#VALUE!</v>
      </c>
      <c r="J46" s="83">
        <v>0</v>
      </c>
      <c r="K46" s="83">
        <v>0</v>
      </c>
    </row>
    <row r="47" spans="1:11">
      <c r="A47" s="83" t="str">
        <v>&lt;study disease&gt;</v>
      </c>
      <c r="B47" s="83">
        <v>0</v>
      </c>
      <c r="C47" s="83" t="str">
        <v>Paragraph</v>
      </c>
      <c r="D47" s="83" t="str">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v>
      </c>
      <c r="E47" s="83" t="str">
        <v>Protocol Example (28Sep2023) 1</v>
      </c>
      <c r="F47" s="83" t="str">
        <v>Insert the name of the disease being studied for which participants may benefit from ABC-123.</v>
      </c>
      <c r="G47" s="83" t="str">
        <v>boneitis due to lurgi</v>
      </c>
      <c r="H47" s="83">
        <v>0</v>
      </c>
      <c r="I47" s="83" t="e" vm="103">
        <v>#VALUE!</v>
      </c>
      <c r="J47" s="83">
        <v>0</v>
      </c>
      <c r="K47" s="83">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C06B02-ADF2-4386-89E5-E67F430055F9}">
          <x14:formula1>
            <xm:f>Summary!$D$12:$L$12</xm:f>
          </x14:formula1>
          <xm:sqref>E2 H2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8F0C-EED9-4AA6-BB6B-0FFB5F6FB7C4}">
  <dimension ref="A2:M48"/>
  <sheetViews>
    <sheetView workbookViewId="0">
      <selection activeCell="L38" sqref="L38"/>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2109375" style="83" customWidth="1"/>
    <col min="7" max="7" width="20.85546875" style="83" customWidth="1"/>
    <col min="8" max="8" width="31.5" style="83" bestFit="1" customWidth="1"/>
    <col min="9" max="9" width="21.140625" style="83" customWidth="1"/>
    <col min="10" max="10" width="9" style="83"/>
    <col min="11" max="11" width="14" style="83" bestFit="1" customWidth="1"/>
    <col min="12" max="12" width="9" style="83"/>
    <col min="13" max="13" width="23.640625" style="83" hidden="1" customWidth="1"/>
    <col min="14" max="16384" width="9" style="83"/>
  </cols>
  <sheetData>
    <row r="2" spans="1:13" ht="14.6">
      <c r="A2" s="84" t="s">
        <v>63</v>
      </c>
      <c r="B2" s="84"/>
      <c r="C2" s="84" t="s">
        <v>64</v>
      </c>
      <c r="D2" s="84" t="s">
        <v>65</v>
      </c>
      <c r="E2" s="85" t="s">
        <v>66</v>
      </c>
      <c r="F2" s="84" t="s">
        <v>67</v>
      </c>
      <c r="G2" s="84" t="s">
        <v>68</v>
      </c>
      <c r="H2" s="85" t="s">
        <v>69</v>
      </c>
      <c r="I2" s="85" t="s">
        <v>70</v>
      </c>
      <c r="J2" s="85" t="s">
        <v>71</v>
      </c>
      <c r="K2" s="85" t="s">
        <v>72</v>
      </c>
    </row>
    <row r="3" spans="1:13" ht="14.6">
      <c r="A3" s="83" t="str" cm="1">
        <f t="array" ref="A3:K48">_xlfn._xlws.FILTER(QA!A3:K500, QA!C3:C500="KeyValue")</f>
        <v>&lt;Sponsor&gt;</v>
      </c>
      <c r="B3" s="83">
        <v>0</v>
      </c>
      <c r="C3" s="83" t="str">
        <v>KeyValue</v>
      </c>
      <c r="D3" s="83" t="str">
        <v>Stendarr, Inc. </v>
      </c>
      <c r="E3" s="83" t="str">
        <v>Protocol Example (28Sep2023) 1</v>
      </c>
      <c r="F3" s="83" t="str">
        <v>Insert the sponsor's name in line with the protocol header formatting.</v>
      </c>
      <c r="G3" s="83" t="str">
        <v>Stendarr, Inc.</v>
      </c>
      <c r="H3" s="83">
        <v>0</v>
      </c>
      <c r="I3" s="83" t="e" vm="1">
        <v>#VALUE!</v>
      </c>
      <c r="J3" s="83">
        <v>0.99</v>
      </c>
      <c r="K3" s="83">
        <v>0</v>
      </c>
      <c r="M3" s="133" t="s">
        <v>92</v>
      </c>
    </row>
    <row r="4" spans="1:13" ht="14.6">
      <c r="A4" s="83" t="str">
        <v>&lt;Protocol Number&gt;</v>
      </c>
      <c r="B4" s="83">
        <v>0</v>
      </c>
      <c r="C4" s="83" t="str">
        <v>KeyValue</v>
      </c>
      <c r="D4" s="83" t="str">
        <v>SKY-2000-101 </v>
      </c>
      <c r="E4" s="83" t="str">
        <v>Protocol Example (28Sep2023) 1</v>
      </c>
      <c r="F4" s="83" t="str">
        <v>Insert the official protocol number in the format used in the source document.</v>
      </c>
      <c r="G4" s="83" t="str">
        <v>SKY-2000-101</v>
      </c>
      <c r="H4" s="83">
        <v>0</v>
      </c>
      <c r="I4" s="83" t="e" vm="5">
        <v>#VALUE!</v>
      </c>
      <c r="J4" s="83">
        <v>1</v>
      </c>
      <c r="K4" s="83">
        <v>0</v>
      </c>
      <c r="M4" s="134" t="s">
        <v>101</v>
      </c>
    </row>
    <row r="5" spans="1:13" ht="14.6">
      <c r="A5" s="83" t="str">
        <v>&lt;Principal Investigator Name&gt;</v>
      </c>
      <c r="B5" s="83">
        <v>0</v>
      </c>
      <c r="C5" s="83" t="str">
        <v>KeyValue</v>
      </c>
      <c r="D5" s="83" t="str">
        <v>Karliah N. Gale, MD​profe​ </v>
      </c>
      <c r="E5" s="83" t="str">
        <v>Protocol Example (28Sep2023) 1</v>
      </c>
      <c r="F5" s="83">
        <v>0</v>
      </c>
      <c r="G5" s="83">
        <v>0</v>
      </c>
      <c r="H5" s="83">
        <v>0</v>
      </c>
      <c r="I5" s="83" t="e" vm="7">
        <v>#VALUE!</v>
      </c>
      <c r="J5" s="83">
        <v>0</v>
      </c>
      <c r="K5" s="83">
        <v>0</v>
      </c>
      <c r="M5" s="133"/>
    </row>
    <row r="6" spans="1:13" ht="14.6">
      <c r="A6" s="83" t="str">
        <v>&lt;Telephone&gt;</v>
      </c>
      <c r="B6" s="83">
        <v>0</v>
      </c>
      <c r="C6" s="83" t="str">
        <v>KeyValue</v>
      </c>
      <c r="D6" s="83" t="str">
        <v>555-999-1111 </v>
      </c>
      <c r="E6" s="83" t="str">
        <v>Protocol Example (28Sep2023) 1</v>
      </c>
      <c r="F6" s="83" t="str">
        <v>Insert the Principal Investigator's telephone number in standard format after 'Telephone:'.</v>
      </c>
      <c r="G6" s="83">
        <v>0</v>
      </c>
      <c r="H6" s="83">
        <v>0</v>
      </c>
      <c r="I6" s="83" t="e" vm="9">
        <v>#VALUE!</v>
      </c>
      <c r="J6" s="83">
        <v>0</v>
      </c>
      <c r="K6" s="83">
        <v>0</v>
      </c>
      <c r="M6" s="134"/>
    </row>
    <row r="7" spans="1:13" ht="14.6">
      <c r="A7" s="83" t="str">
        <v>&lt;Address&gt;</v>
      </c>
      <c r="B7" s="83">
        <v>0</v>
      </c>
      <c r="C7" s="83" t="str">
        <v>KeyValue</v>
      </c>
      <c r="D7" s="83" t="str">
        <v> 123 Fake Street, Anytown, CO, USA 80002</v>
      </c>
      <c r="E7" s="83" t="str">
        <v>Protocol Example (28Sep2023) 1</v>
      </c>
      <c r="F7" s="83" t="str">
        <v>Insert the registered address in standard mailing format, maintaining inline continuity.</v>
      </c>
      <c r="G7" s="83" t="str">
        <v>123 Fake Street, Anytown, CO, USA 80002</v>
      </c>
      <c r="H7" s="83">
        <v>0</v>
      </c>
      <c r="I7" s="83" t="e" vm="10">
        <v>#VALUE!</v>
      </c>
      <c r="J7" s="83">
        <v>0.93</v>
      </c>
      <c r="K7" s="83">
        <v>0</v>
      </c>
      <c r="M7" s="133" t="s">
        <v>110</v>
      </c>
    </row>
    <row r="8" spans="1:13" ht="14.6">
      <c r="A8" s="83" t="str">
        <v>&lt;Sponsor Name&gt;</v>
      </c>
      <c r="B8" s="83">
        <v>0</v>
      </c>
      <c r="C8" s="83" t="str">
        <v>KeyValue</v>
      </c>
      <c r="D8" s="83" t="str">
        <v>Stendarr, Inc. </v>
      </c>
      <c r="E8" s="83" t="str">
        <v>Protocol Example (28Sep2023) 1</v>
      </c>
      <c r="F8" s="83" t="str">
        <v>Insert the official sponsor name in line with protocol header formatting.</v>
      </c>
      <c r="G8" s="83" t="str">
        <v>Stendarr, Inc.</v>
      </c>
      <c r="H8" s="83">
        <v>0</v>
      </c>
      <c r="I8" s="83" t="e" vm="1">
        <v>#VALUE!</v>
      </c>
      <c r="J8" s="83">
        <v>0.99</v>
      </c>
      <c r="K8" s="83">
        <v>0</v>
      </c>
      <c r="M8" s="134" t="s">
        <v>92</v>
      </c>
    </row>
    <row r="9" spans="1:13" ht="14.6">
      <c r="A9" s="83" t="str">
        <v>&lt;Protocol Number&gt;</v>
      </c>
      <c r="B9" s="83">
        <v>0</v>
      </c>
      <c r="C9" s="83" t="str">
        <v>KeyValue</v>
      </c>
      <c r="D9" s="83" t="str">
        <v>SKY-2000-101 </v>
      </c>
      <c r="E9" s="83" t="str">
        <v>Protocol Example (28Sep2023) 1</v>
      </c>
      <c r="F9" s="83" t="str">
        <v>Insert the official protocol number in the format used in the source document.</v>
      </c>
      <c r="G9" s="83" t="str">
        <v>SKY-2000-101</v>
      </c>
      <c r="H9" s="83">
        <v>0</v>
      </c>
      <c r="I9" s="83" t="e" vm="5">
        <v>#VALUE!</v>
      </c>
      <c r="J9" s="83">
        <v>1</v>
      </c>
      <c r="K9" s="83">
        <v>0</v>
      </c>
      <c r="M9" s="133" t="s">
        <v>101</v>
      </c>
    </row>
    <row r="10" spans="1:13" ht="14.6">
      <c r="A10" s="83" t="str">
        <v>&lt;Principal Investigator Name&gt;</v>
      </c>
      <c r="B10" s="83">
        <v>0</v>
      </c>
      <c r="C10" s="83" t="str">
        <v>KeyValue</v>
      </c>
      <c r="D10" s="83" t="str">
        <v>Karliah N. Gale, MD​profe​ </v>
      </c>
      <c r="E10" s="83" t="str">
        <v>Protocol Example (28Sep2023) 1</v>
      </c>
      <c r="F10" s="83">
        <v>0</v>
      </c>
      <c r="G10" s="83">
        <v>0</v>
      </c>
      <c r="H10" s="83">
        <v>0</v>
      </c>
      <c r="I10" s="83" t="e" vm="7">
        <v>#VALUE!</v>
      </c>
      <c r="J10" s="83">
        <v>0</v>
      </c>
      <c r="K10" s="83">
        <v>0</v>
      </c>
      <c r="M10" s="134"/>
    </row>
    <row r="11" spans="1:13" ht="14.6">
      <c r="A11" s="83" t="str">
        <v>&lt;IRB Company Name&gt;</v>
      </c>
      <c r="B11" s="83">
        <v>0</v>
      </c>
      <c r="C11" s="83" t="str">
        <v>KeyValue</v>
      </c>
      <c r="D11" s="83" t="str">
        <v>Stendarr, Inc. </v>
      </c>
      <c r="E11" s="83" t="str">
        <v>Protocol Example (28Sep2023) 1</v>
      </c>
      <c r="F11" s="83" t="str">
        <v>Insert the IRB company name in a concise, inline format.</v>
      </c>
      <c r="G11" s="83" t="str">
        <v>Stendarr, Inc.</v>
      </c>
      <c r="H11" s="83">
        <v>0</v>
      </c>
      <c r="I11" s="83" t="e" vm="1">
        <v>#VALUE!</v>
      </c>
      <c r="J11" s="83">
        <v>0.99</v>
      </c>
      <c r="K11" s="83">
        <v>0</v>
      </c>
      <c r="M11" s="133" t="s">
        <v>92</v>
      </c>
    </row>
    <row r="12" spans="1:13" ht="14.6">
      <c r="A12" s="83" t="str">
        <v>&lt;disease&gt;</v>
      </c>
      <c r="B12" s="83">
        <v>0</v>
      </c>
      <c r="C12" s="83" t="str">
        <v>KeyValue</v>
      </c>
      <c r="D12" s="83" t="str">
        <v>Boneitis</v>
      </c>
      <c r="E12" s="83" t="str">
        <v>Protocol Example (28Sep2023) 1</v>
      </c>
      <c r="F12" s="83">
        <v>0</v>
      </c>
      <c r="G12" s="83">
        <v>0</v>
      </c>
      <c r="H12" s="83">
        <v>0</v>
      </c>
      <c r="I12" s="83" t="e" vm="12">
        <v>#VALUE!</v>
      </c>
      <c r="J12" s="83">
        <v>0</v>
      </c>
      <c r="K12" s="83">
        <v>0</v>
      </c>
      <c r="M12" s="134"/>
    </row>
    <row r="13" spans="1:13" ht="14.6">
      <c r="A13" s="83" t="str">
        <v>&lt;XX participants&gt;</v>
      </c>
      <c r="B13" s="83">
        <v>0</v>
      </c>
      <c r="C13" s="83" t="str">
        <v>KeyValue</v>
      </c>
      <c r="D13" s="83" t="str">
        <v>56 participants</v>
      </c>
      <c r="E13" s="83" t="str">
        <v>Protocol Example (28Sep2023) 1</v>
      </c>
      <c r="F13" s="83" t="str">
        <v>Provide the maximum number of participants expected in this study, formatted for inline continuity.</v>
      </c>
      <c r="G13" s="83" t="str">
        <v>up to 28 participants</v>
      </c>
      <c r="H13" s="83">
        <v>0</v>
      </c>
      <c r="I13" s="83" t="e" vm="17">
        <v>#VALUE!</v>
      </c>
      <c r="J13" s="83">
        <v>0.56999999999999995</v>
      </c>
      <c r="K13" s="83">
        <v>0</v>
      </c>
      <c r="M13" s="133" t="s">
        <v>129</v>
      </c>
    </row>
    <row r="14" spans="1:13" ht="14.6">
      <c r="A14" s="83" t="str">
        <v>&lt;XX applicable time unit&gt;</v>
      </c>
      <c r="B14" s="83">
        <v>0</v>
      </c>
      <c r="C14" s="83" t="str">
        <v>KeyValue</v>
      </c>
      <c r="D14" s="83" t="str">
        <v>5 week</v>
      </c>
      <c r="E14" s="83" t="str">
        <v>Protocol Example (28Sep2023) 1</v>
      </c>
      <c r="F14" s="83" t="str">
        <v>Replace the placeholder with the estimated total time commitment (in appropriate units) for study participation.</v>
      </c>
      <c r="G14" s="83" t="str">
        <v>2 to 4 weeks</v>
      </c>
      <c r="H14" s="83">
        <v>0</v>
      </c>
      <c r="I14" s="83" t="e" vm="23">
        <v>#VALUE!</v>
      </c>
      <c r="J14" s="83">
        <v>0.59</v>
      </c>
      <c r="K14" s="83">
        <v>0</v>
      </c>
      <c r="M14" s="134" t="s">
        <v>143</v>
      </c>
    </row>
    <row r="15" spans="1:13" ht="14.6">
      <c r="A15" s="83" t="str">
        <v>&lt;study drug ID&gt;</v>
      </c>
      <c r="B15" s="83">
        <v>0</v>
      </c>
      <c r="C15" s="83" t="str">
        <v>KeyValue</v>
      </c>
      <c r="D15" s="83" t="str">
        <v>ABC-123</v>
      </c>
      <c r="E15" s="83" t="str">
        <v>Protocol Example (28Sep2023) 1</v>
      </c>
      <c r="F15" s="83">
        <v>0</v>
      </c>
      <c r="G15" s="83">
        <v>0</v>
      </c>
      <c r="H15" s="83">
        <v>0</v>
      </c>
      <c r="I15" s="83" t="e" vm="27">
        <v>#VALUE!</v>
      </c>
      <c r="J15" s="83">
        <v>0</v>
      </c>
      <c r="K15" s="83">
        <v>0</v>
      </c>
      <c r="M15" s="133"/>
    </row>
    <row r="16" spans="1:13" ht="14.6">
      <c r="A16" s="83" t="str">
        <v>&lt;XX applicable time unit&gt;</v>
      </c>
      <c r="B16" s="83">
        <v>0</v>
      </c>
      <c r="C16" s="83" t="str">
        <v>KeyValue</v>
      </c>
      <c r="D16" s="83" t="str">
        <v>5 week</v>
      </c>
      <c r="E16" s="83" t="str">
        <v>Protocol Example (28Sep2023) 1</v>
      </c>
      <c r="F16" s="83" t="str">
        <v>Replace the placeholder with the estimated total time commitment (in appropriate units) for study participation.</v>
      </c>
      <c r="G16" s="83" t="str">
        <v>2 to 4 weeks</v>
      </c>
      <c r="H16" s="83">
        <v>0</v>
      </c>
      <c r="I16" s="83" t="e" vm="23">
        <v>#VALUE!</v>
      </c>
      <c r="J16" s="83">
        <v>0.59</v>
      </c>
      <c r="K16" s="83">
        <v>0</v>
      </c>
      <c r="M16" s="134" t="s">
        <v>143</v>
      </c>
    </row>
    <row r="17" spans="1:13" ht="14.6">
      <c r="A17" s="83" t="str">
        <v>&lt;study drug ID&gt;</v>
      </c>
      <c r="B17" s="83">
        <v>0</v>
      </c>
      <c r="C17" s="83" t="str">
        <v>KeyValue</v>
      </c>
      <c r="D17" s="83" t="str">
        <v>ABC-123</v>
      </c>
      <c r="E17" s="83" t="str">
        <v>Protocol Example (28Sep2023) 1</v>
      </c>
      <c r="F17" s="83">
        <v>0</v>
      </c>
      <c r="G17" s="83">
        <v>0</v>
      </c>
      <c r="H17" s="83">
        <v>0</v>
      </c>
      <c r="I17" s="83" t="e" vm="27">
        <v>#VALUE!</v>
      </c>
      <c r="J17" s="83">
        <v>0</v>
      </c>
      <c r="K17" s="83">
        <v>0</v>
      </c>
      <c r="M17" s="133"/>
    </row>
    <row r="18" spans="1:13" ht="14.6">
      <c r="A18" s="83" t="str">
        <v>&lt;Sponsor Name&gt;</v>
      </c>
      <c r="B18" s="83">
        <v>0</v>
      </c>
      <c r="C18" s="83" t="str">
        <v>KeyValue</v>
      </c>
      <c r="D18" s="83" t="str">
        <v>Stendarr, Inc. </v>
      </c>
      <c r="E18" s="83" t="str">
        <v>Protocol Example (28Sep2023) 1</v>
      </c>
      <c r="F18" s="83" t="str">
        <v>Insert the official sponsor name in line with protocol header formatting.</v>
      </c>
      <c r="G18" s="83" t="str">
        <v>Stendarr, Inc.</v>
      </c>
      <c r="H18" s="83">
        <v>0</v>
      </c>
      <c r="I18" s="83" t="e" vm="1">
        <v>#VALUE!</v>
      </c>
      <c r="J18" s="83">
        <v>0.99</v>
      </c>
      <c r="K18" s="83">
        <v>0</v>
      </c>
      <c r="M18" s="134" t="s">
        <v>92</v>
      </c>
    </row>
    <row r="19" spans="1:13" ht="14.6">
      <c r="A19" s="83" t="str">
        <v>&lt;Protocol Number&gt;</v>
      </c>
      <c r="B19" s="83">
        <v>0</v>
      </c>
      <c r="C19" s="83" t="str">
        <v>KeyValue</v>
      </c>
      <c r="D19" s="83" t="str">
        <v>SKY-2000-101 </v>
      </c>
      <c r="E19" s="83" t="str">
        <v>Protocol Example (28Sep2023) 1</v>
      </c>
      <c r="F19" s="83" t="str">
        <v>Insert the official protocol number in the format used in the source document.</v>
      </c>
      <c r="G19" s="83" t="str">
        <v>SKY-2000-101</v>
      </c>
      <c r="H19" s="83">
        <v>0</v>
      </c>
      <c r="I19" s="83" t="e" vm="5">
        <v>#VALUE!</v>
      </c>
      <c r="J19" s="83">
        <v>1</v>
      </c>
      <c r="K19" s="83">
        <v>0</v>
      </c>
      <c r="M19" s="133" t="s">
        <v>101</v>
      </c>
    </row>
    <row r="20" spans="1:13" ht="14.6">
      <c r="A20" s="83" t="str">
        <v>&lt;Principal Investigator Name&gt;</v>
      </c>
      <c r="B20" s="83">
        <v>0</v>
      </c>
      <c r="C20" s="83" t="str">
        <v>KeyValue</v>
      </c>
      <c r="D20" s="83" t="str">
        <v>Karliah N. Gale, MD​profe​ </v>
      </c>
      <c r="E20" s="83" t="str">
        <v>Protocol Example (28Sep2023) 1</v>
      </c>
      <c r="F20" s="83">
        <v>0</v>
      </c>
      <c r="G20" s="83">
        <v>0</v>
      </c>
      <c r="H20" s="83">
        <v>0</v>
      </c>
      <c r="I20" s="83" t="e" vm="7">
        <v>#VALUE!</v>
      </c>
      <c r="J20" s="83">
        <v>0</v>
      </c>
      <c r="K20" s="83">
        <v>0</v>
      </c>
      <c r="M20" s="134"/>
    </row>
    <row r="21" spans="1:13" ht="14.6">
      <c r="A21" s="83" t="str">
        <v>&lt;IRB Company Name&gt;</v>
      </c>
      <c r="B21" s="83">
        <v>0</v>
      </c>
      <c r="C21" s="83" t="str">
        <v>KeyValue</v>
      </c>
      <c r="D21" s="83" t="str">
        <v>Stendarr, Inc. </v>
      </c>
      <c r="E21" s="83" t="str">
        <v>Protocol Example (28Sep2023) 1</v>
      </c>
      <c r="F21" s="83" t="str">
        <v>Insert the IRB company name in a concise, inline format.</v>
      </c>
      <c r="G21" s="83" t="str">
        <v>Stendarr, Inc.</v>
      </c>
      <c r="H21" s="83">
        <v>0</v>
      </c>
      <c r="I21" s="83" t="e" vm="1">
        <v>#VALUE!</v>
      </c>
      <c r="J21" s="83">
        <v>0.99</v>
      </c>
      <c r="K21" s="83">
        <v>0</v>
      </c>
      <c r="M21" s="133" t="s">
        <v>92</v>
      </c>
    </row>
    <row r="22" spans="1:13" ht="14.6">
      <c r="A22" s="83" t="str">
        <v>&lt;disease&gt;</v>
      </c>
      <c r="B22" s="83">
        <v>0</v>
      </c>
      <c r="C22" s="83" t="str">
        <v>KeyValue</v>
      </c>
      <c r="D22" s="83" t="str">
        <v>Boneitis</v>
      </c>
      <c r="E22" s="83" t="str">
        <v>Protocol Example (28Sep2023) 1</v>
      </c>
      <c r="F22" s="83" t="str">
        <v>Insert the disease name treated by the investigational drug, formatted for inline continuity.</v>
      </c>
      <c r="G22" s="83" t="str">
        <v>boneitis</v>
      </c>
      <c r="H22" s="83">
        <v>0</v>
      </c>
      <c r="I22" s="83" t="e" vm="31">
        <v>#VALUE!</v>
      </c>
      <c r="J22" s="83">
        <v>1</v>
      </c>
      <c r="K22" s="83">
        <v>0</v>
      </c>
      <c r="M22" s="134" t="s">
        <v>159</v>
      </c>
    </row>
    <row r="23" spans="1:13" ht="14.6">
      <c r="A23" s="83" t="str">
        <v>&lt;X cohorts (or groups) of X participants&gt;</v>
      </c>
      <c r="B23" s="83">
        <v>0</v>
      </c>
      <c r="C23" s="83" t="str">
        <v>KeyValue</v>
      </c>
      <c r="D23" s="83" t="str">
        <v>3 cohorts of 56 participants</v>
      </c>
      <c r="E23" s="83" t="str">
        <v>Protocol Example (28Sep2023) 1</v>
      </c>
      <c r="F23" s="83" t="str">
        <v>Insert the number of cohorts and participants per cohort for the SAD phase in the format 'X cohorts of X participants'.</v>
      </c>
      <c r="G23" s="83" t="str">
        <v>6 cohorts of 8 participants</v>
      </c>
      <c r="H23" s="83">
        <v>0</v>
      </c>
      <c r="I23" s="83" t="e" vm="34">
        <v>#VALUE!</v>
      </c>
      <c r="J23" s="83">
        <v>0.63</v>
      </c>
      <c r="K23" s="83">
        <v>0</v>
      </c>
      <c r="M23" s="133" t="s">
        <v>165</v>
      </c>
    </row>
    <row r="24" spans="1:13" ht="14.6">
      <c r="A24" s="83" t="str">
        <v>&lt;study drug ID&gt;</v>
      </c>
      <c r="B24" s="83">
        <v>0</v>
      </c>
      <c r="C24" s="83" t="str">
        <v>KeyValue</v>
      </c>
      <c r="D24" s="83" t="str">
        <v>Abc-123</v>
      </c>
      <c r="E24" s="83" t="str">
        <v>Protocol Example (28Sep2023) 1</v>
      </c>
      <c r="F24" s="83">
        <v>0</v>
      </c>
      <c r="G24" s="83">
        <v>0</v>
      </c>
      <c r="H24" s="83">
        <v>0</v>
      </c>
      <c r="I24" s="83" t="e" vm="36">
        <v>#VALUE!</v>
      </c>
      <c r="J24" s="83">
        <v>0</v>
      </c>
      <c r="K24" s="83">
        <v>0</v>
      </c>
      <c r="M24" s="134"/>
    </row>
    <row r="25" spans="1:13" ht="14.6">
      <c r="A25" s="83" t="str">
        <v>&lt;X mg&gt;</v>
      </c>
      <c r="B25" s="83">
        <v>0</v>
      </c>
      <c r="C25" s="83" t="str">
        <v>KeyValue</v>
      </c>
      <c r="D25" s="83" t="str">
        <v>600 mg</v>
      </c>
      <c r="E25" s="83" t="str">
        <v>Protocol Example (28Sep2023) 1</v>
      </c>
      <c r="F25" s="83">
        <v>0</v>
      </c>
      <c r="G25" s="83">
        <v>0</v>
      </c>
      <c r="H25" s="83">
        <v>0</v>
      </c>
      <c r="I25" s="83" t="e" vm="37">
        <v>#VALUE!</v>
      </c>
      <c r="J25" s="83">
        <v>0</v>
      </c>
      <c r="K25" s="83">
        <v>0</v>
      </c>
      <c r="M25" s="133"/>
    </row>
    <row r="26" spans="1:13" ht="14.6">
      <c r="A26" s="83" t="str">
        <v>&lt;XXXX-fold&gt;</v>
      </c>
      <c r="B26" s="83">
        <v>0</v>
      </c>
      <c r="C26" s="83" t="str">
        <v>KeyValue</v>
      </c>
      <c r="D26" s="83" t="str">
        <v>318 fold</v>
      </c>
      <c r="E26" s="83" t="str">
        <v>Protocol Example (28Sep2023) 1</v>
      </c>
      <c r="F26" s="83">
        <v>0</v>
      </c>
      <c r="G26" s="83">
        <v>0</v>
      </c>
      <c r="H26" s="83">
        <v>0</v>
      </c>
      <c r="I26" s="83" t="e" vm="38">
        <v>#VALUE!</v>
      </c>
      <c r="J26" s="83">
        <v>0</v>
      </c>
      <c r="K26" s="83">
        <v>0</v>
      </c>
      <c r="M26" s="134"/>
    </row>
    <row r="27" spans="1:13" ht="14.6">
      <c r="A27" s="83" t="str">
        <v>&lt;Day X&gt;</v>
      </c>
      <c r="B27" s="83">
        <v>0</v>
      </c>
      <c r="C27" s="83" t="str">
        <v>KeyValue</v>
      </c>
      <c r="D27" s="83" t="str">
        <v>7 day</v>
      </c>
      <c r="E27" s="83" t="str">
        <v>Protocol Example (28Sep2023) 1</v>
      </c>
      <c r="F27" s="83" t="str">
        <v>Replace &lt;Day X&gt; with the specific number of days post-dose after which cohort data will be reviewed.</v>
      </c>
      <c r="G27" s="83" t="str">
        <v>7 days post-dose</v>
      </c>
      <c r="H27" s="83">
        <v>0</v>
      </c>
      <c r="I27" s="83" t="e" vm="41">
        <v>#VALUE!</v>
      </c>
      <c r="J27" s="83">
        <v>0.98</v>
      </c>
      <c r="K27" s="83">
        <v>0</v>
      </c>
      <c r="M27" s="133" t="s">
        <v>178</v>
      </c>
    </row>
    <row r="28" spans="1:13" ht="14.6">
      <c r="A28" s="83" t="str">
        <v>&lt;X cohorts of X participants&gt;</v>
      </c>
      <c r="B28" s="83">
        <v>0</v>
      </c>
      <c r="C28" s="83" t="str">
        <v>KeyValue</v>
      </c>
      <c r="D28" s="83" t="str">
        <v>3 cohorts of 56 participants</v>
      </c>
      <c r="E28" s="83" t="str">
        <v>Protocol Example (28Sep2023) 1</v>
      </c>
      <c r="F28" s="83" t="str">
        <v>State the number of cohorts and participants for the repeat-dose portion of the study in the format 'X cohort(s) of X participants.'</v>
      </c>
      <c r="G28" s="83" t="str">
        <v>1 cohort of 8 participants</v>
      </c>
      <c r="H28" s="83">
        <v>0</v>
      </c>
      <c r="I28" s="83" t="e" vm="43">
        <v>#VALUE!</v>
      </c>
      <c r="J28" s="83">
        <v>0.57999999999999996</v>
      </c>
      <c r="K28" s="83">
        <v>0</v>
      </c>
      <c r="M28" s="134" t="s">
        <v>181</v>
      </c>
    </row>
    <row r="29" spans="1:13" ht="14.6">
      <c r="A29" s="83" t="str">
        <v>&lt;study drug ID&gt;</v>
      </c>
      <c r="B29" s="83">
        <v>0</v>
      </c>
      <c r="C29" s="83" t="str">
        <v>KeyValue</v>
      </c>
      <c r="D29" s="83" t="str">
        <v>Abc-123</v>
      </c>
      <c r="E29" s="83" t="str">
        <v>Protocol Example (28Sep2023) 1</v>
      </c>
      <c r="F29" s="83">
        <v>0</v>
      </c>
      <c r="G29" s="83">
        <v>0</v>
      </c>
      <c r="H29" s="83">
        <v>0</v>
      </c>
      <c r="I29" s="83" t="e" vm="36">
        <v>#VALUE!</v>
      </c>
      <c r="J29" s="83">
        <v>0</v>
      </c>
      <c r="K29" s="83">
        <v>0</v>
      </c>
      <c r="M29" s="133"/>
    </row>
    <row r="30" spans="1:13" ht="14.6">
      <c r="A30" s="83" t="str">
        <v>&lt;insert age eligibility criteria&gt;</v>
      </c>
      <c r="B30" s="83">
        <v>0</v>
      </c>
      <c r="C30" s="83" t="str">
        <v>KeyValue</v>
      </c>
      <c r="D30" s="83" t="str">
        <v>18 to 65 years</v>
      </c>
      <c r="E30" s="83" t="str">
        <v>Protocol Example (28Sep2023) 1</v>
      </c>
      <c r="F30" s="83" t="str">
        <v>Insert the age eligibility criteria for study participants in lay terms.</v>
      </c>
      <c r="G30" s="83" t="str">
        <v>18 to 55 years</v>
      </c>
      <c r="H30" s="83">
        <v>0</v>
      </c>
      <c r="I30" s="83" t="e" vm="47">
        <v>#VALUE!</v>
      </c>
      <c r="J30" s="83">
        <v>0.67</v>
      </c>
      <c r="K30" s="83">
        <v>0</v>
      </c>
      <c r="M30" s="134" t="s">
        <v>189</v>
      </c>
    </row>
    <row r="31" spans="1:13" ht="14.6">
      <c r="A31" s="83" t="str">
        <v>&lt;Cohorts X – X&gt;</v>
      </c>
      <c r="B31" s="83">
        <v>0</v>
      </c>
      <c r="C31" s="83" t="str">
        <v>KeyValue</v>
      </c>
      <c r="D31" s="83" t="str">
        <v>Cohorts 1-3</v>
      </c>
      <c r="E31" s="83" t="str">
        <v>Protocol Example (28Sep2023) 1</v>
      </c>
      <c r="F31" s="83">
        <v>0</v>
      </c>
      <c r="G31" s="83">
        <v>0</v>
      </c>
      <c r="H31" s="83">
        <v>0</v>
      </c>
      <c r="I31" s="83" t="e" vm="49">
        <v>#VALUE!</v>
      </c>
      <c r="J31" s="83">
        <v>0</v>
      </c>
      <c r="K31" s="83">
        <v>0</v>
      </c>
      <c r="M31" s="133"/>
    </row>
    <row r="32" spans="1:13" ht="14.6">
      <c r="A32" s="83" t="str">
        <v>&lt;Cohorts X – X&gt;</v>
      </c>
      <c r="B32" s="83">
        <v>0</v>
      </c>
      <c r="C32" s="83" t="str">
        <v>KeyValue</v>
      </c>
      <c r="D32" s="83" t="str">
        <v>Cohorts 1-3</v>
      </c>
      <c r="E32" s="83" t="str">
        <v>Protocol Example (28Sep2023) 1</v>
      </c>
      <c r="F32" s="83">
        <v>0</v>
      </c>
      <c r="G32" s="83">
        <v>0</v>
      </c>
      <c r="H32" s="83">
        <v>0</v>
      </c>
      <c r="I32" s="83" t="e" vm="49">
        <v>#VALUE!</v>
      </c>
      <c r="J32" s="83">
        <v>0</v>
      </c>
      <c r="K32" s="83">
        <v>0</v>
      </c>
      <c r="M32" s="134"/>
    </row>
    <row r="33" spans="1:13" ht="14.6">
      <c r="A33" s="83" t="str">
        <v>&lt;insert age eligibility criteria&gt;</v>
      </c>
      <c r="B33" s="83">
        <v>0</v>
      </c>
      <c r="C33" s="83" t="str">
        <v>KeyValue</v>
      </c>
      <c r="D33" s="83" t="str">
        <v>18 to 65 years</v>
      </c>
      <c r="E33" s="83" t="str">
        <v>Protocol Example (28Sep2023) 1</v>
      </c>
      <c r="F33" s="83" t="str">
        <v>Insert the age eligibility criteria for study participants in lay terms.</v>
      </c>
      <c r="G33" s="83" t="str">
        <v>18 to 55 years</v>
      </c>
      <c r="H33" s="83">
        <v>0</v>
      </c>
      <c r="I33" s="83" t="e" vm="47">
        <v>#VALUE!</v>
      </c>
      <c r="J33" s="83">
        <v>0.67</v>
      </c>
      <c r="K33" s="83">
        <v>0</v>
      </c>
      <c r="M33" s="133" t="s">
        <v>189</v>
      </c>
    </row>
    <row r="34" spans="1:13" ht="14.6">
      <c r="A34" s="83" t="str">
        <v>&lt;XX days&gt;</v>
      </c>
      <c r="B34" s="83">
        <v>0</v>
      </c>
      <c r="C34" s="83" t="str">
        <v>KeyValue</v>
      </c>
      <c r="D34" s="83" t="str">
        <v>35 days</v>
      </c>
      <c r="E34" s="83" t="str">
        <v>Protocol Example (28Sep2023) 1</v>
      </c>
      <c r="F34" s="83" t="str">
        <v>Replace &lt;XX days&gt; with the specified number of days allowed between the screening visit and clinic return as per protocol.</v>
      </c>
      <c r="G34" s="83" t="str">
        <v>35 days</v>
      </c>
      <c r="H34" s="83">
        <v>0</v>
      </c>
      <c r="I34" s="83" t="e" vm="61">
        <v>#VALUE!</v>
      </c>
      <c r="J34" s="83">
        <v>1</v>
      </c>
      <c r="K34" s="83">
        <v>0</v>
      </c>
      <c r="M34" s="134" t="s">
        <v>217</v>
      </c>
    </row>
    <row r="35" spans="1:13" ht="14.6">
      <c r="A35" s="83" t="str">
        <v>&lt;Check-out/Day X&gt;</v>
      </c>
      <c r="B35" s="83">
        <v>0</v>
      </c>
      <c r="C35" s="83" t="str">
        <v>KeyValue</v>
      </c>
      <c r="D35" s="83" t="str">
        <v>6 weeks </v>
      </c>
      <c r="E35" s="83" t="str">
        <v>Protocol Example (28Sep2023) 1</v>
      </c>
      <c r="F35" s="83" t="str">
        <v>Describe the assessments or procedures performed at Check-out/Day X for participants during the in-residence period.</v>
      </c>
      <c r="G35" s="83">
        <v>0</v>
      </c>
      <c r="H35" s="83">
        <v>0</v>
      </c>
      <c r="I35" s="83" t="e" vm="66">
        <v>#VALUE!</v>
      </c>
      <c r="J35" s="83">
        <v>0</v>
      </c>
      <c r="K35" s="83">
        <v>0</v>
      </c>
      <c r="M35" s="133"/>
    </row>
    <row r="36" spans="1:13" ht="14.6">
      <c r="A36" s="83" t="str">
        <v>&lt;Check-out/Day X&gt;</v>
      </c>
      <c r="B36" s="83">
        <v>0</v>
      </c>
      <c r="C36" s="83" t="str">
        <v>KeyValue</v>
      </c>
      <c r="D36" s="83" t="str">
        <v>6 weeks </v>
      </c>
      <c r="E36" s="83" t="str">
        <v>Protocol Example (28Sep2023) 1</v>
      </c>
      <c r="F36" s="83" t="str">
        <v>Provide a concise phrase describing Check-out from the Clinical Research Unit (CRU) as referenced in the study protocol.</v>
      </c>
      <c r="G36" s="83" t="str">
        <v>Check-out from the Clinical Research Unit (CRU)</v>
      </c>
      <c r="H36" s="83">
        <v>0</v>
      </c>
      <c r="I36" s="83" t="e" vm="66">
        <v>#VALUE!</v>
      </c>
      <c r="J36" s="83">
        <v>0</v>
      </c>
      <c r="K36" s="83">
        <v>0</v>
      </c>
      <c r="M36" s="134" t="s">
        <v>231</v>
      </c>
    </row>
    <row r="37" spans="1:13" ht="14.6">
      <c r="A37" s="83" t="str">
        <v>&lt;XX days&gt;</v>
      </c>
      <c r="B37" s="83">
        <v>0</v>
      </c>
      <c r="C37" s="83" t="str">
        <v>KeyValue</v>
      </c>
      <c r="D37" s="83" t="str">
        <v>35 days</v>
      </c>
      <c r="E37" s="83" t="str">
        <v>Protocol Example (28Sep2023) 1</v>
      </c>
      <c r="F37" s="83" t="str">
        <v>Replace &lt;XX days&gt; with the specified number of days allowed between the screening visit and clinic return as per protocol.</v>
      </c>
      <c r="G37" s="83" t="str">
        <v>35 days</v>
      </c>
      <c r="H37" s="83">
        <v>0</v>
      </c>
      <c r="I37" s="83" t="e" vm="61">
        <v>#VALUE!</v>
      </c>
      <c r="J37" s="83">
        <v>1</v>
      </c>
      <c r="K37" s="83">
        <v>0</v>
      </c>
      <c r="M37" s="133" t="s">
        <v>217</v>
      </c>
    </row>
    <row r="38" spans="1:13" ht="14.6">
      <c r="A38" s="83" t="str">
        <v>&lt;First Check-out/Day X&gt;</v>
      </c>
      <c r="B38" s="83">
        <v>0</v>
      </c>
      <c r="C38" s="83" t="str">
        <v>KeyValue</v>
      </c>
      <c r="D38" s="83" t="str">
        <v>6 weeks </v>
      </c>
      <c r="E38" s="83" t="str">
        <v>Protocol Example (28Sep2023) 1</v>
      </c>
      <c r="F38" s="83" t="str">
        <v>Summarize what procedures or activities are performed at the first Check-out or on Day X based on protocol.</v>
      </c>
      <c r="G38" s="83">
        <v>0</v>
      </c>
      <c r="H38" s="83">
        <v>0</v>
      </c>
      <c r="I38" s="83" t="e" vm="66">
        <v>#VALUE!</v>
      </c>
      <c r="J38" s="83">
        <v>0</v>
      </c>
      <c r="K38" s="83">
        <v>0</v>
      </c>
      <c r="M38" s="134"/>
    </row>
    <row r="39" spans="1:13" ht="14.6">
      <c r="A39" s="83" t="str">
        <v>&lt;first Check-out/Day X&gt;</v>
      </c>
      <c r="B39" s="83">
        <v>0</v>
      </c>
      <c r="C39" s="83" t="str">
        <v>KeyValue</v>
      </c>
      <c r="D39" s="83" t="str">
        <v>6 weeks </v>
      </c>
      <c r="E39" s="83" t="str">
        <v>Protocol Example (28Sep2023) 1</v>
      </c>
      <c r="F39" s="83">
        <v>0</v>
      </c>
      <c r="G39" s="83">
        <v>0</v>
      </c>
      <c r="H39" s="83">
        <v>0</v>
      </c>
      <c r="I39" s="83" t="e" vm="66">
        <v>#VALUE!</v>
      </c>
      <c r="J39" s="83">
        <v>0</v>
      </c>
      <c r="K39" s="83">
        <v>0</v>
      </c>
      <c r="M39" s="133"/>
    </row>
    <row r="40" spans="1:13" ht="14.6">
      <c r="A40" s="83" t="str">
        <v>&lt;disease&gt;</v>
      </c>
      <c r="B40" s="83">
        <v>0</v>
      </c>
      <c r="C40" s="83" t="str">
        <v>KeyValue</v>
      </c>
      <c r="D40" s="83" t="str">
        <v>Boneitis</v>
      </c>
      <c r="E40" s="83" t="str">
        <v>Protocol Example (28Sep2023) 1</v>
      </c>
      <c r="F40" s="83" t="str">
        <v>Insert the name of the disease that the study is focused on.</v>
      </c>
      <c r="G40" s="83" t="str">
        <v>boneitis</v>
      </c>
      <c r="H40" s="83">
        <v>0</v>
      </c>
      <c r="I40" s="83" t="e" vm="31">
        <v>#VALUE!</v>
      </c>
      <c r="J40" s="83">
        <v>1</v>
      </c>
      <c r="K40" s="83">
        <v>0</v>
      </c>
      <c r="M40" s="134" t="s">
        <v>159</v>
      </c>
    </row>
    <row r="41" spans="1:13" ht="14.6">
      <c r="A41" s="83" t="str">
        <v>&lt;XX years&gt;</v>
      </c>
      <c r="B41" s="83">
        <v>0</v>
      </c>
      <c r="C41" s="83" t="str">
        <v>KeyValue</v>
      </c>
      <c r="D41" s="83" t="str">
        <v>2 years</v>
      </c>
      <c r="E41" s="83" t="str">
        <v>Protocol Example (28Sep2023) 1</v>
      </c>
      <c r="F41" s="83">
        <v>0</v>
      </c>
      <c r="G41" s="83">
        <v>0</v>
      </c>
      <c r="H41" s="83">
        <v>0</v>
      </c>
      <c r="I41" s="83" t="e" vm="89">
        <v>#VALUE!</v>
      </c>
      <c r="J41" s="83">
        <v>0</v>
      </c>
      <c r="K41" s="83">
        <v>0</v>
      </c>
      <c r="M41" s="133"/>
    </row>
    <row r="42" spans="1:13" ht="14.6">
      <c r="A42" s="83" t="str">
        <v>&lt;study drug ID&gt;</v>
      </c>
      <c r="B42" s="83">
        <v>0</v>
      </c>
      <c r="C42" s="83" t="str">
        <v>KeyValue</v>
      </c>
      <c r="D42" s="83" t="str">
        <v>ABC-123</v>
      </c>
      <c r="E42" s="83" t="str">
        <v>Protocol Example (28Sep2023) 1</v>
      </c>
      <c r="F42" s="83">
        <v>0</v>
      </c>
      <c r="G42" s="83">
        <v>0</v>
      </c>
      <c r="H42" s="83">
        <v>0</v>
      </c>
      <c r="I42" s="83" t="e" vm="27">
        <v>#VALUE!</v>
      </c>
      <c r="J42" s="83">
        <v>0</v>
      </c>
      <c r="K42" s="83">
        <v>0</v>
      </c>
      <c r="M42" s="134"/>
    </row>
    <row r="43" spans="1:13" ht="14.6">
      <c r="A43" s="83" t="str">
        <v>&lt;XX years&gt;</v>
      </c>
      <c r="B43" s="83">
        <v>0</v>
      </c>
      <c r="C43" s="83" t="str">
        <v>KeyValue</v>
      </c>
      <c r="D43" s="83" t="str">
        <v>2 years</v>
      </c>
      <c r="E43" s="83" t="str">
        <v>Protocol Example (28Sep2023) 1</v>
      </c>
      <c r="F43" s="83">
        <v>0</v>
      </c>
      <c r="G43" s="83">
        <v>0</v>
      </c>
      <c r="H43" s="83">
        <v>0</v>
      </c>
      <c r="I43" s="83" t="e" vm="89">
        <v>#VALUE!</v>
      </c>
      <c r="J43" s="83">
        <v>0</v>
      </c>
      <c r="K43" s="83">
        <v>0</v>
      </c>
      <c r="M43" s="133"/>
    </row>
    <row r="44" spans="1:13" ht="14.6">
      <c r="A44" s="83" t="str">
        <v>&lt;Study drug ID&gt;</v>
      </c>
      <c r="B44" s="83">
        <v>0</v>
      </c>
      <c r="C44" s="83" t="str">
        <v>KeyValue</v>
      </c>
      <c r="D44" s="83" t="str">
        <v>ABC-123</v>
      </c>
      <c r="E44" s="83" t="str">
        <v>Protocol Example (28Sep2023) 1</v>
      </c>
      <c r="F44" s="83">
        <v>0</v>
      </c>
      <c r="G44" s="83">
        <v>0</v>
      </c>
      <c r="H44" s="83">
        <v>0</v>
      </c>
      <c r="I44" s="83" t="e" vm="27">
        <v>#VALUE!</v>
      </c>
      <c r="J44" s="83">
        <v>0</v>
      </c>
      <c r="K44" s="83">
        <v>0</v>
      </c>
      <c r="M44" s="134"/>
    </row>
    <row r="45" spans="1:13" ht="14.6">
      <c r="A45" s="83" t="str">
        <v>&lt;XX-fold&gt;</v>
      </c>
      <c r="B45" s="83">
        <v>0</v>
      </c>
      <c r="C45" s="83" t="str">
        <v>KeyValue</v>
      </c>
      <c r="D45" s="83" t="str">
        <v>318-fold</v>
      </c>
      <c r="E45" s="83" t="str">
        <v>Protocol Example (28Sep2023) 1</v>
      </c>
      <c r="F45" s="83" t="str">
        <v>Insert the appropriate fold multiple (e.g., 318-fold) representing how much larger the highest dose is compared to the starting dose.</v>
      </c>
      <c r="G45" s="83" t="str">
        <v>318-fold</v>
      </c>
      <c r="H45" s="83">
        <v>0</v>
      </c>
      <c r="I45" s="83" t="e" vm="92">
        <v>#VALUE!</v>
      </c>
      <c r="J45" s="83">
        <v>1</v>
      </c>
      <c r="K45" s="83">
        <v>0</v>
      </c>
      <c r="M45" s="133" t="s">
        <v>294</v>
      </c>
    </row>
    <row r="46" spans="1:13" ht="14.6">
      <c r="A46" s="83" t="str">
        <v>&lt;study drug ID&gt;</v>
      </c>
      <c r="B46" s="83">
        <v>0</v>
      </c>
      <c r="C46" s="83" t="str">
        <v>KeyValue</v>
      </c>
      <c r="D46" s="83" t="str">
        <v>ABC-123</v>
      </c>
      <c r="E46" s="83" t="str">
        <v>Protocol Example (28Sep2023) 1</v>
      </c>
      <c r="F46" s="83">
        <v>0</v>
      </c>
      <c r="G46" s="83">
        <v>0</v>
      </c>
      <c r="H46" s="83">
        <v>0</v>
      </c>
      <c r="I46" s="83" t="e" vm="27">
        <v>#VALUE!</v>
      </c>
      <c r="J46" s="83">
        <v>0</v>
      </c>
      <c r="K46" s="83">
        <v>0</v>
      </c>
      <c r="M46" s="134"/>
    </row>
    <row r="47" spans="1:13" ht="14.6">
      <c r="A47" s="83" t="str">
        <v>&lt;study drug ID&gt;</v>
      </c>
      <c r="B47" s="83">
        <v>0</v>
      </c>
      <c r="C47" s="83" t="str">
        <v>KeyValue</v>
      </c>
      <c r="D47" s="83" t="str">
        <v>ABC-123</v>
      </c>
      <c r="E47" s="83" t="str">
        <v>Protocol Example (28Sep2023) 1</v>
      </c>
      <c r="F47" s="83">
        <v>0</v>
      </c>
      <c r="G47" s="83">
        <v>0</v>
      </c>
      <c r="H47" s="83">
        <v>0</v>
      </c>
      <c r="I47" s="83" t="e" vm="27">
        <v>#VALUE!</v>
      </c>
      <c r="J47" s="83">
        <v>0</v>
      </c>
      <c r="K47" s="83">
        <v>0</v>
      </c>
      <c r="M47" s="133"/>
    </row>
    <row r="48" spans="1:13" ht="14.6">
      <c r="A48" s="83" t="str">
        <v>&lt;IRB Company&gt;</v>
      </c>
      <c r="B48" s="83">
        <v>0</v>
      </c>
      <c r="C48" s="83" t="str">
        <v>KeyValue</v>
      </c>
      <c r="D48" s="83" t="str">
        <v>Institutional Review Board (IRB)</v>
      </c>
      <c r="E48" s="83" t="str">
        <v>Protocol Example (28Sep2023) 1</v>
      </c>
      <c r="F48" s="83" t="str">
        <v>Replace the placeholder with the formal name of the IRB or institutional review body as referenced in the protocol.</v>
      </c>
      <c r="G48" s="83" t="str">
        <v>Institutional Review Board (IRB)</v>
      </c>
      <c r="H48" s="83">
        <v>0</v>
      </c>
      <c r="I48" s="83" t="e" vm="104">
        <v>#VALUE!</v>
      </c>
      <c r="J48" s="83">
        <v>0</v>
      </c>
      <c r="K48" s="83">
        <v>0</v>
      </c>
      <c r="M48" s="134" t="s">
        <v>344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5535F0C-BD83-4E17-9A89-E4EACDB29E0B}">
          <x14:formula1>
            <xm:f>Summary!$D$12:$L$12</xm:f>
          </x14:formula1>
          <xm:sqref>E2 H2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B61E-7C6D-4C20-B429-020CDD99D7DD}">
  <dimension ref="A2:K8"/>
  <sheetViews>
    <sheetView workbookViewId="0">
      <selection activeCell="E11" sqref="E11"/>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210937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63</v>
      </c>
      <c r="B2" s="84"/>
      <c r="C2" s="84" t="s">
        <v>64</v>
      </c>
      <c r="D2" s="84" t="s">
        <v>65</v>
      </c>
      <c r="E2" s="85" t="s">
        <v>66</v>
      </c>
      <c r="F2" s="84" t="s">
        <v>67</v>
      </c>
      <c r="G2" s="84" t="s">
        <v>68</v>
      </c>
      <c r="H2" s="85" t="s">
        <v>69</v>
      </c>
      <c r="I2" s="85" t="s">
        <v>70</v>
      </c>
      <c r="J2" s="85" t="s">
        <v>71</v>
      </c>
      <c r="K2" s="85" t="s">
        <v>72</v>
      </c>
    </row>
    <row r="3" spans="1:11">
      <c r="A3" s="83" t="str" cm="1">
        <f t="array" ref="A3:K8">_xlfn._xlws.FILTER(QA!A3:'QA'!K500, QA!C3:'QA'!C500="Table")</f>
        <v>&lt;Brief lay description of study design including purpose/objectives&gt;</v>
      </c>
      <c r="B3" s="83">
        <v>0</v>
      </c>
      <c r="C3" s="83" t="str">
        <v>Table</v>
      </c>
      <c r="D3" s="83" t="str">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c>
      <c r="E3" s="83" t="str">
        <v>Protocol Example (28Sep2023) 1</v>
      </c>
      <c r="F3" s="83" t="str">
        <v>Write a brief lay description of the study design, purpose, and objectives suitable for participant information.</v>
      </c>
      <c r="G3" s="83" t="str">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c>
      <c r="H3" s="83">
        <v>0</v>
      </c>
      <c r="I3" s="83" t="e" vm="19">
        <v>#VALUE!</v>
      </c>
      <c r="J3" s="83">
        <v>0</v>
      </c>
      <c r="K3" s="83">
        <v>0</v>
      </c>
    </row>
    <row r="4" spans="1:11">
      <c r="A4" s="83" t="str">
        <v>&lt;lay terminology for route of administration of study drug&gt;</v>
      </c>
      <c r="B4" s="83">
        <v>0</v>
      </c>
      <c r="C4" s="83" t="str">
        <v>Table</v>
      </c>
      <c r="D4" s="83" t="str">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4" s="83" t="str">
        <v>Protocol Example (28Sep2023) 1</v>
      </c>
      <c r="F4" s="83" t="str">
        <v>Replace with a lay term for subcutaneous administration of the study drug.</v>
      </c>
      <c r="G4" s="83" t="str">
        <v>shot under the skin</v>
      </c>
      <c r="H4" s="83">
        <v>0</v>
      </c>
      <c r="I4" s="83" t="e" vm="25">
        <v>#VALUE!</v>
      </c>
      <c r="J4" s="83">
        <v>0</v>
      </c>
      <c r="K4" s="83">
        <v>0</v>
      </c>
    </row>
    <row r="5" spans="1:11">
      <c r="A5" s="83" t="str">
        <v>&lt;lay terminology for route of administration of study drug&gt;</v>
      </c>
      <c r="B5" s="83">
        <v>0</v>
      </c>
      <c r="C5" s="83" t="str">
        <v>Table</v>
      </c>
      <c r="D5" s="83" t="str">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5" s="83" t="str">
        <v>Protocol Example (28Sep2023) 1</v>
      </c>
      <c r="F5" s="83" t="str">
        <v>Replace with a lay term for subcutaneous administration of the study drug.</v>
      </c>
      <c r="G5" s="83" t="str">
        <v>shot under the skin</v>
      </c>
      <c r="H5" s="83">
        <v>0</v>
      </c>
      <c r="I5" s="83" t="e" vm="25">
        <v>#VALUE!</v>
      </c>
      <c r="J5" s="83">
        <v>0</v>
      </c>
      <c r="K5" s="83">
        <v>0</v>
      </c>
    </row>
    <row r="6" spans="1:11">
      <c r="A6" s="83" t="str">
        <v>&lt;Brief lay description of study design including purpose/objectives&gt;</v>
      </c>
      <c r="B6" s="83">
        <v>0</v>
      </c>
      <c r="C6" s="83" t="str">
        <v>Table</v>
      </c>
      <c r="D6" s="83" t="str">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c>
      <c r="E6" s="83" t="str">
        <v>Protocol Example (28Sep2023) 1</v>
      </c>
      <c r="F6" s="83" t="str">
        <v>Write a brief, layperson-oriented paragraph describing the study design, including its main goals and what will be assessed.</v>
      </c>
      <c r="G6" s="83" t="str">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c>
      <c r="H6" s="83">
        <v>0</v>
      </c>
      <c r="I6" s="83" t="e" vm="19">
        <v>#VALUE!</v>
      </c>
      <c r="J6" s="83">
        <v>0</v>
      </c>
      <c r="K6" s="83">
        <v>0</v>
      </c>
    </row>
    <row r="7" spans="1:11">
      <c r="A7" s="83" t="str">
        <v>&lt;lay terminology for route of administration of study drug&gt;</v>
      </c>
      <c r="B7" s="83">
        <v>0</v>
      </c>
      <c r="C7" s="83" t="str">
        <v>Table</v>
      </c>
      <c r="D7" s="83" t="str">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7" s="83" t="str">
        <v>Protocol Example (28Sep2023) 1</v>
      </c>
      <c r="F7" s="83" t="str">
        <v>Replace with a lay term for subcutaneous administration of the study drug.</v>
      </c>
      <c r="G7" s="83" t="str">
        <v>shot under the skin</v>
      </c>
      <c r="H7" s="83">
        <v>0</v>
      </c>
      <c r="I7" s="83" t="e" vm="25">
        <v>#VALUE!</v>
      </c>
      <c r="J7" s="83">
        <v>0</v>
      </c>
      <c r="K7" s="83">
        <v>0</v>
      </c>
    </row>
    <row r="8" spans="1:11">
      <c r="A8" s="83" t="str">
        <v>&lt;lay terminology for route of administration of study drug&gt;</v>
      </c>
      <c r="B8" s="83">
        <v>0</v>
      </c>
      <c r="C8" s="83" t="str">
        <v>Table</v>
      </c>
      <c r="D8" s="83" t="str">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8" s="83" t="str">
        <v>Protocol Example (28Sep2023) 1</v>
      </c>
      <c r="F8" s="83" t="str">
        <v>Replace with a lay term for subcutaneous administration of the study drug.</v>
      </c>
      <c r="G8" s="83" t="str">
        <v>shot under the skin</v>
      </c>
      <c r="H8" s="83">
        <v>0</v>
      </c>
      <c r="I8" s="83" t="e" vm="25">
        <v>#VALUE!</v>
      </c>
      <c r="J8" s="83">
        <v>0</v>
      </c>
      <c r="K8" s="83">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E4407-952B-4382-983E-9BCFE205CE01}">
          <x14:formula1>
            <xm:f>Summary!$D$12:$L$12</xm:f>
          </x14:formula1>
          <xm:sqref>E2 H2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48E1-3796-48A9-BF0D-ADDB503E4053}">
  <dimension ref="A2:K22"/>
  <sheetViews>
    <sheetView topLeftCell="A22" workbookViewId="0">
      <selection activeCell="G3" sqref="G3"/>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210937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63</v>
      </c>
      <c r="B2" s="84"/>
      <c r="C2" s="84" t="s">
        <v>64</v>
      </c>
      <c r="D2" s="84" t="s">
        <v>65</v>
      </c>
      <c r="E2" s="85" t="s">
        <v>66</v>
      </c>
      <c r="F2" s="84" t="s">
        <v>67</v>
      </c>
      <c r="G2" s="84" t="s">
        <v>68</v>
      </c>
      <c r="H2" s="85" t="s">
        <v>69</v>
      </c>
      <c r="I2" s="85" t="s">
        <v>70</v>
      </c>
      <c r="J2" s="85" t="s">
        <v>71</v>
      </c>
      <c r="K2" s="85" t="s">
        <v>72</v>
      </c>
    </row>
    <row r="3" spans="1:11" ht="409.6">
      <c r="A3" s="117" t="s">
        <v>197</v>
      </c>
      <c r="B3" s="118"/>
      <c r="C3" s="117" t="s">
        <v>60</v>
      </c>
      <c r="D3" s="126" t="s">
        <v>198</v>
      </c>
      <c r="E3" s="118" t="s">
        <v>16</v>
      </c>
      <c r="F3" s="117" t="s">
        <v>199</v>
      </c>
      <c r="G3" s="117" t="s">
        <v>200</v>
      </c>
    </row>
    <row r="4" spans="1:11" ht="409.6">
      <c r="A4" s="117" t="s">
        <v>204</v>
      </c>
      <c r="B4" s="118"/>
      <c r="C4" s="117" t="s">
        <v>60</v>
      </c>
      <c r="D4" s="126" t="s">
        <v>205</v>
      </c>
      <c r="E4" s="118" t="s">
        <v>16</v>
      </c>
      <c r="F4" s="117" t="s">
        <v>206</v>
      </c>
      <c r="G4" s="117" t="s">
        <v>207</v>
      </c>
    </row>
    <row r="5" spans="1:11" ht="409.6">
      <c r="A5" s="117" t="s">
        <v>208</v>
      </c>
      <c r="B5" s="118"/>
      <c r="C5" s="117" t="s">
        <v>60</v>
      </c>
      <c r="D5" s="126" t="s">
        <v>209</v>
      </c>
      <c r="E5" s="118" t="s">
        <v>16</v>
      </c>
      <c r="F5" s="117" t="s">
        <v>210</v>
      </c>
      <c r="G5" s="117" t="s">
        <v>211</v>
      </c>
    </row>
    <row r="6" spans="1:11" ht="330">
      <c r="A6" s="117" t="s">
        <v>232</v>
      </c>
      <c r="B6" s="118"/>
      <c r="C6" s="117" t="s">
        <v>60</v>
      </c>
      <c r="D6" s="126" t="s">
        <v>233</v>
      </c>
      <c r="E6" s="118" t="s">
        <v>16</v>
      </c>
      <c r="F6" s="117" t="s">
        <v>234</v>
      </c>
      <c r="G6" s="117" t="s">
        <v>235</v>
      </c>
    </row>
    <row r="7" spans="1:11" ht="14.6">
      <c r="A7" s="117" t="s">
        <v>238</v>
      </c>
      <c r="B7" s="118"/>
      <c r="C7" s="117" t="s">
        <v>60</v>
      </c>
      <c r="D7" s="118"/>
      <c r="E7" s="118" t="s">
        <v>16</v>
      </c>
      <c r="F7" s="117" t="s">
        <v>239</v>
      </c>
      <c r="G7" s="117" t="s">
        <v>240</v>
      </c>
    </row>
    <row r="8" spans="1:11" ht="409.6">
      <c r="A8" s="117" t="s">
        <v>244</v>
      </c>
      <c r="B8" s="118"/>
      <c r="C8" s="117" t="s">
        <v>60</v>
      </c>
      <c r="D8" s="126" t="s">
        <v>245</v>
      </c>
      <c r="E8" s="118" t="s">
        <v>16</v>
      </c>
      <c r="F8" s="117"/>
      <c r="G8" s="117"/>
    </row>
    <row r="9" spans="1:11" ht="330">
      <c r="A9" s="117" t="s">
        <v>249</v>
      </c>
      <c r="B9" s="118"/>
      <c r="C9" s="117" t="s">
        <v>60</v>
      </c>
      <c r="D9" s="126" t="s">
        <v>233</v>
      </c>
      <c r="E9" s="118" t="s">
        <v>16</v>
      </c>
      <c r="F9" s="117"/>
      <c r="G9" s="117"/>
    </row>
    <row r="10" spans="1:11" ht="409.6">
      <c r="A10" s="117" t="s">
        <v>261</v>
      </c>
      <c r="B10" s="118"/>
      <c r="C10" s="117" t="s">
        <v>60</v>
      </c>
      <c r="D10" s="126" t="s">
        <v>198</v>
      </c>
      <c r="E10" s="118" t="s">
        <v>16</v>
      </c>
      <c r="F10" s="117" t="s">
        <v>262</v>
      </c>
      <c r="G10" s="117" t="s">
        <v>263</v>
      </c>
    </row>
    <row r="11" spans="1:11" ht="14.6">
      <c r="A11" s="117" t="s">
        <v>238</v>
      </c>
      <c r="B11" s="118"/>
      <c r="C11" s="117" t="s">
        <v>60</v>
      </c>
      <c r="D11" s="118"/>
      <c r="E11" s="118" t="s">
        <v>16</v>
      </c>
      <c r="F11" s="117" t="s">
        <v>239</v>
      </c>
      <c r="G11" s="117" t="s">
        <v>240</v>
      </c>
    </row>
    <row r="12" spans="1:11" ht="409.6">
      <c r="A12" s="117" t="s">
        <v>316</v>
      </c>
      <c r="B12" s="118"/>
      <c r="C12" s="117" t="s">
        <v>60</v>
      </c>
      <c r="D12" s="126" t="s">
        <v>317</v>
      </c>
      <c r="E12" s="118" t="s">
        <v>16</v>
      </c>
      <c r="F12" s="117" t="s">
        <v>318</v>
      </c>
      <c r="G12" s="117" t="s">
        <v>319</v>
      </c>
    </row>
    <row r="13" spans="1:11" ht="409.6">
      <c r="A13" s="117" t="s">
        <v>328</v>
      </c>
      <c r="B13" s="118"/>
      <c r="C13" s="117" t="s">
        <v>60</v>
      </c>
      <c r="D13" s="126" t="s">
        <v>198</v>
      </c>
      <c r="E13" s="118" t="s">
        <v>16</v>
      </c>
      <c r="F13" s="117" t="s">
        <v>329</v>
      </c>
      <c r="G13" s="117"/>
    </row>
    <row r="14" spans="1:11" ht="409.6">
      <c r="A14" s="117" t="s">
        <v>212</v>
      </c>
      <c r="B14" s="118"/>
      <c r="C14" s="117" t="s">
        <v>60</v>
      </c>
      <c r="D14" s="126" t="s">
        <v>213</v>
      </c>
      <c r="E14" s="118" t="s">
        <v>16</v>
      </c>
      <c r="F14" s="117" t="s">
        <v>214</v>
      </c>
      <c r="G14" s="117" t="s">
        <v>215</v>
      </c>
      <c r="H14" s="118"/>
    </row>
    <row r="15" spans="1:11" ht="330">
      <c r="A15" s="117" t="s">
        <v>270</v>
      </c>
      <c r="B15" s="118"/>
      <c r="C15" s="117" t="s">
        <v>60</v>
      </c>
      <c r="D15" s="126" t="s">
        <v>224</v>
      </c>
      <c r="E15" s="118" t="s">
        <v>16</v>
      </c>
      <c r="F15" s="117" t="s">
        <v>225</v>
      </c>
      <c r="G15" s="117" t="s">
        <v>226</v>
      </c>
      <c r="H15" s="118"/>
    </row>
    <row r="16" spans="1:11" ht="409.6">
      <c r="A16" s="117" t="s">
        <v>236</v>
      </c>
      <c r="B16" s="118"/>
      <c r="C16" s="117" t="s">
        <v>60</v>
      </c>
      <c r="D16" s="126" t="s">
        <v>237</v>
      </c>
      <c r="E16" s="118" t="s">
        <v>16</v>
      </c>
      <c r="F16" s="117"/>
      <c r="G16" s="117"/>
      <c r="H16" s="118"/>
    </row>
    <row r="17" spans="1:8" ht="409.6">
      <c r="A17" s="117" t="s">
        <v>324</v>
      </c>
      <c r="B17" s="118"/>
      <c r="C17" s="117" t="s">
        <v>60</v>
      </c>
      <c r="D17" s="126" t="s">
        <v>213</v>
      </c>
      <c r="E17" s="118" t="s">
        <v>16</v>
      </c>
      <c r="F17" s="117" t="s">
        <v>214</v>
      </c>
      <c r="G17" s="117" t="s">
        <v>215</v>
      </c>
      <c r="H17" s="118"/>
    </row>
    <row r="18" spans="1:8" ht="409.6">
      <c r="A18" s="117" t="s">
        <v>330</v>
      </c>
      <c r="B18" s="118"/>
      <c r="C18" s="117" t="s">
        <v>60</v>
      </c>
      <c r="D18" s="126" t="s">
        <v>271</v>
      </c>
      <c r="E18" s="118" t="s">
        <v>16</v>
      </c>
      <c r="F18" s="117" t="s">
        <v>272</v>
      </c>
      <c r="G18" s="117" t="s">
        <v>273</v>
      </c>
      <c r="H18" s="118"/>
    </row>
    <row r="19" spans="1:8" ht="409.6">
      <c r="A19" s="117" t="s">
        <v>334</v>
      </c>
      <c r="B19" s="118"/>
      <c r="C19" s="117" t="s">
        <v>60</v>
      </c>
      <c r="D19" s="126" t="s">
        <v>237</v>
      </c>
      <c r="E19" s="118" t="s">
        <v>16</v>
      </c>
      <c r="F19" s="117"/>
      <c r="G19" s="117"/>
      <c r="H19" s="118"/>
    </row>
    <row r="20" spans="1:8" ht="15.45">
      <c r="A20" s="118"/>
      <c r="B20" s="118"/>
      <c r="C20" s="117" t="s">
        <v>60</v>
      </c>
      <c r="D20" s="119" t="s">
        <v>325</v>
      </c>
      <c r="E20" s="118" t="s">
        <v>16</v>
      </c>
      <c r="F20" s="117" t="s">
        <v>326</v>
      </c>
      <c r="G20" s="117" t="s">
        <v>327</v>
      </c>
      <c r="H20" s="118"/>
    </row>
    <row r="21" spans="1:8" ht="409.6">
      <c r="A21" s="118"/>
      <c r="B21" s="118"/>
      <c r="C21" s="117" t="s">
        <v>60</v>
      </c>
      <c r="D21" s="126" t="s">
        <v>331</v>
      </c>
      <c r="E21" s="118" t="s">
        <v>16</v>
      </c>
      <c r="F21" s="117" t="s">
        <v>332</v>
      </c>
      <c r="G21" s="117" t="s">
        <v>333</v>
      </c>
      <c r="H21" s="118"/>
    </row>
    <row r="22" spans="1:8" ht="409.6">
      <c r="A22" s="118"/>
      <c r="B22" s="118"/>
      <c r="C22" s="117" t="s">
        <v>60</v>
      </c>
      <c r="D22" s="126" t="s">
        <v>335</v>
      </c>
      <c r="E22" s="118" t="s">
        <v>16</v>
      </c>
      <c r="F22" s="117" t="s">
        <v>336</v>
      </c>
      <c r="G22" s="117" t="s">
        <v>337</v>
      </c>
      <c r="H22" s="118"/>
    </row>
  </sheetData>
  <dataValidations count="1">
    <dataValidation type="list" allowBlank="1" showInputMessage="1" showErrorMessage="1" sqref="E3:E22" xr:uid="{50D6A3B4-34E2-42E4-A118-123716197EBB}">
      <formula1>"Protocol Example (28Sep2023) 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C402C0-DB71-4117-9220-B2231059526C}">
          <x14:formula1>
            <xm:f>Summary!$D$12:$L$12</xm:f>
          </x14:formula1>
          <xm:sqref>E2 H2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A1DE-3F06-42B3-A3BB-85030183DA6D}">
  <dimension ref="A2:K3"/>
  <sheetViews>
    <sheetView workbookViewId="0">
      <selection activeCell="A4" sqref="A4"/>
    </sheetView>
  </sheetViews>
  <sheetFormatPr defaultColWidth="9" defaultRowHeight="13.75"/>
  <cols>
    <col min="1" max="1" width="51.640625" style="83" bestFit="1" customWidth="1"/>
    <col min="2" max="3" width="9" style="83"/>
    <col min="4" max="4" width="20.35546875" style="83" customWidth="1"/>
    <col min="5" max="5" width="31.5" style="83" bestFit="1" customWidth="1"/>
    <col min="6" max="6" width="18.2109375" style="83" customWidth="1"/>
    <col min="7" max="7" width="20.85546875" style="83" customWidth="1"/>
    <col min="8" max="8" width="31.5" style="83" bestFit="1" customWidth="1"/>
    <col min="9" max="9" width="21.140625" style="83" customWidth="1"/>
    <col min="10" max="10" width="9" style="83"/>
    <col min="11" max="11" width="14" style="83" bestFit="1" customWidth="1"/>
    <col min="12" max="16384" width="9" style="83"/>
  </cols>
  <sheetData>
    <row r="2" spans="1:11" ht="14.6">
      <c r="A2" s="84" t="s">
        <v>63</v>
      </c>
      <c r="B2" s="84"/>
      <c r="C2" s="84" t="s">
        <v>64</v>
      </c>
      <c r="D2" s="84" t="s">
        <v>65</v>
      </c>
      <c r="E2" s="85" t="s">
        <v>66</v>
      </c>
      <c r="F2" s="84" t="s">
        <v>67</v>
      </c>
      <c r="G2" s="84" t="s">
        <v>68</v>
      </c>
      <c r="H2" s="85" t="s">
        <v>69</v>
      </c>
      <c r="I2" s="85" t="s">
        <v>70</v>
      </c>
      <c r="J2" s="85" t="s">
        <v>71</v>
      </c>
      <c r="K2" s="85" t="s">
        <v>72</v>
      </c>
    </row>
    <row r="3" spans="1:11">
      <c r="A3" s="83" t="e" cm="1" vm="105">
        <f t="array" ref="A3">_xlfn._xlws.FILTER(QA!A3:K500, QA!C3:C500="Multi tables")</f>
        <v>#VALUE!</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B1AD19-875C-49EA-A0F6-70D86A1FF93C}">
          <x14:formula1>
            <xm:f>Summary!$D$12:$L$12</xm:f>
          </x14:formula1>
          <xm:sqref>E2 H2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16CA0A6-4FAA-4A1B-9C7C-92245E3B14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D6E3EC-16C2-4ADF-B568-9E49558FFD9C}">
  <ds:schemaRefs>
    <ds:schemaRef ds:uri="http://schemas.microsoft.com/sharepoint/v3/contenttype/forms"/>
  </ds:schemaRefs>
</ds:datastoreItem>
</file>

<file path=customXml/itemProps3.xml><?xml version="1.0" encoding="utf-8"?>
<ds:datastoreItem xmlns:ds="http://schemas.openxmlformats.org/officeDocument/2006/customXml" ds:itemID="{000A3473-C459-485E-80F6-25692C531ED5}">
  <ds:schemaRefs>
    <ds:schemaRef ds:uri="http://schemas.microsoft.com/office/2006/documentManagement/types"/>
    <ds:schemaRef ds:uri="http://purl.org/dc/terms/"/>
    <ds:schemaRef ds:uri="http://purl.org/dc/elements/1.1/"/>
    <ds:schemaRef ds:uri="http://schemas.microsoft.com/sharepoint/v3"/>
    <ds:schemaRef ds:uri="71af3243-3dd4-4a8d-8c0d-dd76da1f02a5"/>
    <ds:schemaRef ds:uri="http://purl.org/dc/dcmitype/"/>
    <ds:schemaRef ds:uri="http://schemas.microsoft.com/office/infopath/2007/PartnerControls"/>
    <ds:schemaRef ds:uri="http://schemas.openxmlformats.org/package/2006/metadata/core-properties"/>
    <ds:schemaRef ds:uri="230e9df3-be65-4c73-a93b-d1236ebd677e"/>
    <ds:schemaRef ds:uri="16c05727-aa75-4e4a-9b5f-8a80a1165891"/>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TM16410091</Template>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QA</vt:lpstr>
      <vt:lpstr>Inline</vt:lpstr>
      <vt:lpstr>Paragraph</vt:lpstr>
      <vt:lpstr>KeyValue</vt:lpstr>
      <vt:lpstr>Table</vt:lpstr>
      <vt:lpstr>Lists</vt:lpstr>
      <vt:lpstr>Multi Tables</vt:lpstr>
      <vt:lpstr>AveDistancePerTrip</vt:lpstr>
      <vt:lpstr>AverageTripsPerDay</vt:lpstr>
      <vt:lpstr>AveTimePerTrip</vt:lpstr>
      <vt:lpstr>RatePerHour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2026-04-01T07:21:24Z</dcterms:created>
  <dcterms:modified xsi:type="dcterms:W3CDTF">2026-04-27T09:34:13Z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