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8_{A69560C1-6FDD-4B20-BC23-D2C1BBD29630}" xr6:coauthVersionLast="47" xr6:coauthVersionMax="47" xr10:uidLastSave="{00000000-0000-0000-0000-000000000000}"/>
  <bookViews>
    <workbookView xWindow="-103" yWindow="-103" windowWidth="22149" windowHeight="13200" firstSheet="1" activeTab="1" xr2:uid="{00000000-000D-0000-FFFF-FFFF00000000}"/>
  </bookViews>
  <sheets>
    <sheet name="Summary" sheetId="1" r:id="rId1"/>
    <sheet name="QA" sheetId="2" r:id="rId2"/>
    <sheet name="Inline" sheetId="3" r:id="rId3"/>
    <sheet name="Paragraph" sheetId="4" r:id="rId4"/>
    <sheet name="KeyValue" sheetId="7" r:id="rId5"/>
    <sheet name="Lists" sheetId="5" r:id="rId6"/>
    <sheet name="Table" sheetId="8" r:id="rId7"/>
    <sheet name="Multi Tables" sheetId="6" r:id="rId8"/>
  </sheets>
  <definedNames>
    <definedName name="AnnualCostOfTime_BuyCar">#REF!</definedName>
    <definedName name="AnnualCostOfTime_Ridesharing">#REF!</definedName>
    <definedName name="AnnualFareCost">#REF!</definedName>
    <definedName name="AnnualFuelCost">#REF!</definedName>
    <definedName name="AnnualPurchaseCost">#REF!</definedName>
    <definedName name="AnnualUsageCost">#REF!</definedName>
    <definedName name="AveDistancePerTrip">Summary!$D$24</definedName>
    <definedName name="AveParkingTime">#REF!</definedName>
    <definedName name="AverageTripsPerDay">Summary!$D$19</definedName>
    <definedName name="AveSurgeMultiplier">#REF!</definedName>
    <definedName name="AveTimePerTrip">Summary!$D$20</definedName>
    <definedName name="AveWaitTime">#REF!</definedName>
    <definedName name="BaseFare">#REF!</definedName>
    <definedName name="DistanceFare">#REF!</definedName>
    <definedName name="DownPayment">#REF!</definedName>
    <definedName name="FuelCost">#REF!</definedName>
    <definedName name="FuelEfficiency">#REF!</definedName>
    <definedName name="GarageExpenses">#REF!</definedName>
    <definedName name="GaragePropertyTax">#REF!</definedName>
    <definedName name="Insurance">#REF!</definedName>
    <definedName name="InterestRate">#REF!</definedName>
    <definedName name="LoanTerm">#REF!</definedName>
    <definedName name="MaintenanceAndRepairs">#REF!</definedName>
    <definedName name="Parking">#REF!</definedName>
    <definedName name="PercentRideDuringSurge">#REF!</definedName>
    <definedName name="PriceOfCar">#REF!</definedName>
    <definedName name="ProductivePercent">#REF!</definedName>
    <definedName name="PurchaseFees">#REF!</definedName>
    <definedName name="RatePerHour">Summary!$D$64</definedName>
    <definedName name="RegistrationAndTaxes">#REF!</definedName>
    <definedName name="SalesTax">#REF!</definedName>
    <definedName name="TimeFare">#REF!</definedName>
    <definedName name="TotalMileage">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3" i="2" l="1" a="1"/>
  <c r="AK3" i="2" s="1"/>
  <c r="AK4" i="2" a="1"/>
  <c r="AK4" i="2" s="1"/>
  <c r="AK13" i="2" a="1"/>
  <c r="AK13" i="2" s="1"/>
  <c r="AK15" i="2" a="1"/>
  <c r="AK15" i="2" s="1"/>
  <c r="AK16" i="2" a="1"/>
  <c r="AK16" i="2" s="1"/>
  <c r="AK18" i="2" a="1"/>
  <c r="AK18" i="2" s="1"/>
  <c r="AK31" i="2" a="1"/>
  <c r="AK31" i="2" s="1"/>
  <c r="AK32" i="2" a="1"/>
  <c r="AK32" i="2" s="1"/>
  <c r="AK41" i="2" a="1"/>
  <c r="AK41" i="2" s="1"/>
  <c r="AK52" i="2" a="1"/>
  <c r="AK52" i="2" s="1"/>
  <c r="AK53" i="2" a="1"/>
  <c r="AK53" i="2" s="1"/>
  <c r="AK63" i="2" a="1"/>
  <c r="AK63" i="2" s="1"/>
  <c r="AK80" i="2" a="1"/>
  <c r="AK80" i="2" s="1"/>
  <c r="AK81" i="2" a="1"/>
  <c r="AK81" i="2" s="1"/>
  <c r="AK82" i="2" a="1"/>
  <c r="AK82" i="2" s="1"/>
  <c r="AI17" i="2" a="1"/>
  <c r="AI17" i="2" s="1"/>
  <c r="AH17" i="2" a="1"/>
  <c r="AH17" i="2" s="1"/>
  <c r="K17" i="2" a="1"/>
  <c r="K17" i="2" s="1"/>
  <c r="K19" i="2" a="1"/>
  <c r="K19" i="2" s="1"/>
  <c r="E25" i="1"/>
  <c r="E21" i="1"/>
  <c r="E20" i="1"/>
  <c r="E65" i="1"/>
  <c r="E19" i="1"/>
  <c r="D19" i="1"/>
  <c r="D20" i="1"/>
  <c r="D21" i="1"/>
  <c r="D22" i="1"/>
  <c r="D23" i="1"/>
  <c r="D24" i="1"/>
  <c r="X102" i="2" a="1"/>
  <c r="X102" i="2" s="1"/>
  <c r="X99" i="2" a="1"/>
  <c r="X99" i="2" s="1"/>
  <c r="X96" i="2" a="1"/>
  <c r="X96" i="2" s="1"/>
  <c r="X95" i="2" a="1"/>
  <c r="X95" i="2" s="1"/>
  <c r="X92" i="2" a="1"/>
  <c r="X92" i="2" s="1"/>
  <c r="X91" i="2" a="1"/>
  <c r="X91" i="2" s="1"/>
  <c r="X88" i="2" a="1"/>
  <c r="X88" i="2" s="1"/>
  <c r="X85" i="2" a="1"/>
  <c r="X85" i="2" s="1"/>
  <c r="X84" i="2" a="1"/>
  <c r="X84" i="2" s="1"/>
  <c r="X65" i="2" a="1"/>
  <c r="X65" i="2" s="1"/>
  <c r="X33" i="2" a="1"/>
  <c r="X33" i="2" s="1"/>
  <c r="X29" i="2" a="1"/>
  <c r="X29" i="2" s="1"/>
  <c r="X107" i="2" a="1"/>
  <c r="X107" i="2" s="1"/>
  <c r="X108" i="2" a="1"/>
  <c r="X108" i="2" s="1"/>
  <c r="X109" i="2" a="1"/>
  <c r="X109" i="2" s="1"/>
  <c r="X106" i="2" a="1"/>
  <c r="X106" i="2" s="1"/>
  <c r="K5" i="2" a="1"/>
  <c r="K5" i="2" s="1"/>
  <c r="K6" i="2" a="1"/>
  <c r="K6" i="2" s="1"/>
  <c r="K7" i="2" a="1"/>
  <c r="K7" i="2" s="1"/>
  <c r="K8" i="2" a="1"/>
  <c r="K8" i="2" s="1"/>
  <c r="K9" i="2" a="1"/>
  <c r="K9" i="2" s="1"/>
  <c r="K10" i="2" a="1"/>
  <c r="K10" i="2" s="1"/>
  <c r="K11" i="2" a="1"/>
  <c r="K11" i="2" s="1"/>
  <c r="K12" i="2" a="1"/>
  <c r="K12" i="2" s="1"/>
  <c r="K14" i="2" a="1"/>
  <c r="K14"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3" i="2" a="1"/>
  <c r="K33" i="2" s="1"/>
  <c r="K34" i="2" a="1"/>
  <c r="K34" i="2" s="1"/>
  <c r="K35" i="2" a="1"/>
  <c r="K35" i="2" s="1"/>
  <c r="K36" i="2" a="1"/>
  <c r="K36" i="2" s="1"/>
  <c r="K37" i="2" a="1"/>
  <c r="K37" i="2" s="1"/>
  <c r="K38" i="2" a="1"/>
  <c r="K38" i="2" s="1"/>
  <c r="K39" i="2" a="1"/>
  <c r="K39" i="2" s="1"/>
  <c r="K40" i="2" a="1"/>
  <c r="K40" i="2" s="1"/>
  <c r="K42" i="2" a="1"/>
  <c r="K42" i="2" s="1"/>
  <c r="K43" i="2" a="1"/>
  <c r="K43" i="2" s="1"/>
  <c r="K44" i="2" a="1"/>
  <c r="K44" i="2" s="1"/>
  <c r="K45" i="2" a="1"/>
  <c r="K45" i="2" s="1"/>
  <c r="K46" i="2" a="1"/>
  <c r="K46" i="2" s="1"/>
  <c r="K47" i="2" a="1"/>
  <c r="K47" i="2" s="1"/>
  <c r="K48" i="2" a="1"/>
  <c r="K48" i="2" s="1"/>
  <c r="K49" i="2" a="1"/>
  <c r="K49" i="2" s="1"/>
  <c r="K50" i="2" a="1"/>
  <c r="K50" i="2" s="1"/>
  <c r="K51" i="2" a="1"/>
  <c r="K51" i="2" s="1"/>
  <c r="K54" i="2" a="1"/>
  <c r="K54" i="2" s="1"/>
  <c r="K55" i="2" a="1"/>
  <c r="K55" i="2" s="1"/>
  <c r="K56" i="2" a="1"/>
  <c r="K56" i="2" s="1"/>
  <c r="K57" i="2" a="1"/>
  <c r="K57" i="2" s="1"/>
  <c r="K58" i="2" a="1"/>
  <c r="K58" i="2" s="1"/>
  <c r="K59" i="2" a="1"/>
  <c r="K59" i="2" s="1"/>
  <c r="K60" i="2" a="1"/>
  <c r="K60" i="2" s="1"/>
  <c r="K61" i="2" a="1"/>
  <c r="K61" i="2" s="1"/>
  <c r="K62" i="2" a="1"/>
  <c r="K62"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AI110" i="2" a="1"/>
  <c r="AI110" i="2" s="1"/>
  <c r="AI105" i="2" a="1"/>
  <c r="AI105" i="2" s="1"/>
  <c r="AI104" i="2" a="1"/>
  <c r="AI104" i="2" s="1"/>
  <c r="AI103" i="2" a="1"/>
  <c r="AI103" i="2" s="1"/>
  <c r="AI101" i="2" a="1"/>
  <c r="AI101" i="2" s="1"/>
  <c r="AI100" i="2" a="1"/>
  <c r="AI100" i="2" s="1"/>
  <c r="AI98" i="2" a="1"/>
  <c r="AI98" i="2" s="1"/>
  <c r="AI97" i="2" a="1"/>
  <c r="AI97" i="2" s="1"/>
  <c r="AI94" i="2" a="1"/>
  <c r="AI94" i="2" s="1"/>
  <c r="AI93" i="2" a="1"/>
  <c r="AI93" i="2" s="1"/>
  <c r="AI90" i="2" a="1"/>
  <c r="AI90" i="2" s="1"/>
  <c r="AI89" i="2" a="1"/>
  <c r="AI89" i="2" s="1"/>
  <c r="AI87" i="2" a="1"/>
  <c r="AI87" i="2" s="1"/>
  <c r="AI86" i="2" a="1"/>
  <c r="AI86" i="2" s="1"/>
  <c r="AI83" i="2" a="1"/>
  <c r="AI83" i="2" s="1"/>
  <c r="AI79" i="2" a="1"/>
  <c r="AI79" i="2" s="1"/>
  <c r="AI78" i="2" a="1"/>
  <c r="AI78" i="2" s="1"/>
  <c r="AI77" i="2" a="1"/>
  <c r="AI77" i="2" s="1"/>
  <c r="AI76" i="2" a="1"/>
  <c r="AI76" i="2" s="1"/>
  <c r="AI75" i="2" a="1"/>
  <c r="AI75" i="2" s="1"/>
  <c r="AI74" i="2" a="1"/>
  <c r="AI74" i="2" s="1"/>
  <c r="AI73" i="2" a="1"/>
  <c r="AI73" i="2" s="1"/>
  <c r="AI72" i="2" a="1"/>
  <c r="AI72" i="2" s="1"/>
  <c r="AI71" i="2" a="1"/>
  <c r="AI71" i="2" s="1"/>
  <c r="AI70" i="2" a="1"/>
  <c r="AI70" i="2" s="1"/>
  <c r="AI69" i="2" a="1"/>
  <c r="AI69" i="2" s="1"/>
  <c r="AI68" i="2" a="1"/>
  <c r="AI68" i="2" s="1"/>
  <c r="AI67" i="2" a="1"/>
  <c r="AI67" i="2" s="1"/>
  <c r="AI66" i="2" a="1"/>
  <c r="AI66" i="2" s="1"/>
  <c r="AI62" i="2" a="1"/>
  <c r="AI62" i="2" s="1"/>
  <c r="AI61" i="2" a="1"/>
  <c r="AI61" i="2" s="1"/>
  <c r="AI60" i="2" a="1"/>
  <c r="AI60" i="2" s="1"/>
  <c r="AI59" i="2" a="1"/>
  <c r="AI59" i="2" s="1"/>
  <c r="AI58" i="2" a="1"/>
  <c r="AI58" i="2" s="1"/>
  <c r="AI57" i="2" a="1"/>
  <c r="AI57" i="2" s="1"/>
  <c r="AI56" i="2" a="1"/>
  <c r="AI56" i="2" s="1"/>
  <c r="AI55" i="2" a="1"/>
  <c r="AI55" i="2" s="1"/>
  <c r="AI54" i="2" a="1"/>
  <c r="AI54" i="2" s="1"/>
  <c r="AI51" i="2" a="1"/>
  <c r="AI51" i="2" s="1"/>
  <c r="AI40" i="2" a="1"/>
  <c r="AI40" i="2" s="1"/>
  <c r="AI39" i="2" a="1"/>
  <c r="AI39" i="2" s="1"/>
  <c r="AI38" i="2" a="1"/>
  <c r="AI38" i="2" s="1"/>
  <c r="AI37" i="2" a="1"/>
  <c r="AI37" i="2" s="1"/>
  <c r="AI35" i="2" a="1"/>
  <c r="AI35" i="2" s="1"/>
  <c r="AI34" i="2" a="1"/>
  <c r="AI34" i="2" s="1"/>
  <c r="AI30" i="2" a="1"/>
  <c r="AI30" i="2" s="1"/>
  <c r="AI28" i="2" a="1"/>
  <c r="AI28" i="2" s="1"/>
  <c r="AI27" i="2" a="1"/>
  <c r="AI27" i="2" s="1"/>
  <c r="AI26" i="2" a="1"/>
  <c r="AI26" i="2" s="1"/>
  <c r="AI25" i="2" a="1"/>
  <c r="AI25" i="2" s="1"/>
  <c r="AI24" i="2" a="1"/>
  <c r="AI24" i="2" s="1"/>
  <c r="AI23" i="2" a="1"/>
  <c r="AI23" i="2" s="1"/>
  <c r="AI22" i="2" a="1"/>
  <c r="AI22" i="2" s="1"/>
  <c r="AI19" i="2" a="1"/>
  <c r="AI19" i="2" s="1"/>
  <c r="AH110" i="2" a="1"/>
  <c r="AH110" i="2" s="1"/>
  <c r="AH105" i="2" a="1"/>
  <c r="AH105" i="2" s="1"/>
  <c r="AH104" i="2" a="1"/>
  <c r="AH104" i="2" s="1"/>
  <c r="AH103" i="2" a="1"/>
  <c r="AH103" i="2" s="1"/>
  <c r="AH101" i="2" a="1"/>
  <c r="AH101" i="2" s="1"/>
  <c r="AH100" i="2" a="1"/>
  <c r="AH100" i="2" s="1"/>
  <c r="AH98" i="2" a="1"/>
  <c r="AH98" i="2" s="1"/>
  <c r="AH97" i="2" a="1"/>
  <c r="AH97" i="2" s="1"/>
  <c r="AH94" i="2" a="1"/>
  <c r="AH94" i="2" s="1"/>
  <c r="AH93" i="2" a="1"/>
  <c r="AH93" i="2" s="1"/>
  <c r="AH90" i="2" a="1"/>
  <c r="AH90" i="2" s="1"/>
  <c r="AH89" i="2" a="1"/>
  <c r="AH89" i="2" s="1"/>
  <c r="AH87" i="2" a="1"/>
  <c r="AH87" i="2" s="1"/>
  <c r="AH86" i="2" a="1"/>
  <c r="AH86" i="2" s="1"/>
  <c r="AH83" i="2" a="1"/>
  <c r="AH83" i="2" s="1"/>
  <c r="AH79" i="2" a="1"/>
  <c r="AH79" i="2" s="1"/>
  <c r="AH78" i="2" a="1"/>
  <c r="AH78" i="2" s="1"/>
  <c r="AH77" i="2" a="1"/>
  <c r="AH77" i="2" s="1"/>
  <c r="AH76" i="2" a="1"/>
  <c r="AH76" i="2" s="1"/>
  <c r="AH75" i="2" a="1"/>
  <c r="AH75" i="2" s="1"/>
  <c r="AH74" i="2" a="1"/>
  <c r="AH74" i="2" s="1"/>
  <c r="AH73" i="2" a="1"/>
  <c r="AH73" i="2" s="1"/>
  <c r="AH72" i="2" a="1"/>
  <c r="AH72" i="2" s="1"/>
  <c r="AH71" i="2" a="1"/>
  <c r="AH71" i="2" s="1"/>
  <c r="AH70" i="2" a="1"/>
  <c r="AH70" i="2" s="1"/>
  <c r="AH69" i="2" a="1"/>
  <c r="AH69" i="2" s="1"/>
  <c r="AH68" i="2" a="1"/>
  <c r="AH68" i="2" s="1"/>
  <c r="AH67" i="2" a="1"/>
  <c r="AH67" i="2" s="1"/>
  <c r="AH66" i="2" a="1"/>
  <c r="AH66" i="2" s="1"/>
  <c r="AH62" i="2" a="1"/>
  <c r="AH62" i="2" s="1"/>
  <c r="AH61" i="2" a="1"/>
  <c r="AH61" i="2" s="1"/>
  <c r="AH60" i="2" a="1"/>
  <c r="AH60" i="2" s="1"/>
  <c r="AH59" i="2" a="1"/>
  <c r="AH59" i="2" s="1"/>
  <c r="AH58" i="2" a="1"/>
  <c r="AH58" i="2" s="1"/>
  <c r="AH57" i="2" a="1"/>
  <c r="AH57" i="2" s="1"/>
  <c r="AH56" i="2" a="1"/>
  <c r="AH56" i="2" s="1"/>
  <c r="AH55" i="2" a="1"/>
  <c r="AH55" i="2" s="1"/>
  <c r="AH54" i="2" a="1"/>
  <c r="AH54" i="2" s="1"/>
  <c r="AH51" i="2" a="1"/>
  <c r="AH51" i="2" s="1"/>
  <c r="AH40" i="2" a="1"/>
  <c r="AH40" i="2" s="1"/>
  <c r="AH39" i="2" a="1"/>
  <c r="AH39" i="2" s="1"/>
  <c r="AH38" i="2" a="1"/>
  <c r="AH38" i="2" s="1"/>
  <c r="AH37" i="2" a="1"/>
  <c r="AH37" i="2" s="1"/>
  <c r="AH35" i="2" a="1"/>
  <c r="AH35" i="2" s="1"/>
  <c r="AH34" i="2" a="1"/>
  <c r="AH34" i="2" s="1"/>
  <c r="AH30" i="2" a="1"/>
  <c r="AH30" i="2" s="1"/>
  <c r="AH28" i="2" a="1"/>
  <c r="AH28" i="2" s="1"/>
  <c r="AH27" i="2" a="1"/>
  <c r="AH27" i="2" s="1"/>
  <c r="AH26" i="2" a="1"/>
  <c r="AH26" i="2" s="1"/>
  <c r="AH25" i="2" a="1"/>
  <c r="AH25" i="2" s="1"/>
  <c r="AH24" i="2" a="1"/>
  <c r="AH24" i="2" s="1"/>
  <c r="AH23" i="2" a="1"/>
  <c r="AH23" i="2" s="1"/>
  <c r="AH22" i="2" a="1"/>
  <c r="AH22" i="2" s="1"/>
  <c r="AH19" i="2" a="1"/>
  <c r="AH19" i="2" s="1"/>
  <c r="M3" i="2" a="1"/>
  <c r="M3" i="2" s="1"/>
  <c r="I3" i="2" a="1"/>
  <c r="I3" i="2" s="1"/>
  <c r="AG86" i="2"/>
  <c r="AG110" i="2"/>
  <c r="AG105" i="2"/>
  <c r="AG104" i="2"/>
  <c r="AG103" i="2"/>
  <c r="AG101" i="2"/>
  <c r="AG100" i="2"/>
  <c r="AG98" i="2"/>
  <c r="AG97" i="2"/>
  <c r="AG94" i="2"/>
  <c r="AG93" i="2"/>
  <c r="AG90" i="2"/>
  <c r="AG89" i="2"/>
  <c r="AG87" i="2"/>
  <c r="AG84" i="2"/>
  <c r="AG83" i="2"/>
  <c r="AG79" i="2"/>
  <c r="AG78" i="2"/>
  <c r="AG77" i="2"/>
  <c r="AG76" i="2"/>
  <c r="AG75" i="2"/>
  <c r="AG74" i="2"/>
  <c r="AG73" i="2"/>
  <c r="AG72" i="2"/>
  <c r="AG71" i="2"/>
  <c r="AG70" i="2"/>
  <c r="AG69" i="2"/>
  <c r="AG68" i="2"/>
  <c r="AG67" i="2"/>
  <c r="AG66" i="2"/>
  <c r="AG62" i="2"/>
  <c r="AG61" i="2"/>
  <c r="AG60" i="2"/>
  <c r="AG59" i="2"/>
  <c r="AG58" i="2"/>
  <c r="AG57" i="2"/>
  <c r="AG56" i="2"/>
  <c r="AG55" i="2"/>
  <c r="AG54" i="2"/>
  <c r="AG51" i="2"/>
  <c r="AG40" i="2"/>
  <c r="AG39" i="2"/>
  <c r="AG38" i="2"/>
  <c r="AG37" i="2"/>
  <c r="AG35" i="2"/>
  <c r="AG34" i="2"/>
  <c r="AG30" i="2"/>
  <c r="AG28" i="2"/>
  <c r="AG27" i="2"/>
  <c r="AG26" i="2"/>
  <c r="AG25" i="2"/>
  <c r="AG24" i="2"/>
  <c r="AG23" i="2"/>
  <c r="AG22" i="2"/>
  <c r="AG19" i="2"/>
  <c r="AG17" i="2"/>
  <c r="AC64" i="2"/>
  <c r="AC36" i="2"/>
  <c r="N4" i="2" a="1"/>
  <c r="N4" i="2" s="1"/>
  <c r="O4" i="2" s="1" a="1"/>
  <c r="O4" i="2" s="1"/>
  <c r="N5" i="2" a="1"/>
  <c r="N5" i="2" s="1"/>
  <c r="O5" i="2" s="1" a="1"/>
  <c r="O5" i="2" s="1"/>
  <c r="N6" i="2" a="1"/>
  <c r="N6" i="2" s="1"/>
  <c r="O6" i="2" s="1" a="1"/>
  <c r="O6" i="2" s="1"/>
  <c r="N7" i="2" a="1"/>
  <c r="N7" i="2" s="1"/>
  <c r="O7" i="2" s="1" a="1"/>
  <c r="O7" i="2" s="1"/>
  <c r="N8" i="2" a="1"/>
  <c r="N8" i="2" s="1"/>
  <c r="O8" i="2" s="1" a="1"/>
  <c r="O8" i="2" s="1"/>
  <c r="N9" i="2" a="1"/>
  <c r="N9" i="2" s="1"/>
  <c r="O9" i="2" s="1" a="1"/>
  <c r="O9" i="2" s="1"/>
  <c r="N10" i="2" a="1"/>
  <c r="N10" i="2" s="1"/>
  <c r="O10" i="2" s="1" a="1"/>
  <c r="O10" i="2" s="1"/>
  <c r="N11" i="2" a="1"/>
  <c r="N11" i="2" s="1"/>
  <c r="O11" i="2" s="1" a="1"/>
  <c r="O11" i="2" s="1"/>
  <c r="N12" i="2" a="1"/>
  <c r="N12" i="2" s="1"/>
  <c r="O12" i="2" s="1" a="1"/>
  <c r="O12" i="2" s="1"/>
  <c r="N13" i="2" a="1"/>
  <c r="N13" i="2" s="1"/>
  <c r="O13" i="2" s="1" a="1"/>
  <c r="O13" i="2" s="1"/>
  <c r="N14" i="2" a="1"/>
  <c r="N14" i="2" s="1"/>
  <c r="O14" i="2" s="1" a="1"/>
  <c r="O14" i="2" s="1"/>
  <c r="N15" i="2" a="1"/>
  <c r="N15" i="2" s="1"/>
  <c r="O15" i="2" s="1" a="1"/>
  <c r="O15" i="2" s="1"/>
  <c r="N16" i="2" a="1"/>
  <c r="N16" i="2" s="1"/>
  <c r="O16" i="2" s="1" a="1"/>
  <c r="O16" i="2" s="1"/>
  <c r="N17" i="2" a="1"/>
  <c r="N17" i="2" s="1"/>
  <c r="O17" i="2" s="1" a="1"/>
  <c r="O17" i="2" s="1"/>
  <c r="N18" i="2" a="1"/>
  <c r="N18" i="2" s="1"/>
  <c r="O18" i="2" s="1" a="1"/>
  <c r="O18" i="2" s="1"/>
  <c r="N19" i="2" a="1"/>
  <c r="N19" i="2" s="1"/>
  <c r="O19" i="2" s="1" a="1"/>
  <c r="O19" i="2" s="1"/>
  <c r="N20" i="2" a="1"/>
  <c r="N20" i="2" s="1"/>
  <c r="O20" i="2" s="1" a="1"/>
  <c r="O20" i="2" s="1"/>
  <c r="N21" i="2" a="1"/>
  <c r="N21" i="2" s="1"/>
  <c r="O21" i="2" s="1" a="1"/>
  <c r="O21" i="2" s="1"/>
  <c r="N22" i="2" a="1"/>
  <c r="N22" i="2" s="1"/>
  <c r="O22" i="2" s="1" a="1"/>
  <c r="O22" i="2" s="1"/>
  <c r="N23" i="2" a="1"/>
  <c r="N23" i="2" s="1"/>
  <c r="O23" i="2" s="1" a="1"/>
  <c r="O23" i="2" s="1"/>
  <c r="N24" i="2" a="1"/>
  <c r="N24" i="2" s="1"/>
  <c r="O24" i="2" s="1" a="1"/>
  <c r="O24" i="2" s="1"/>
  <c r="N25" i="2" a="1"/>
  <c r="N25" i="2" s="1"/>
  <c r="O25" i="2" s="1" a="1"/>
  <c r="O25" i="2" s="1"/>
  <c r="N26" i="2" a="1"/>
  <c r="N26" i="2" s="1"/>
  <c r="O26" i="2" s="1" a="1"/>
  <c r="O26" i="2" s="1"/>
  <c r="N27" i="2" a="1"/>
  <c r="N27" i="2" s="1"/>
  <c r="O27" i="2" s="1" a="1"/>
  <c r="O27" i="2" s="1"/>
  <c r="N28" i="2" a="1"/>
  <c r="N28" i="2" s="1"/>
  <c r="O28" i="2" s="1" a="1"/>
  <c r="O28" i="2" s="1"/>
  <c r="N29" i="2" a="1"/>
  <c r="N29" i="2" s="1"/>
  <c r="O29" i="2" s="1" a="1"/>
  <c r="O29" i="2" s="1"/>
  <c r="N30" i="2" a="1"/>
  <c r="N30" i="2" s="1"/>
  <c r="O30" i="2" s="1" a="1"/>
  <c r="O30" i="2" s="1"/>
  <c r="N31" i="2" a="1"/>
  <c r="N31" i="2" s="1"/>
  <c r="O31" i="2" s="1" a="1"/>
  <c r="O31" i="2" s="1"/>
  <c r="N32" i="2" a="1"/>
  <c r="N32" i="2" s="1"/>
  <c r="O32" i="2" s="1" a="1"/>
  <c r="O32" i="2" s="1"/>
  <c r="N33" i="2" a="1"/>
  <c r="N33" i="2" s="1"/>
  <c r="O33" i="2" s="1" a="1"/>
  <c r="O33" i="2" s="1"/>
  <c r="N34" i="2" a="1"/>
  <c r="N34" i="2" s="1"/>
  <c r="O34" i="2" s="1" a="1"/>
  <c r="O34" i="2" s="1"/>
  <c r="N35" i="2" a="1"/>
  <c r="N35" i="2" s="1"/>
  <c r="O35" i="2" s="1" a="1"/>
  <c r="O35" i="2" s="1"/>
  <c r="N36" i="2" a="1"/>
  <c r="N36" i="2" s="1"/>
  <c r="O36" i="2" s="1" a="1"/>
  <c r="O36" i="2" s="1"/>
  <c r="N37" i="2" a="1"/>
  <c r="N37" i="2" s="1"/>
  <c r="O37" i="2" s="1" a="1"/>
  <c r="O37" i="2" s="1"/>
  <c r="N38" i="2" a="1"/>
  <c r="N38" i="2" s="1"/>
  <c r="O38" i="2" s="1" a="1"/>
  <c r="O38" i="2" s="1"/>
  <c r="N39" i="2" a="1"/>
  <c r="N39" i="2" s="1"/>
  <c r="O39" i="2" s="1" a="1"/>
  <c r="O39" i="2" s="1"/>
  <c r="N40" i="2" a="1"/>
  <c r="N40" i="2" s="1"/>
  <c r="O40" i="2" s="1" a="1"/>
  <c r="O40" i="2" s="1"/>
  <c r="N41" i="2" a="1"/>
  <c r="N41" i="2" s="1"/>
  <c r="O41" i="2" s="1" a="1"/>
  <c r="O41" i="2" s="1"/>
  <c r="N42" i="2" a="1"/>
  <c r="N42" i="2" s="1"/>
  <c r="O42" i="2" s="1" a="1"/>
  <c r="O42" i="2" s="1"/>
  <c r="N43" i="2" a="1"/>
  <c r="N43" i="2" s="1"/>
  <c r="O43" i="2" s="1" a="1"/>
  <c r="O43" i="2" s="1"/>
  <c r="N44" i="2" a="1"/>
  <c r="N44" i="2" s="1"/>
  <c r="O44" i="2" s="1" a="1"/>
  <c r="O44" i="2" s="1"/>
  <c r="N45" i="2" a="1"/>
  <c r="N45" i="2" s="1"/>
  <c r="O45" i="2" s="1" a="1"/>
  <c r="O45" i="2" s="1"/>
  <c r="N46" i="2" a="1"/>
  <c r="N46" i="2" s="1"/>
  <c r="O46" i="2" s="1" a="1"/>
  <c r="O46" i="2" s="1"/>
  <c r="N47" i="2" a="1"/>
  <c r="N47" i="2" s="1"/>
  <c r="O47" i="2" s="1" a="1"/>
  <c r="O47" i="2" s="1"/>
  <c r="N48" i="2" a="1"/>
  <c r="N48" i="2" s="1"/>
  <c r="O48" i="2" s="1" a="1"/>
  <c r="O48" i="2" s="1"/>
  <c r="N49" i="2" a="1"/>
  <c r="N49" i="2" s="1"/>
  <c r="O49" i="2" s="1" a="1"/>
  <c r="O49" i="2" s="1"/>
  <c r="N50" i="2" a="1"/>
  <c r="N50" i="2" s="1"/>
  <c r="O50" i="2" s="1" a="1"/>
  <c r="O50" i="2" s="1"/>
  <c r="N51" i="2" a="1"/>
  <c r="N51" i="2" s="1"/>
  <c r="O51" i="2" s="1" a="1"/>
  <c r="O51" i="2" s="1"/>
  <c r="N52" i="2" a="1"/>
  <c r="N52" i="2" s="1"/>
  <c r="O52" i="2" s="1" a="1"/>
  <c r="O52" i="2" s="1"/>
  <c r="N53" i="2" a="1"/>
  <c r="N53" i="2" s="1"/>
  <c r="O53" i="2" s="1" a="1"/>
  <c r="O53" i="2" s="1"/>
  <c r="N54" i="2" a="1"/>
  <c r="N54" i="2" s="1"/>
  <c r="O54" i="2" s="1" a="1"/>
  <c r="O54" i="2" s="1"/>
  <c r="N55" i="2" a="1"/>
  <c r="N55" i="2" s="1"/>
  <c r="O55" i="2" s="1" a="1"/>
  <c r="O55" i="2" s="1"/>
  <c r="N56" i="2" a="1"/>
  <c r="N56" i="2" s="1"/>
  <c r="O56" i="2" s="1" a="1"/>
  <c r="O56" i="2" s="1"/>
  <c r="N57" i="2" a="1"/>
  <c r="N57" i="2" s="1"/>
  <c r="O57" i="2" s="1" a="1"/>
  <c r="O57" i="2" s="1"/>
  <c r="N58" i="2" a="1"/>
  <c r="N58" i="2" s="1"/>
  <c r="O58" i="2" s="1" a="1"/>
  <c r="O58" i="2" s="1"/>
  <c r="N59" i="2" a="1"/>
  <c r="N59" i="2" s="1"/>
  <c r="O59" i="2" s="1" a="1"/>
  <c r="O59" i="2" s="1"/>
  <c r="N60" i="2" a="1"/>
  <c r="N60" i="2" s="1"/>
  <c r="O60" i="2" s="1" a="1"/>
  <c r="O60" i="2" s="1"/>
  <c r="N61" i="2" a="1"/>
  <c r="N61" i="2" s="1"/>
  <c r="O61" i="2" s="1" a="1"/>
  <c r="O61" i="2" s="1"/>
  <c r="N62" i="2" a="1"/>
  <c r="N62" i="2" s="1"/>
  <c r="O62" i="2" s="1" a="1"/>
  <c r="O62" i="2" s="1"/>
  <c r="N63" i="2" a="1"/>
  <c r="N63" i="2" s="1"/>
  <c r="O63" i="2" s="1" a="1"/>
  <c r="O63" i="2" s="1"/>
  <c r="N64" i="2" a="1"/>
  <c r="N64" i="2" s="1"/>
  <c r="O64" i="2" s="1" a="1"/>
  <c r="O64" i="2" s="1"/>
  <c r="N65" i="2" a="1"/>
  <c r="N65" i="2" s="1"/>
  <c r="O65" i="2" s="1" a="1"/>
  <c r="O65" i="2" s="1"/>
  <c r="N66" i="2" a="1"/>
  <c r="N66" i="2" s="1"/>
  <c r="O66" i="2" s="1" a="1"/>
  <c r="O66" i="2" s="1"/>
  <c r="N67" i="2" a="1"/>
  <c r="N67" i="2" s="1"/>
  <c r="O67" i="2" s="1" a="1"/>
  <c r="O67" i="2" s="1"/>
  <c r="N68" i="2" a="1"/>
  <c r="N68" i="2" s="1"/>
  <c r="O68" i="2" s="1" a="1"/>
  <c r="O68" i="2" s="1"/>
  <c r="N69" i="2" a="1"/>
  <c r="N69" i="2" s="1"/>
  <c r="O69" i="2" s="1" a="1"/>
  <c r="O69" i="2" s="1"/>
  <c r="N70" i="2" a="1"/>
  <c r="N70" i="2" s="1"/>
  <c r="O70" i="2" s="1" a="1"/>
  <c r="O70" i="2" s="1"/>
  <c r="N71" i="2" a="1"/>
  <c r="N71" i="2" s="1"/>
  <c r="O71" i="2" s="1" a="1"/>
  <c r="O71" i="2" s="1"/>
  <c r="N72" i="2" a="1"/>
  <c r="N72" i="2" s="1"/>
  <c r="O72" i="2" s="1" a="1"/>
  <c r="O72" i="2" s="1"/>
  <c r="N73" i="2" a="1"/>
  <c r="N73" i="2" s="1"/>
  <c r="O73" i="2" s="1" a="1"/>
  <c r="O73" i="2" s="1"/>
  <c r="N74" i="2" a="1"/>
  <c r="N74" i="2" s="1"/>
  <c r="O74" i="2" s="1" a="1"/>
  <c r="O74" i="2" s="1"/>
  <c r="N75" i="2" a="1"/>
  <c r="N75" i="2" s="1"/>
  <c r="O75" i="2" s="1" a="1"/>
  <c r="O75" i="2" s="1"/>
  <c r="N76" i="2" a="1"/>
  <c r="N76" i="2" s="1"/>
  <c r="O76" i="2" s="1" a="1"/>
  <c r="O76" i="2" s="1"/>
  <c r="N77" i="2" a="1"/>
  <c r="N77" i="2" s="1"/>
  <c r="O77" i="2" s="1" a="1"/>
  <c r="O77" i="2" s="1"/>
  <c r="N78" i="2" a="1"/>
  <c r="N78" i="2" s="1"/>
  <c r="O78" i="2" s="1" a="1"/>
  <c r="O78" i="2" s="1"/>
  <c r="N79" i="2" a="1"/>
  <c r="N79" i="2" s="1"/>
  <c r="O79" i="2" s="1" a="1"/>
  <c r="O79" i="2" s="1"/>
  <c r="N80" i="2" a="1"/>
  <c r="N80" i="2" s="1"/>
  <c r="O80" i="2" s="1" a="1"/>
  <c r="O80" i="2" s="1"/>
  <c r="N81" i="2" a="1"/>
  <c r="N81" i="2" s="1"/>
  <c r="O81" i="2" s="1" a="1"/>
  <c r="O81" i="2" s="1"/>
  <c r="N82" i="2" a="1"/>
  <c r="N82" i="2" s="1"/>
  <c r="O82" i="2" s="1" a="1"/>
  <c r="O82" i="2" s="1"/>
  <c r="N83" i="2" a="1"/>
  <c r="N83" i="2" s="1"/>
  <c r="O83" i="2" s="1" a="1"/>
  <c r="O83" i="2" s="1"/>
  <c r="N84" i="2" a="1"/>
  <c r="N84" i="2" s="1"/>
  <c r="O84" i="2" s="1" a="1"/>
  <c r="O84" i="2" s="1"/>
  <c r="N85" i="2" a="1"/>
  <c r="N85" i="2" s="1"/>
  <c r="O85" i="2" s="1" a="1"/>
  <c r="O85" i="2" s="1"/>
  <c r="N86" i="2" a="1"/>
  <c r="N86" i="2" s="1"/>
  <c r="O86" i="2" s="1" a="1"/>
  <c r="O86" i="2" s="1"/>
  <c r="N87" i="2" a="1"/>
  <c r="N87" i="2" s="1"/>
  <c r="O87" i="2" s="1" a="1"/>
  <c r="O87" i="2" s="1"/>
  <c r="N88" i="2" a="1"/>
  <c r="N88" i="2" s="1"/>
  <c r="O88" i="2" s="1" a="1"/>
  <c r="O88" i="2" s="1"/>
  <c r="N89" i="2" a="1"/>
  <c r="N89" i="2" s="1"/>
  <c r="O89" i="2" s="1" a="1"/>
  <c r="O89" i="2" s="1"/>
  <c r="N90" i="2" a="1"/>
  <c r="N90" i="2" s="1"/>
  <c r="O90" i="2" s="1" a="1"/>
  <c r="O90" i="2" s="1"/>
  <c r="N91" i="2" a="1"/>
  <c r="N91" i="2" s="1"/>
  <c r="O91" i="2" s="1" a="1"/>
  <c r="O91" i="2" s="1"/>
  <c r="N92" i="2" a="1"/>
  <c r="N92" i="2" s="1"/>
  <c r="O92" i="2" s="1" a="1"/>
  <c r="O92" i="2" s="1"/>
  <c r="N93" i="2" a="1"/>
  <c r="N93" i="2" s="1"/>
  <c r="O93" i="2" s="1" a="1"/>
  <c r="O93" i="2" s="1"/>
  <c r="N94" i="2" a="1"/>
  <c r="N94" i="2" s="1"/>
  <c r="O94" i="2" s="1" a="1"/>
  <c r="O94" i="2" s="1"/>
  <c r="N95" i="2" a="1"/>
  <c r="N95" i="2" s="1"/>
  <c r="O95" i="2" s="1" a="1"/>
  <c r="O95" i="2" s="1"/>
  <c r="N96" i="2" a="1"/>
  <c r="N96" i="2" s="1"/>
  <c r="O96" i="2" s="1" a="1"/>
  <c r="O96" i="2" s="1"/>
  <c r="N97" i="2" a="1"/>
  <c r="N97" i="2" s="1"/>
  <c r="O97" i="2" s="1" a="1"/>
  <c r="O97" i="2" s="1"/>
  <c r="N98" i="2" a="1"/>
  <c r="N98" i="2" s="1"/>
  <c r="O98" i="2" s="1" a="1"/>
  <c r="O98" i="2" s="1"/>
  <c r="N99" i="2" a="1"/>
  <c r="N99" i="2" s="1"/>
  <c r="O99" i="2" s="1" a="1"/>
  <c r="O99" i="2" s="1"/>
  <c r="N100" i="2" a="1"/>
  <c r="N100" i="2" s="1"/>
  <c r="O100" i="2" s="1" a="1"/>
  <c r="O100" i="2" s="1"/>
  <c r="N101" i="2" a="1"/>
  <c r="N101" i="2" s="1"/>
  <c r="O101" i="2" s="1" a="1"/>
  <c r="O101" i="2" s="1"/>
  <c r="N102" i="2" a="1"/>
  <c r="N102" i="2" s="1"/>
  <c r="O102" i="2" s="1" a="1"/>
  <c r="O102" i="2" s="1"/>
  <c r="N103" i="2" a="1"/>
  <c r="N103" i="2" s="1"/>
  <c r="O103" i="2" s="1" a="1"/>
  <c r="O103" i="2" s="1"/>
  <c r="N104" i="2" a="1"/>
  <c r="N104" i="2" s="1"/>
  <c r="O104" i="2" s="1" a="1"/>
  <c r="O104" i="2" s="1"/>
  <c r="N105" i="2" a="1"/>
  <c r="N105" i="2" s="1"/>
  <c r="O105" i="2" s="1" a="1"/>
  <c r="O105" i="2" s="1"/>
  <c r="N106" i="2" a="1"/>
  <c r="N106" i="2" s="1"/>
  <c r="O106" i="2" s="1" a="1"/>
  <c r="O106" i="2" s="1"/>
  <c r="N107" i="2" a="1"/>
  <c r="N107" i="2" s="1"/>
  <c r="O107" i="2" s="1" a="1"/>
  <c r="O107" i="2" s="1"/>
  <c r="N108" i="2" a="1"/>
  <c r="N108" i="2" s="1"/>
  <c r="O108" i="2" s="1" a="1"/>
  <c r="O108" i="2" s="1"/>
  <c r="N109" i="2" a="1"/>
  <c r="N109" i="2" s="1"/>
  <c r="O109" i="2" s="1" a="1"/>
  <c r="O109" i="2" s="1"/>
  <c r="N110" i="2" a="1"/>
  <c r="N110" i="2" s="1"/>
  <c r="O110" i="2" s="1" a="1"/>
  <c r="O110" i="2" s="1"/>
  <c r="L4" i="2" a="1"/>
  <c r="L4" i="2" s="1"/>
  <c r="M4" i="2" s="1" a="1"/>
  <c r="M4" i="2" s="1"/>
  <c r="L5" i="2" a="1"/>
  <c r="L5" i="2" s="1"/>
  <c r="M5" i="2" s="1" a="1"/>
  <c r="M5" i="2" s="1"/>
  <c r="L6" i="2" a="1"/>
  <c r="L6" i="2" s="1"/>
  <c r="M6" i="2" s="1" a="1"/>
  <c r="M6" i="2" s="1"/>
  <c r="L7" i="2" a="1"/>
  <c r="L7" i="2" s="1"/>
  <c r="M7" i="2" s="1" a="1"/>
  <c r="M7" i="2" s="1"/>
  <c r="L8" i="2" a="1"/>
  <c r="L8" i="2" s="1"/>
  <c r="M8" i="2" s="1" a="1"/>
  <c r="M8" i="2" s="1"/>
  <c r="L9" i="2" a="1"/>
  <c r="L9" i="2" s="1"/>
  <c r="M9" i="2" s="1" a="1"/>
  <c r="M9" i="2" s="1"/>
  <c r="L10" i="2" a="1"/>
  <c r="L10" i="2" s="1"/>
  <c r="M10" i="2" s="1" a="1"/>
  <c r="M10" i="2" s="1"/>
  <c r="L11" i="2" a="1"/>
  <c r="L11" i="2" s="1"/>
  <c r="M11" i="2" s="1" a="1"/>
  <c r="M11" i="2" s="1"/>
  <c r="L12" i="2" a="1"/>
  <c r="L12" i="2" s="1"/>
  <c r="M12" i="2" s="1" a="1"/>
  <c r="M12" i="2" s="1"/>
  <c r="L13" i="2" a="1"/>
  <c r="L13" i="2" s="1"/>
  <c r="M13" i="2" s="1" a="1"/>
  <c r="M13" i="2" s="1"/>
  <c r="L14" i="2" a="1"/>
  <c r="L14" i="2" s="1"/>
  <c r="M14" i="2" s="1" a="1"/>
  <c r="M14" i="2" s="1"/>
  <c r="L15" i="2" a="1"/>
  <c r="L15" i="2" s="1"/>
  <c r="M15" i="2" s="1" a="1"/>
  <c r="M15" i="2" s="1"/>
  <c r="L16" i="2" a="1"/>
  <c r="L16" i="2" s="1"/>
  <c r="M16" i="2" s="1" a="1"/>
  <c r="M16" i="2" s="1"/>
  <c r="L17" i="2" a="1"/>
  <c r="L17" i="2" s="1"/>
  <c r="M17" i="2" s="1" a="1"/>
  <c r="M17" i="2" s="1"/>
  <c r="L18" i="2" a="1"/>
  <c r="L18" i="2" s="1"/>
  <c r="M18" i="2" s="1" a="1"/>
  <c r="M18" i="2" s="1"/>
  <c r="L19" i="2" a="1"/>
  <c r="L19" i="2" s="1"/>
  <c r="M19" i="2" s="1" a="1"/>
  <c r="M19" i="2" s="1"/>
  <c r="L20" i="2" a="1"/>
  <c r="L20" i="2" s="1"/>
  <c r="M20" i="2" s="1" a="1"/>
  <c r="M20" i="2" s="1"/>
  <c r="L21" i="2" a="1"/>
  <c r="L21" i="2" s="1"/>
  <c r="M21" i="2" s="1" a="1"/>
  <c r="M21" i="2" s="1"/>
  <c r="L22" i="2" a="1"/>
  <c r="L22" i="2" s="1"/>
  <c r="M22" i="2" s="1" a="1"/>
  <c r="M22" i="2" s="1"/>
  <c r="L23" i="2" a="1"/>
  <c r="L23" i="2" s="1"/>
  <c r="M23" i="2" s="1" a="1"/>
  <c r="M23" i="2" s="1"/>
  <c r="L24" i="2" a="1"/>
  <c r="L24" i="2" s="1"/>
  <c r="M24" i="2" s="1" a="1"/>
  <c r="M24" i="2" s="1"/>
  <c r="L25" i="2" a="1"/>
  <c r="L25" i="2" s="1"/>
  <c r="M25" i="2" s="1" a="1"/>
  <c r="M25" i="2" s="1"/>
  <c r="L26" i="2" a="1"/>
  <c r="L26" i="2" s="1"/>
  <c r="M26" i="2" s="1" a="1"/>
  <c r="M26" i="2" s="1"/>
  <c r="L27" i="2" a="1"/>
  <c r="L27" i="2" s="1"/>
  <c r="M27" i="2" s="1" a="1"/>
  <c r="M27" i="2" s="1"/>
  <c r="L28" i="2" a="1"/>
  <c r="L28" i="2" s="1"/>
  <c r="M28" i="2" s="1" a="1"/>
  <c r="M28" i="2" s="1"/>
  <c r="L29" i="2" a="1"/>
  <c r="L29" i="2" s="1"/>
  <c r="M29" i="2" s="1" a="1"/>
  <c r="M29" i="2" s="1"/>
  <c r="L30" i="2" a="1"/>
  <c r="L30" i="2" s="1"/>
  <c r="M30" i="2" s="1" a="1"/>
  <c r="M30" i="2" s="1"/>
  <c r="L31" i="2" a="1"/>
  <c r="L31" i="2" s="1"/>
  <c r="M31" i="2" s="1" a="1"/>
  <c r="M31" i="2" s="1"/>
  <c r="L32" i="2" a="1"/>
  <c r="L32" i="2" s="1"/>
  <c r="M32" i="2" s="1" a="1"/>
  <c r="M32" i="2" s="1"/>
  <c r="L33" i="2" a="1"/>
  <c r="L33" i="2" s="1"/>
  <c r="M33" i="2" s="1" a="1"/>
  <c r="M33" i="2" s="1"/>
  <c r="L34" i="2" a="1"/>
  <c r="L34" i="2" s="1"/>
  <c r="M34" i="2" s="1" a="1"/>
  <c r="M34" i="2" s="1"/>
  <c r="L35" i="2" a="1"/>
  <c r="L35" i="2" s="1"/>
  <c r="M35" i="2" s="1" a="1"/>
  <c r="M35" i="2" s="1"/>
  <c r="L36" i="2" a="1"/>
  <c r="L36" i="2" s="1"/>
  <c r="M36" i="2" s="1" a="1"/>
  <c r="M36" i="2" s="1"/>
  <c r="L37" i="2" a="1"/>
  <c r="L37" i="2" s="1"/>
  <c r="M37" i="2" s="1" a="1"/>
  <c r="M37" i="2" s="1"/>
  <c r="L38" i="2" a="1"/>
  <c r="L38" i="2" s="1"/>
  <c r="M38" i="2" s="1" a="1"/>
  <c r="M38" i="2" s="1"/>
  <c r="L39" i="2" a="1"/>
  <c r="L39" i="2" s="1"/>
  <c r="M39" i="2" s="1" a="1"/>
  <c r="M39" i="2" s="1"/>
  <c r="L40" i="2" a="1"/>
  <c r="L40" i="2" s="1"/>
  <c r="M40" i="2" s="1" a="1"/>
  <c r="M40" i="2" s="1"/>
  <c r="L41" i="2" a="1"/>
  <c r="L41" i="2" s="1"/>
  <c r="M41" i="2" s="1" a="1"/>
  <c r="M41" i="2" s="1"/>
  <c r="L42" i="2" a="1"/>
  <c r="L42" i="2" s="1"/>
  <c r="M42" i="2" s="1" a="1"/>
  <c r="M42" i="2" s="1"/>
  <c r="L43" i="2" a="1"/>
  <c r="L43" i="2" s="1"/>
  <c r="M43" i="2" s="1" a="1"/>
  <c r="M43" i="2" s="1"/>
  <c r="L44" i="2" a="1"/>
  <c r="L44" i="2" s="1"/>
  <c r="M44" i="2" s="1" a="1"/>
  <c r="M44" i="2" s="1"/>
  <c r="L45" i="2" a="1"/>
  <c r="L45" i="2" s="1"/>
  <c r="M45" i="2" s="1" a="1"/>
  <c r="M45" i="2" s="1"/>
  <c r="L46" i="2" a="1"/>
  <c r="L46" i="2" s="1"/>
  <c r="M46" i="2" s="1" a="1"/>
  <c r="M46" i="2" s="1"/>
  <c r="L47" i="2" a="1"/>
  <c r="L47" i="2" s="1"/>
  <c r="M47" i="2" s="1" a="1"/>
  <c r="M47" i="2" s="1"/>
  <c r="L48" i="2" a="1"/>
  <c r="L48" i="2" s="1"/>
  <c r="M48" i="2" s="1" a="1"/>
  <c r="M48" i="2" s="1"/>
  <c r="L49" i="2" a="1"/>
  <c r="L49" i="2" s="1"/>
  <c r="M49" i="2" s="1" a="1"/>
  <c r="M49" i="2" s="1"/>
  <c r="L50" i="2" a="1"/>
  <c r="L50" i="2" s="1"/>
  <c r="M50" i="2" s="1" a="1"/>
  <c r="M50" i="2" s="1"/>
  <c r="L51" i="2" a="1"/>
  <c r="L51" i="2" s="1"/>
  <c r="M51" i="2" s="1" a="1"/>
  <c r="M51" i="2" s="1"/>
  <c r="L52" i="2" a="1"/>
  <c r="L52" i="2" s="1"/>
  <c r="M52" i="2" s="1" a="1"/>
  <c r="M52" i="2" s="1"/>
  <c r="L53" i="2" a="1"/>
  <c r="L53" i="2" s="1"/>
  <c r="M53" i="2" s="1" a="1"/>
  <c r="M53" i="2" s="1"/>
  <c r="L54" i="2" a="1"/>
  <c r="L54" i="2" s="1"/>
  <c r="M54" i="2" s="1" a="1"/>
  <c r="M54" i="2" s="1"/>
  <c r="L55" i="2" a="1"/>
  <c r="L55" i="2" s="1"/>
  <c r="M55" i="2" s="1" a="1"/>
  <c r="M55" i="2" s="1"/>
  <c r="L56" i="2" a="1"/>
  <c r="L56" i="2" s="1"/>
  <c r="M56" i="2" s="1" a="1"/>
  <c r="M56" i="2" s="1"/>
  <c r="L57" i="2" a="1"/>
  <c r="L57" i="2" s="1"/>
  <c r="M57" i="2" s="1" a="1"/>
  <c r="M57" i="2" s="1"/>
  <c r="L58" i="2" a="1"/>
  <c r="L58" i="2" s="1"/>
  <c r="M58" i="2" s="1" a="1"/>
  <c r="M58" i="2" s="1"/>
  <c r="L59" i="2" a="1"/>
  <c r="L59" i="2" s="1"/>
  <c r="M59" i="2" s="1" a="1"/>
  <c r="M59" i="2" s="1"/>
  <c r="L60" i="2" a="1"/>
  <c r="L60" i="2" s="1"/>
  <c r="M60" i="2" s="1" a="1"/>
  <c r="M60" i="2" s="1"/>
  <c r="L61" i="2" a="1"/>
  <c r="L61" i="2" s="1"/>
  <c r="M61" i="2" s="1" a="1"/>
  <c r="M61" i="2" s="1"/>
  <c r="L62" i="2" a="1"/>
  <c r="L62" i="2" s="1"/>
  <c r="M62" i="2" s="1" a="1"/>
  <c r="M62" i="2" s="1"/>
  <c r="L63" i="2" a="1"/>
  <c r="L63" i="2" s="1"/>
  <c r="M63" i="2" s="1" a="1"/>
  <c r="M63" i="2" s="1"/>
  <c r="L64" i="2" a="1"/>
  <c r="L64" i="2" s="1"/>
  <c r="M64" i="2" s="1" a="1"/>
  <c r="M64" i="2" s="1"/>
  <c r="L65" i="2" a="1"/>
  <c r="L65" i="2" s="1"/>
  <c r="M65" i="2" s="1" a="1"/>
  <c r="M65" i="2" s="1"/>
  <c r="L66" i="2" a="1"/>
  <c r="L66" i="2" s="1"/>
  <c r="M66" i="2" s="1" a="1"/>
  <c r="M66" i="2" s="1"/>
  <c r="L67" i="2" a="1"/>
  <c r="L67" i="2" s="1"/>
  <c r="M67" i="2" s="1" a="1"/>
  <c r="M67" i="2" s="1"/>
  <c r="L68" i="2" a="1"/>
  <c r="L68" i="2" s="1"/>
  <c r="M68" i="2" s="1" a="1"/>
  <c r="M68" i="2" s="1"/>
  <c r="L69" i="2" a="1"/>
  <c r="L69" i="2" s="1"/>
  <c r="M69" i="2" s="1" a="1"/>
  <c r="M69" i="2" s="1"/>
  <c r="L70" i="2" a="1"/>
  <c r="L70" i="2" s="1"/>
  <c r="M70" i="2" s="1" a="1"/>
  <c r="M70" i="2" s="1"/>
  <c r="L71" i="2" a="1"/>
  <c r="L71" i="2" s="1"/>
  <c r="M71" i="2" s="1" a="1"/>
  <c r="M71" i="2" s="1"/>
  <c r="L72" i="2" a="1"/>
  <c r="L72" i="2" s="1"/>
  <c r="M72" i="2" s="1" a="1"/>
  <c r="M72" i="2" s="1"/>
  <c r="L73" i="2" a="1"/>
  <c r="L73" i="2" s="1"/>
  <c r="M73" i="2" s="1" a="1"/>
  <c r="M73" i="2" s="1"/>
  <c r="L74" i="2" a="1"/>
  <c r="L74" i="2" s="1"/>
  <c r="M74" i="2" s="1" a="1"/>
  <c r="M74" i="2" s="1"/>
  <c r="L75" i="2" a="1"/>
  <c r="L75" i="2" s="1"/>
  <c r="M75" i="2" s="1" a="1"/>
  <c r="M75" i="2" s="1"/>
  <c r="L76" i="2" a="1"/>
  <c r="L76" i="2" s="1"/>
  <c r="M76" i="2" s="1" a="1"/>
  <c r="M76" i="2" s="1"/>
  <c r="L77" i="2" a="1"/>
  <c r="L77" i="2" s="1"/>
  <c r="M77" i="2" s="1" a="1"/>
  <c r="M77" i="2" s="1"/>
  <c r="L78" i="2" a="1"/>
  <c r="L78" i="2" s="1"/>
  <c r="M78" i="2" s="1" a="1"/>
  <c r="M78" i="2" s="1"/>
  <c r="L79" i="2" a="1"/>
  <c r="L79" i="2" s="1"/>
  <c r="M79" i="2" s="1" a="1"/>
  <c r="M79" i="2" s="1"/>
  <c r="L80" i="2" a="1"/>
  <c r="L80" i="2" s="1"/>
  <c r="M80" i="2" s="1" a="1"/>
  <c r="M80" i="2" s="1"/>
  <c r="L81" i="2" a="1"/>
  <c r="L81" i="2" s="1"/>
  <c r="M81" i="2" s="1" a="1"/>
  <c r="M81" i="2" s="1"/>
  <c r="L82" i="2" a="1"/>
  <c r="L82" i="2" s="1"/>
  <c r="M82" i="2" s="1" a="1"/>
  <c r="M82" i="2" s="1"/>
  <c r="L83" i="2" a="1"/>
  <c r="L83" i="2" s="1"/>
  <c r="M83" i="2" s="1" a="1"/>
  <c r="M83" i="2" s="1"/>
  <c r="L84" i="2" a="1"/>
  <c r="L84" i="2" s="1"/>
  <c r="M84" i="2" s="1" a="1"/>
  <c r="M84" i="2" s="1"/>
  <c r="L85" i="2" a="1"/>
  <c r="L85" i="2" s="1"/>
  <c r="M85" i="2" s="1" a="1"/>
  <c r="M85" i="2" s="1"/>
  <c r="L86" i="2" a="1"/>
  <c r="L86" i="2" s="1"/>
  <c r="M86" i="2" s="1" a="1"/>
  <c r="M86" i="2" s="1"/>
  <c r="L87" i="2" a="1"/>
  <c r="L87" i="2" s="1"/>
  <c r="M87" i="2" s="1" a="1"/>
  <c r="M87" i="2" s="1"/>
  <c r="L88" i="2" a="1"/>
  <c r="L88" i="2" s="1"/>
  <c r="M88" i="2" s="1" a="1"/>
  <c r="M88" i="2" s="1"/>
  <c r="L89" i="2" a="1"/>
  <c r="L89" i="2" s="1"/>
  <c r="M89" i="2" s="1" a="1"/>
  <c r="M89" i="2" s="1"/>
  <c r="L90" i="2" a="1"/>
  <c r="L90" i="2" s="1"/>
  <c r="M90" i="2" s="1" a="1"/>
  <c r="M90" i="2" s="1"/>
  <c r="L91" i="2" a="1"/>
  <c r="L91" i="2" s="1"/>
  <c r="M91" i="2" s="1" a="1"/>
  <c r="M91" i="2" s="1"/>
  <c r="L92" i="2" a="1"/>
  <c r="L92" i="2" s="1"/>
  <c r="M92" i="2" s="1" a="1"/>
  <c r="M92" i="2" s="1"/>
  <c r="L93" i="2" a="1"/>
  <c r="L93" i="2" s="1"/>
  <c r="M93" i="2" s="1" a="1"/>
  <c r="M93" i="2" s="1"/>
  <c r="L94" i="2" a="1"/>
  <c r="L94" i="2" s="1"/>
  <c r="M94" i="2" s="1" a="1"/>
  <c r="M94" i="2" s="1"/>
  <c r="L95" i="2" a="1"/>
  <c r="L95" i="2" s="1"/>
  <c r="M95" i="2" s="1" a="1"/>
  <c r="M95" i="2" s="1"/>
  <c r="L96" i="2" a="1"/>
  <c r="L96" i="2" s="1"/>
  <c r="M96" i="2" s="1" a="1"/>
  <c r="M96" i="2" s="1"/>
  <c r="L97" i="2" a="1"/>
  <c r="L97" i="2" s="1"/>
  <c r="M97" i="2" s="1" a="1"/>
  <c r="M97" i="2" s="1"/>
  <c r="L98" i="2" a="1"/>
  <c r="L98" i="2" s="1"/>
  <c r="M98" i="2" s="1" a="1"/>
  <c r="M98" i="2" s="1"/>
  <c r="L99" i="2" a="1"/>
  <c r="L99" i="2" s="1"/>
  <c r="M99" i="2" s="1" a="1"/>
  <c r="M99" i="2" s="1"/>
  <c r="L100" i="2" a="1"/>
  <c r="L100" i="2" s="1"/>
  <c r="M100" i="2" s="1" a="1"/>
  <c r="M100" i="2" s="1"/>
  <c r="L101" i="2" a="1"/>
  <c r="L101" i="2" s="1"/>
  <c r="M101" i="2" s="1" a="1"/>
  <c r="M101" i="2" s="1"/>
  <c r="L102" i="2" a="1"/>
  <c r="L102" i="2" s="1"/>
  <c r="M102" i="2" s="1" a="1"/>
  <c r="M102" i="2" s="1"/>
  <c r="L103" i="2" a="1"/>
  <c r="L103" i="2" s="1"/>
  <c r="M103" i="2" s="1" a="1"/>
  <c r="M103" i="2" s="1"/>
  <c r="L104" i="2" a="1"/>
  <c r="L104" i="2" s="1"/>
  <c r="M104" i="2" s="1" a="1"/>
  <c r="M104" i="2" s="1"/>
  <c r="L105" i="2" a="1"/>
  <c r="L105" i="2" s="1"/>
  <c r="M105" i="2" s="1" a="1"/>
  <c r="M105" i="2" s="1"/>
  <c r="L106" i="2" a="1"/>
  <c r="L106" i="2" s="1"/>
  <c r="M106" i="2" s="1" a="1"/>
  <c r="M106" i="2" s="1"/>
  <c r="L107" i="2" a="1"/>
  <c r="L107" i="2" s="1"/>
  <c r="M107" i="2" s="1" a="1"/>
  <c r="M107" i="2" s="1"/>
  <c r="L108" i="2" a="1"/>
  <c r="L108" i="2" s="1"/>
  <c r="M108" i="2" s="1" a="1"/>
  <c r="M108" i="2" s="1"/>
  <c r="L109" i="2" a="1"/>
  <c r="L109" i="2" s="1"/>
  <c r="M109" i="2" s="1" a="1"/>
  <c r="M109" i="2" s="1"/>
  <c r="L110" i="2" a="1"/>
  <c r="L110" i="2" s="1"/>
  <c r="M110" i="2" s="1" a="1"/>
  <c r="M110"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s="1"/>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s="1"/>
  <c r="I107" i="2" a="1"/>
  <c r="I107" i="2" s="1"/>
  <c r="I108" i="2" a="1"/>
  <c r="I108" i="2" s="1"/>
  <c r="I109" i="2" a="1"/>
  <c r="I109" i="2" s="1"/>
  <c r="I110" i="2" a="1"/>
  <c r="I110" i="2" s="1"/>
  <c r="A3" i="6" a="1"/>
  <c r="A3" i="6" s="1"/>
  <c r="N3" i="2" a="1"/>
  <c r="N3" i="2" s="1"/>
  <c r="O3" i="2" s="1" a="1"/>
  <c r="O3" i="2" s="1"/>
  <c r="J15" i="2" l="1"/>
  <c r="J17" i="2"/>
  <c r="D59" i="1"/>
  <c r="D60" i="1" s="1"/>
  <c r="J25" i="2"/>
  <c r="J18" i="2"/>
  <c r="J16" i="2"/>
  <c r="J19" i="2"/>
  <c r="J24" i="2"/>
  <c r="J22" i="2"/>
  <c r="D45" i="1"/>
  <c r="D52" i="1"/>
  <c r="D66" i="1"/>
  <c r="E66" i="1" s="1"/>
  <c r="D31" i="1"/>
  <c r="J21" i="2"/>
  <c r="J20" i="2"/>
  <c r="J23" i="2"/>
  <c r="D38" i="1"/>
  <c r="J4" i="2"/>
  <c r="J5" i="2"/>
  <c r="J6" i="2"/>
  <c r="J7" i="2"/>
  <c r="J8" i="2"/>
  <c r="J9" i="2"/>
  <c r="J10" i="2"/>
  <c r="J11" i="2"/>
  <c r="J12" i="2"/>
  <c r="J13" i="2"/>
  <c r="J14" i="2"/>
  <c r="J26" i="2"/>
  <c r="J27" i="2"/>
  <c r="J28"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6" i="2"/>
  <c r="J87" i="2"/>
  <c r="J88" i="2"/>
  <c r="J89" i="2"/>
  <c r="J90" i="2"/>
  <c r="J91" i="2"/>
  <c r="J92" i="2"/>
  <c r="J93" i="2"/>
  <c r="J94" i="2"/>
  <c r="J95" i="2"/>
  <c r="J96" i="2"/>
  <c r="J97" i="2"/>
  <c r="J98" i="2"/>
  <c r="J99" i="2"/>
  <c r="J100" i="2"/>
  <c r="J101" i="2"/>
  <c r="J102" i="2"/>
  <c r="J103" i="2"/>
  <c r="J104" i="2"/>
  <c r="J105" i="2"/>
  <c r="J106" i="2"/>
  <c r="J107" i="2"/>
  <c r="J108" i="2"/>
  <c r="J109" i="2"/>
  <c r="J110" i="2"/>
  <c r="J29" i="2"/>
  <c r="J85" i="2"/>
  <c r="J3" i="2"/>
  <c r="A3" i="4" a="1"/>
  <c r="E60" i="1" l="1"/>
  <c r="E67" i="1"/>
  <c r="A3" i="4"/>
  <c r="A3" i="8" a="1"/>
  <c r="A3" i="3" a="1"/>
  <c r="A3" i="5" a="1"/>
  <c r="A3" i="7" a="1"/>
  <c r="A3" i="7" s="1"/>
  <c r="D46" i="1"/>
  <c r="E46" i="1" s="1"/>
  <c r="D39" i="1"/>
  <c r="A3" i="8" l="1"/>
  <c r="A3" i="5"/>
  <c r="D53" i="1"/>
  <c r="E53" i="1" s="1"/>
  <c r="A3" i="3"/>
  <c r="E39" i="1"/>
  <c r="D32" i="1" l="1"/>
  <c r="E32" i="1" s="1"/>
  <c r="D50" i="1" s="1"/>
  <c r="D57" i="1" s="1"/>
  <c r="D29" i="1" s="1"/>
  <c r="D36" i="1" l="1"/>
  <c r="D44" i="1"/>
  <c r="E45" i="1" s="1"/>
  <c r="E22" i="1"/>
  <c r="D30" i="1"/>
  <c r="D25" i="1"/>
  <c r="D43" i="1"/>
  <c r="E44" i="1" s="1"/>
  <c r="E24" i="1"/>
  <c r="D51" i="1"/>
  <c r="D58" i="1"/>
  <c r="E59" i="1" s="1"/>
  <c r="E23" i="1"/>
  <c r="D37" i="1"/>
  <c r="E38" i="1" s="1"/>
  <c r="E30" i="1" l="1"/>
  <c r="E31" i="1"/>
  <c r="E51" i="1"/>
  <c r="E52" i="1"/>
  <c r="E37" i="1"/>
  <c r="E5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<sst xmlns="http://schemas.openxmlformats.org/spreadsheetml/2006/main" count="981" uniqueCount="453">
  <si>
    <t>CSR QA Report-new_version</t>
  </si>
  <si>
    <t>Report ID</t>
  </si>
  <si>
    <t>CSR_08/04/2026</t>
  </si>
  <si>
    <t>Generated doc</t>
  </si>
  <si>
    <t>AW version</t>
  </si>
  <si>
    <t>Sandbox</t>
  </si>
  <si>
    <t>Clean Ver</t>
  </si>
  <si>
    <t>Generated By</t>
  </si>
  <si>
    <t>Paras</t>
  </si>
  <si>
    <t>Date</t>
  </si>
  <si>
    <t>No. of Pages</t>
  </si>
  <si>
    <t>Remarks</t>
  </si>
  <si>
    <t>Generation Time</t>
  </si>
  <si>
    <t>Destination Template</t>
  </si>
  <si>
    <t>.docx - 2 pages</t>
  </si>
  <si>
    <t>Source Documents</t>
  </si>
  <si>
    <t>Mock_CSR Key messages_with_heading.docx</t>
  </si>
  <si>
    <t>Mock_CSR_Protocol.docx</t>
  </si>
  <si>
    <t>Mock_CSR _Tables_30Oct25.rtf</t>
  </si>
  <si>
    <t>Doc Type</t>
  </si>
  <si>
    <t>.docx</t>
  </si>
  <si>
    <t>.rtf</t>
  </si>
  <si>
    <t>Placeholder Analysis</t>
  </si>
  <si>
    <t>Accuracy Analysis</t>
  </si>
  <si>
    <t>Column1</t>
  </si>
  <si>
    <t>Column2</t>
  </si>
  <si>
    <t>Column3</t>
  </si>
  <si>
    <t>Column4</t>
  </si>
  <si>
    <t>Count</t>
  </si>
  <si>
    <t>Replaced</t>
  </si>
  <si>
    <t>Total Placeholders Identified</t>
  </si>
  <si>
    <t>Unique Placeholders</t>
  </si>
  <si>
    <t>Paragraph Placeholders</t>
  </si>
  <si>
    <t>Inline Placeholders</t>
  </si>
  <si>
    <t>List Placeholders</t>
  </si>
  <si>
    <t>Table Placeholders</t>
  </si>
  <si>
    <t>KeyValue Placeholders</t>
  </si>
  <si>
    <t>Inline placeholders</t>
  </si>
  <si>
    <t>Total Inline placeholders</t>
  </si>
  <si>
    <t>QA/Debugging ↓</t>
  </si>
  <si>
    <t>Inline Replaced</t>
  </si>
  <si>
    <t>Inline Replaced correctly</t>
  </si>
  <si>
    <t>Inline Formatted correctly</t>
  </si>
  <si>
    <t>Paragraph placeholders</t>
  </si>
  <si>
    <t>Total paragraph placeholders</t>
  </si>
  <si>
    <t>Paragraphs Replaced</t>
  </si>
  <si>
    <t>Paragraphs Replaced correctly</t>
  </si>
  <si>
    <t>Paragraphs Formatted correctly</t>
  </si>
  <si>
    <t>KeyValue placeholders</t>
  </si>
  <si>
    <t>KeyValues Replaced</t>
  </si>
  <si>
    <t>KeyValues Replaced correctly</t>
  </si>
  <si>
    <t>keyValues Formatted correctly</t>
  </si>
  <si>
    <t>Table placeholders</t>
  </si>
  <si>
    <t>Total Tables Expected</t>
  </si>
  <si>
    <t>Tables Replaced</t>
  </si>
  <si>
    <t>Tables content replaced correctly</t>
  </si>
  <si>
    <t>Tables Formatted correctly</t>
  </si>
  <si>
    <t>List placeholders</t>
  </si>
  <si>
    <t>List Tables Expected</t>
  </si>
  <si>
    <t>List Replaced</t>
  </si>
  <si>
    <t>List content replaced correctly</t>
  </si>
  <si>
    <t>List Formatted correctly</t>
  </si>
  <si>
    <t>Figure placeholders</t>
  </si>
  <si>
    <t>Total Figure Expected</t>
  </si>
  <si>
    <t>Figure Replaced</t>
  </si>
  <si>
    <t>Figure content replaced correctly</t>
  </si>
  <si>
    <t>Figure Formatted correctly</t>
  </si>
  <si>
    <t>KeyVaule</t>
  </si>
  <si>
    <t>Table</t>
  </si>
  <si>
    <t>List</t>
  </si>
  <si>
    <t>Paragraph</t>
  </si>
  <si>
    <t xml:space="preserve">Inline </t>
  </si>
  <si>
    <t>Placeholder</t>
  </si>
  <si>
    <t>Placeholder Type</t>
  </si>
  <si>
    <t>Expected Value</t>
  </si>
  <si>
    <t>Source Document</t>
  </si>
  <si>
    <t>Writing instruction</t>
  </si>
  <si>
    <t>AI Replaced Text</t>
  </si>
  <si>
    <t xml:space="preserve">Ai detected Source </t>
  </si>
  <si>
    <t>Matching Accuracy</t>
  </si>
  <si>
    <t>Similarity Score</t>
  </si>
  <si>
    <t>Source Match</t>
  </si>
  <si>
    <t>Expected Rows</t>
  </si>
  <si>
    <t>Expected Colunms</t>
  </si>
  <si>
    <t>Expected Footnote</t>
  </si>
  <si>
    <t>AI replaced Rows</t>
  </si>
  <si>
    <t>AI replaced Colunms</t>
  </si>
  <si>
    <t>AI replaced Footnotes</t>
  </si>
  <si>
    <t>Alignment(yes/no)</t>
  </si>
  <si>
    <t>Status</t>
  </si>
  <si>
    <t>Number of point</t>
  </si>
  <si>
    <t>AI Number of point</t>
  </si>
  <si>
    <t>Point matching(yes/no)</t>
  </si>
  <si>
    <t>Status(with formula)</t>
  </si>
  <si>
    <t>Header Availablity</t>
  </si>
  <si>
    <t>AI Header Availablity</t>
  </si>
  <si>
    <t>Status(True/false)</t>
  </si>
  <si>
    <t>&lt;Sponsor's Name&gt;</t>
  </si>
  <si>
    <t>Inline</t>
  </si>
  <si>
    <t>Stendarr, Inc</t>
  </si>
  <si>
    <t>Sponsor</t>
  </si>
  <si>
    <t>&lt;Study Title&gt;</t>
  </si>
  <si>
    <t>A First-In-Human, Phase 1, Randomized, Double-Blind, Placebo-Controlled Study to Evaluate the Safety, Tolerability, and Pharmacokinetics of ABC-123 as a Single Dose in Healthy Participants and as Multiple Doses in Participants with Grade 2 Boneitis</t>
  </si>
  <si>
    <t>Insert the full official study title as a formatted paragraph.</t>
  </si>
  <si>
    <t>&lt;Investigational Drug Name&gt;</t>
  </si>
  <si>
    <t>KeyValue</t>
  </si>
  <si>
    <t>ABC-123</t>
  </si>
  <si>
    <t>Provide the investigational drug name in concise format.</t>
  </si>
  <si>
    <t>&lt;Insert Disease Name&gt;</t>
  </si>
  <si>
    <t>Boneitis</t>
  </si>
  <si>
    <t>Insert the disease name as referenced in the protocol.</t>
  </si>
  <si>
    <t>&lt;Protocol Identification (Code or Number)&gt;</t>
  </si>
  <si>
    <t>SKY-2000-101</t>
  </si>
  <si>
    <t>Provide the protocol identification code or number in the precise format as found in the context.</t>
  </si>
  <si>
    <t>Provide the investigational drug name in concise form.</t>
  </si>
  <si>
    <t>&lt;IND Number&gt;</t>
  </si>
  <si>
    <t>Provide the IND number in numeric format.</t>
  </si>
  <si>
    <t>&lt;PHASE X&gt;</t>
  </si>
  <si>
    <t>Phase 1</t>
  </si>
  <si>
    <t>Return the study phase in the format 'Phase X', matching the placeholder format.</t>
  </si>
  <si>
    <t>&lt;Sponsor's Address&gt;</t>
  </si>
  <si>
    <t>123 Fake Street
Anytown, CO
USA 80002</t>
  </si>
  <si>
    <t>Provide the Sponsor's name exactly as stated in the authoritative context.</t>
  </si>
  <si>
    <t>&lt;Sponsor&gt;</t>
  </si>
  <si>
    <t>Insert the Sponsor name inline, matching the format and continuity of the surrounding text.</t>
  </si>
  <si>
    <t>Stendarr, Inc.</t>
  </si>
  <si>
    <t>&lt;Synopsis&gt;</t>
  </si>
  <si>
    <t>A First-In-Human, Phase 1, Randomized, Double-Blind, Placebo-Controlled Study to Evaluate the Safety, Tolerability, and Pharmacokinetics of ABC-123 as a Single Dose in Healthy Participants and as Multiple Doses in Participants with Grade 2 Boneitis.Short Title: Phase 1 RCT of ABC-123 in healthy participants (SAD) and participants with boneitis (repeat-dose)</t>
  </si>
  <si>
    <t>Provide a brief synopsis summarizing the protocol title and short title for the study.</t>
  </si>
  <si>
    <t xml:space="preserve">A First-In-Human, Phase 1, Randomized, Double-Blind, Placebo-Controlled Study to Evaluate the Safety, Tolerability, and Pharmacokinetics of ABC-123 as a Single Dose in Healthy Participants and as Multiple Doses in Participants with Grade 2 Boneitis.Short Title: Phase 1 RCT of ABC-123 in healthy participants (SAD) and participants with boneitis (repeat-dose) </t>
  </si>
  <si>
    <t>yes</t>
  </si>
  <si>
    <t>no</t>
  </si>
  <si>
    <t>&lt;xx study centers by xx investigators&gt;</t>
  </si>
  <si>
    <t>Replace the placeholder with the number of study centers and investigators if available.</t>
  </si>
  <si>
    <t xml:space="preserve">in cooperation with a number of support organizations (Table 1). A list of investigators and other important participants in the study is provided in Appendix 16.1.4.  
Signatures of the Coordinating Investigator and the Sponsor's responsible medical officer are included in Appendix 16.1.5.  </t>
  </si>
  <si>
    <t>&lt;Company Name&gt;</t>
  </si>
  <si>
    <t>Insert the company name associated with the study, matching the format of the placeholder.</t>
  </si>
  <si>
    <t>Clinovance Solutions, Inc</t>
  </si>
  <si>
    <t>&lt;Company Address&gt;</t>
  </si>
  <si>
    <t>Insert the official company address in standard format.</t>
  </si>
  <si>
    <t xml:space="preserve">Clinovance Solutions, Inc.
582 Clinical Trail Blvd
San Mate, CO 944
USA </t>
  </si>
  <si>
    <t>&lt;Medical Monitor Name&gt;</t>
  </si>
  <si>
    <t>Karliah N. Gale, MD</t>
  </si>
  <si>
    <t>Provide the full name of the Medical Monitor if available; otherwise, leave blank.</t>
  </si>
  <si>
    <t>Michael Yu </t>
  </si>
  <si>
    <t>&lt;Introduction&gt;</t>
  </si>
  <si>
    <t>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The cadmium quantum shift flipper is a G protein-coupled receptor (GPCR), which is characterized by high levels of whomp and activated by promethium. Promethium activation has also been shown to lead to the phosphorylation and activation of mitogen-activated protein kinases. Compelling evidence from nonclinical studies suggests that the mekkalekka is enfrazzled on the snoot in up to 80% of cases.  Whomp is predominantly upregulated in the grudgeon cells in murine models of boneitis. Pharmacological inhibition by blorp induction ameliorates whomp, inhibits spasms in the superior noidal zone, and prevents hyperfractal embarkation.</t>
  </si>
  <si>
    <t>Write a concise introductory paragraph summarizing the investigational product, indication, study objectives, and population.</t>
  </si>
  <si>
    <t xml:space="preserve">ABC-123, a triolic gluon fragmentator, is being investigated for the treatment of lurgi, a condition that leads to boneitis and may require surgical interventions such as partial or complete brainectomy. The study aims to evaluate the safety, tolerability, and potentially the pharmacodynamics of ABC-123 by targeting the cadmium quantum shift flipper, which may reduce the risk of boneitis. The study includes patients with lurgi, a population with high unmet medical need, and utilizes a design that allows for meaningful exposure over 2 to 4 weeks, even with a single high-end dose. </t>
  </si>
  <si>
    <t>&lt;Background Information&gt;</t>
  </si>
  <si>
    <t>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This is a first-in-human study. It is intended to provide the initial safety, PK, and pharmacology data for ABC-123 in humans</t>
  </si>
  <si>
    <t>Write a concise background paragraph summarizing the investigational product, its mechanism, class, preclinical evidence, and first-in-human study context.</t>
  </si>
  <si>
    <t>ABC-123 is a triolic gluon fragmentator, classified as a blorp inductor composed of binkles and fram. Blorp inductors are characterized by a long half-life, enabling weekly or monthly dosing, and are generally poorly penetrant to the CNS, which may reduce the risk of boneitis seen in patients with lurgi. This first-in-human study aims to establish the initial safety, pharmacokinetics, and pharmacology of ABC-123. Preclinical studies have demonstrated that ABC-123 is a potent, selective monoclonal antibody antagonist and inverse agonist of human and monkey grudgeon cells, protecting these cells in vitro and showing pharmacological activity in peripheral tissues without brain involvement. The safety profile of related blorp inductors has been favorable outside CNS effects, with gastrointestinal adverse events being most common. The current study is designed to address the unmet need for a safe and effective peripheral blorp inductor, given the limitations of previous agents. More details on the benefits, risks, and adverse events are available in the Investigator’s Brochure</t>
  </si>
  <si>
    <t>&lt;Rationale for the study&gt;</t>
  </si>
  <si>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</si>
  <si>
    <t>Summarize why the study was conducted, how the design addresses early development goals (safety, tolerability, PK, PD), and justify population, dosing, and exploratory objectives.</t>
  </si>
  <si>
    <t>This first-in-human, Phase 1 study of ABC-123 was conducted to establish the safety, tolerability, and pharmacokinetics (PK) of the drug in healthy volunteers and in participants with Grade 2 boneitis. The study design includes a single ascending dose (SAD) phase in healthy subjects, supporting the evaluation of safety and PK over up to 28 days, followed by a repeat-dose exploratory efficacy phase in patients with boneitis. The selected study populations and dosing strategies are intended to provide initial human safety and PK data, support dose selection, and inform subsequent studies. Additionally, the study explores phenotypic, genotypic, and biochemical biomarkers to identify patients most likely to respond to ABC-123. The rationale for this approach is supported by nonclinical pharmacology and safety data, which demonstrate the compound's selectivity and tolerability, and by the need to characterize ABC-123's effects prior to advancing to larger clinical studies</t>
  </si>
  <si>
    <t>&lt;Benefit and Risk assessment&gt;</t>
  </si>
  <si>
    <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t>
  </si>
  <si>
    <t>Summarize the risks, potential benefits, and overall benefit–risk conclusion for ABC-123 based on study data in a structured paragraph.</t>
  </si>
  <si>
    <t xml:space="preserve"> ABC-123 has not been studied in humans; risk assessment is based on nonclinical data and analogous therapies. No known risks, including CNS-associated risks, have been observed in nonclinical pharmacology and safety studies. However, potential risks include adverse reactions to the investigational product, discomfort from subcutaneous injections or study procedures, and CNS-associated effects seen with similar therapies (such as amphibious jocularity, levitation, and the crunge). Additional risks observed with blorp inductors include gastrointestinal events (nausea, diarrhea, vomiting), asthenia/fatigue, hot flushes, and dizziness. Participants will be closely monitored for adverse effects.Potential Benefits: As this is a non-therapeutic study in healthy volunteers and participants with boneitis, direct clinical benefit is not assured. Potential benefits include contributing to the development of new therapies in an area of unmet need and receiving medical evaluations associated with study procedures. There may or may not be an impact on disease progression for participants with boneitis.Overall Benefit–Risk Conclusion: The prior safety experience with similar therapies, lack of brain penetration in nonclinical studies, and absence of significant adverse findings in animal studies support the conduct of this study. The anticipated benefits to medical and scientific knowledge justify the potential risks, which are minimized through appropriate monitoring and dose escalation. Overall, the benefit–risk assessment is considered favorable for participation in this study. </t>
  </si>
  <si>
    <t>&lt;Risk assessment&gt;</t>
  </si>
  <si>
    <t>There are no known risks, including CNS-associated risks, that have been observed in nonclinical pharmacology and safety studies of ABC-123.
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Additional risks observed in clinical studies with blorp inductors include gastrointestinal adverse events (primarily nausea, diarrhea, and vomiting), asthenia/fatigue, hot flushes, and dizziness.
Participants will be monitored closely for the development of adverse effects that may result from study drug administration</t>
  </si>
  <si>
    <t>Summarize the risks identified for ABC-123, referencing TEAEs, SAEs, discontinuations, theoretical risks, and risk mitigation measures; conclude with a high-level safety profile overview.</t>
  </si>
  <si>
    <t xml:space="preserve">ABC-123 has not been studied in humans; therefore, risk assessment is based on nonclinical data and literature on similar therapies. No known risks, including CNS-associated risks, were observed in nonclinical pharmacology and safety studies of ABC-123. Theoretical risks, based on the drug’s mechanism and experience with similar blorp inductors, include CNS-associated adverse effects (such as amphibious jocularity, levitation, and the crunge), as well as gastrointestinal events (nausea, diarrhea, vomiting), asthenia/fatigue, hot flushes, and dizziness. There were no observed treatment-emergent adverse events (TEAEs), serious adverse events (SAEs), or discontinuations due to adverse events in the nonclinical studies. Risk mitigation measures include close monitoring of participants for CNS and other adverse effects, with ongoing assessment until sufficient clinical data are available to discharge these risks. Overall, the safety profile of ABC-123 is considered favorable based on available nonclinical data, with a low risk of CNS or other significant adverse events anticipated. </t>
  </si>
  <si>
    <t>&lt;Benefit assessment&gt;</t>
  </si>
  <si>
    <t>This is a non-therapeutic study in healthy volunteers (SAD component) and participants with boneitis (repeat-dose component). Potential benefits for participants in the study may include:
● Contributing to the process of developing new therapies in an area of unmet need
● Medical evaluations/assessments associated with study procedures (eg, physical examination, electrocardiogram [ECG], laboratory assessments).</t>
  </si>
  <si>
    <t>Summarize the benefit assessment for ABC-123, emphasizing nonclinical evidence, participant contributions, and the clinical need for new therapies for boneitis due to lurgi.</t>
  </si>
  <si>
    <t>NA</t>
  </si>
  <si>
    <t>&lt;Overall Benefit: Risk Conclusion&gt;</t>
  </si>
  <si>
    <t>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t>
  </si>
  <si>
    <t>Write a neutral, data-driven paragraph summarizing the overall benefit-risk conclusion, referencing safety findings and justification for continued development of ABC-123.</t>
  </si>
  <si>
    <t>The overall benefit-risk assessment for ABC-123 is favorable for participation in this study. The prior safety experience with blorp inductors, the lack of brain penetration demonstrated in nonclinical studies, and the absence of significant adverse findings in the 13-week monkey toxicology study support the conduct of this study. The potential risks identified are justified in light of the anticipated benefits to medical and scientific knowledge, and can be minimized through appropriate monitoring and dose escalation. Based on the available data and the participant population to be studied, the benefit-risk profile supports continued development of ABC-123 at this stage.</t>
  </si>
  <si>
    <t>&lt;Table Objectives and Endpoints&gt;</t>
  </si>
  <si>
    <t>● To assess the safety and tolerability after 4 weeks of exposure following single ascending doses of ABC-123 ● Number of participants with serious and other nonserious AEs
Secondary
● To assess the safety and tolerability following repeated doses over 4 weeks of ABC-123 ● Number of participants with serious and other nonserious AEs
● To characterize PK of ABC-123 following single ascending doses ● Cmax and AUClast
● To characterize the PK of ABC-123 following repeated doses ● Cmax and AUClast
Exploratory
● To explore additional PK characteristics of ABC-123 following single ascending doses ● Tmax, Clast, Tlast, AUCinf, CL, V, and t1/2
● To explore additional PK characteristics of ABC-123 following repeated doses ● Tmax, Clast, Tlast, AUCinf, CL, V, and t1/2
● To explore effects of ABC-123 on clinical laboratory assessments, 12-lead ECG, and vital signs following single ascending doses ● Incidence of clinically significant changes in laboratory parameters, 12-lead ECG parameters, and vital signs measurements
● To explore effects of ABC-123 on clinical laboratory assessments, 12-lead ECG, and vital signs following repeated doses ● Incidence of clinically significant changes in laboratory parameters, 12-lead ECG parameters, and vital signs measurements
● To explore the impact of ADA on the PK profile of ABC-123 following single ascending doses ● Impact of ADA on AUC or impact on overall exposure of ABC-123
● To explore the impact of ADA on the PK profile of ABC-123 following repeated doses ● Impact of ADA on AUC or impact on overall exposure of ABC-123
● To explore the effects on eating behavior in participants following single ascending doses of ABC-123 ● Hunger, satiety, and appetite VAS scores
Abbreviations: ADA = antidrug antibodies; AE = adverse event.</t>
  </si>
  <si>
    <t>Insert the table(s) listing study objectives and endpoints by matching semantic caption text.</t>
  </si>
  <si>
    <t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t>
  </si>
  <si>
    <t>Abbreviations: ADA = antidrug antibodies; AE = adverse event.</t>
  </si>
  <si>
    <t>Abbreviations: ADA = antidrug antibodies; AE = adverse event</t>
  </si>
  <si>
    <t>&lt;Insert Study Parts&gt;</t>
  </si>
  <si>
    <t xml:space="preserve">A First-In-Human, Phase 1, Randomized, Double-Blind, Placebo-Controlled Study to Evaluate the Safety, Tolerability, and Pharmacokinetics of ABC-123 as a Single Dose in Healthy Participants and as Multiple Doses in Participants with Grade 2 Boneitis </t>
  </si>
  <si>
    <t>Provide a concise inline summary of the study parts as specified in the protocol.</t>
  </si>
  <si>
    <t xml:space="preserve">the single-dose and multiple-dose parts of the study are presented in Table 3. </t>
  </si>
  <si>
    <t>&lt;Figure X&gt;</t>
  </si>
  <si>
    <t>&lt;Date of Report&gt;</t>
  </si>
  <si>
    <t>Insert the report date in the format DD Month YYYY for inline continuity after 'Page 1 of'.</t>
  </si>
  <si>
    <t>&lt;Table: Insert SOA Table (s): Schedule of Activities&gt;</t>
  </si>
  <si>
    <t>Insert the Schedule of Activities tables (both Single Ascending Dose and Repeat-Dose) by referencing their existing captions.</t>
  </si>
  <si>
    <t xml:space="preserve">
Study Procedures (Day) 
In-Residence Period 
Follow-up Period Cohorts 4+ 
Follow-up Period Cohorts 1-3 
Screening 
Day 1 
Day 2 
Day 3 
Day 4 
Day 5 
Day 6 
Day 7 
Day 8 
Day 9 
Day 10 
Day 11 
Day 15 
Day 22 
Day 29 
Day 43 
Day 57 
Follow-up / ED 71 
Safety and tolerability: 
Immunogenicity assessment (ADA) 
X 
X 
X 
X 
X 
X 
X 
X 
X 
X 
X 
X 
X 
Clinical laboratory evaluations(chemistry, hematology, and urinalysis) 
X 
X 
X 
X 
X 
X 
X 
X 
X 
X 
X 
X 
X 
X 
X 
Adverse event inquiry 
X 
X 
X 
X 
X 
X 
X 
X 
X 
X 
X 
X 
X 
X 
X 
X 
X 
X 
Prior/concomitant medication monitoring 
X 
X 
X 
X 
X 
X 
X 
X 
X 
X 
X 
X 
X 
X 
X 
X 
X 
X 
Blood pressure, pulse rate, pulseoximetry/oxygen saturation, respiratory rate 
X 
X 
X 
X 
X 
X 
X 
X 
X 
X 
X 
X 
X 
X 
Body temperature 
X 
X 
X 
X 
X 
X 
X 
X 
X 
X 
X 
X 
X 
X 
Single safety 12-lead ECG 
X 
X 
Triplicate 12-lead ECG 
X 
X 
X 
X 
X 
X 
X 
X 
X 
Physical examination 
X 
X 
X 
X 
X 
X 
X 
X 
X 
X 
X 
X 
X 
</t>
  </si>
  <si>
    <t>&lt;Study Design Justification&gt;</t>
  </si>
  <si>
    <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t>
  </si>
  <si>
    <t>Summarize the justification for the study design, including its methodological rationale and objectives.</t>
  </si>
  <si>
    <t>&lt;Dose Justification&gt;</t>
  </si>
  <si>
    <t>The planned clinical starting dose in healthy volunteers (HVs) is a single dose of 5 mg of ABC-123 administered as an SC injection. The planned maximum dose is 600 mg.
The clinical starting dose is based on an integrated approach supported by the Good Laboratory Practice (GLP) toxicology study approach, the minimal cytokine change, expected 10% receptor occupancy (RO) attained at maximum observed serum concentration (Cmax), and utilizing the minimal anticipated biological effect level (MABEL) based on the half-maximal inhibitory concentration (IC50) of ABC-123 on binding and inhibition of blorp induction.
The 13-week GLP toxicology study was conducted in cynomolgus monkey, as this is the most relevant species for evaluation based on in vitro cross-reactivity (study SKY-123_Nonclin_456). The no observed adverse effect level (NOAEL) in this study was 300 mg/kg. In addition, there is a 1.13-fold difference in binding of ABC-123 in monkey to human blorp; therefore, the human equivalent dose of the NOAEL is 265.5 mg/kg. Based on the maximum recommended starting dose (MRSD) guidance, a factor of 10 can be used to determine the maximum allowable starting dose, with an estimated maximum starting dose of 26.5 mg/kg of ABC-123.
The planned starting dose of 5 mg given as a single SC injection in HVs is expected to be 318-fold lower than the dose supported by the GLP toxicology study. Starting at the dose of 5 mg will ensure full characterization of safety, PK, and PD of ABC-123.</t>
  </si>
  <si>
    <t>Summarize the rationale and supporting data for the clinical starting dose of ABC-123, including toxicology study results, safety factors, and dosing calculations.</t>
  </si>
  <si>
    <t>The clinical starting dose of ABC-123 in healthy volunteers is 5 mg administered as a single subcutaneous injection, with a planned maximum dose of 600 mg. This starting dose was determined using an integrated approach, including GLP toxicology studies, minimal cytokine changes, and anticipated biological effect levels. The 13-week GLP toxicology study in cynomolgus monkeys identified a NOAEL of 300 mg/kg, and after accounting for species differences, the human equivalent dose is 265.5 mg/kg. Applying a safety factor of 10, the estimated maximum recommended starting dose is 26.5 mg/kg. The selected 5 mg dose is 318-fold lower than the dose supported by toxicology data, ensuring a conservative approach for safety, pharmacokinetic, and pharmacodynamic assessment</t>
  </si>
  <si>
    <t>&lt;Number list of inclusion criteria&gt;</t>
  </si>
  <si>
    <t>1. Understands study procedures and voluntarily provides written informed consent.
2. Willing and able to abide by the study restrictions, including the lifestyle considerations in Section 5.3.
3. Willing and able to complete all study visits, in-residence requirements, and procedures.
4. 18 to 65 years of age at the time of signing informed consent.
5. Body mass index (BMI) between 18.0 and 35.0 kg/m2, inclusive, at Screening.
6. Female participants will be of non-childbearing potential (refer to Section 10.5 [Appendix 5] for definition of non-childbearing potential).
7. Male participants will agree to use contraception while on study intervention and for at least 6 months after the last dose of study intervention.
8.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9.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</si>
  <si>
    <t>Write a numbered list of inclusion criteria for study participant eligibility, using protocol language.</t>
  </si>
  <si>
    <t xml:space="preserve">Understands study procedures and voluntarily provides written informed consent. 
Willing and able to abide by the study restrictions, including the lifestyle considerations in the protocol.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protocol for definition).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conditions as specified in the protocol. </t>
  </si>
  <si>
    <t>Yes</t>
  </si>
  <si>
    <t>&lt;Removal of Patients from Therapy or Assessment&gt;</t>
  </si>
  <si>
    <t>Write a concise paragraph explaining the process and criteria for removal of patients from therapy or assessment, if available.</t>
  </si>
  <si>
    <t>&lt;Criteria for Discontinuation/Withdrawal From the Study&gt;</t>
  </si>
  <si>
    <t>Summarize the criteria and process for discontinuation or withdrawal from the study intervention.</t>
  </si>
  <si>
    <t>&lt;Lost to Follow-Up&gt;</t>
  </si>
  <si>
    <t>A participant will be considered lost to follow-up if he or she repeatedly fails to return for scheduled visits and is unable to be contacted by the study site.
The following actions must be taken if a participant fails to return to the clinic for a required study visit:
● The site must attempt to contact the participant and reschedule the missed visit as soon as possible and counsel the participant on the importance of maintaining the assigned visit schedule and ascertain whether the participant wishes to and/or should continue in the study.
● Before a participant is deemed lost to follow-up, the Investigator or designee must make every effort to regain contact with the participant (where possible, 3 telephone calls and, if necessary, a certified letter to the participant’s last known mailing address or local equivalent methods). These contact attempts should be documented in the participant’s medical record.
● Should the participant continue to be unreachable, he/she will be considered to have withdrawn from the study.</t>
  </si>
  <si>
    <t>Summarize the definition and procedural requirements for lost to follow-up as described in the protocol.</t>
  </si>
  <si>
    <t>A participant is considered lost to follow-up if they repeatedly fail to return for scheduled visits and cannot be contacted by the study site. Before classifying a participant as lost to follow-up, the Investigator or designee must make every effort to re-establish contact, including at least three telephone calls and, if necessary, sending a certified letter to the participant’s last known address or using local equivalent methods. All contact attempts should be documented in the participant’s medical record.</t>
  </si>
  <si>
    <t>&lt;Treatments Administered&gt;</t>
  </si>
  <si>
    <t>Summarize the treatments administered to study participants, including dosing, administration, and allowed concomitant medications.</t>
  </si>
  <si>
    <t xml:space="preserve">Participants in the study received either ABC-123 or placebo. In healthy volunteers, ABC-123 was administered as a single subcutaneous dose, with the planned clinical starting dose being 5 mg and a maximum dose of 600 mg. In the repeat-dose cohort, participants with Grade 2 Boneitis continued their usual boneitis treatment alongside study intervention. Concomitant medications for lurgi, sporadic invisibility, and Fink-Nottle syndrome had to be stable for at least 30 days prior to screening and could not be changed during the study unless approved by the investigator. Saline, lidocaine, and paracetamol/acetaminophen (up to 2 g/day for 3 days) were permitted as needed for study procedures. </t>
  </si>
  <si>
    <t>&lt;Investigational drug Name&gt;</t>
  </si>
  <si>
    <t>Insert the investigational drug name in a concise inline format.</t>
  </si>
  <si>
    <t>&lt;Name &gt;</t>
  </si>
  <si>
    <t>Replace the placeholder with the relevant name if present; otherwise, leave blank.</t>
  </si>
  <si>
    <t>&lt;Dosage Formulation&gt;</t>
  </si>
  <si>
    <t>Injectable solution</t>
  </si>
  <si>
    <t>&lt;Unit Dose strength (s)&gt;</t>
  </si>
  <si>
    <t>150 mg/mL</t>
  </si>
  <si>
    <t>&lt;Dose level&gt;</t>
  </si>
  <si>
    <t>State the dose level for the study, matching the format and detail provided in context.</t>
  </si>
  <si>
    <t>5 mg (proposed starting dose level for SAD), with approximate half-log escalations.</t>
  </si>
  <si>
    <t>&lt;Route of Administration &gt;</t>
  </si>
  <si>
    <t>Subcutaneous</t>
  </si>
  <si>
    <t>subcutaneous</t>
  </si>
  <si>
    <t>&lt;Number of injections and volume &gt;</t>
  </si>
  <si>
    <t>Proposed dose level: 150 mg every other week for 3 doses (to be confirmed based on SAD data)</t>
  </si>
  <si>
    <t>&lt;Packaging and Labelling&gt;</t>
  </si>
  <si>
    <t>ABC-123 will be provided in glass vials. Each vial will be labeled as required per FDA requirements.</t>
  </si>
  <si>
    <t>&lt;Lot Number&gt;</t>
  </si>
  <si>
    <t>Provide the lot number in a concise format if present; otherwise, return no replacement.</t>
  </si>
  <si>
    <t>&lt;Manufacturer&gt;</t>
  </si>
  <si>
    <t>Provide the manufacturer's name in a concise format.</t>
  </si>
  <si>
    <t>&lt;Storage&gt;</t>
  </si>
  <si>
    <t>≤ -60°C freezer in accordance with the labeled storage conditions with access limited to the Investigator and authorized site staff</t>
  </si>
  <si>
    <t>Provide the storage information in a concise, inline format, matching the placeholder style.</t>
  </si>
  <si>
    <t>&lt;Protocol Number&gt;</t>
  </si>
  <si>
    <t>Insert the protocol number in the format used in the source protocol document.</t>
  </si>
  <si>
    <t>&lt;Version X.0&gt;</t>
  </si>
  <si>
    <t>Provide the protocol version number in the format 'Version X.0' if available.</t>
  </si>
  <si>
    <t>Appendix 16.1.1</t>
  </si>
  <si>
    <t>&lt;Method of Assigning Patients to Treatment Groups&gt;</t>
  </si>
  <si>
    <t>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t>
  </si>
  <si>
    <t>Participants were assigned to either the active treatment or placebo group according to a randomization schedule prepared by an unblinded statistician, ensuring allocation concealment and maintenance of the study blind</t>
  </si>
  <si>
    <t>&lt;Selection of Doses in the Study&gt;</t>
  </si>
  <si>
    <t>Dose selection in this study is based on safety, tolerability, and pharmacokinetic (PK) data obtained during the single ascending dose (SAD) phase. The planned dose increments during the SAD phase will not exceed half-log steps (approximately 3.3-fold). For the repeat-dose cohort, the selected dose will not exceed 50% of a dose previously shown to be safe and well tolerated in the SAD cohort, accounting for anticipated accumulation. The final dose and regimen will be determined by ongoing safety and PK findings</t>
  </si>
  <si>
    <t>&lt;Selection and Timing of Dose for Each Participant&gt;</t>
  </si>
  <si>
    <t>Summarize the protocol's approach to dose selection and timing for each participant, referencing escalation and safety review procedures.</t>
  </si>
  <si>
    <t xml:space="preserve">Dose selection for each participant in the study will be based on available clinical, laboratory safety, and pharmacokinetic data from previously dosed cohorts. During the SAD phase, dose increments will not exceed half-log (approximately 3.3-fold) increases. Further details on dose selection and modifications are provided in the protocol. The timing and escalation of doses are designed to ensure participant safety and to optimize the assessment of ABC-123 in both healthy volunteers and participants with boneitis. </t>
  </si>
  <si>
    <t>&lt;Blinding&gt;</t>
  </si>
  <si>
    <t>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(Section 6.6.1).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t>
  </si>
  <si>
    <t>Summarize the blinding procedures and criteria for unblinding in the study.</t>
  </si>
  <si>
    <t>The study is conducted in a double-blind manner, with participants assigned to either active treatment or placebo based on a randomization schedule prepared by an unblinded statistician. Blinding is maintained throughout the study, and treatment assignments are only unblinded in emergencies when knowledge of the intervention is necessary for clinical management or to assess dose-limiting toxicity. Any unblinding outside these circumstances is considered a protocol deviation, and the Sponsor must be notified within 24 hours if the blind is broken.</t>
  </si>
  <si>
    <t>&lt;Prohibited Medication&gt;</t>
  </si>
  <si>
    <t>This study will collect samples for biomarker assessments in all 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t>
  </si>
  <si>
    <t>Summarize the study's restrictions on prohibited medications, including exceptions and cohort-specific requirements.</t>
  </si>
  <si>
    <t xml:space="preserve">Use of any prescription or nonprescription medications or nutritional products, including vitamins (except ongoing multivitamin supplement), minerals, and herbal or plant-derived preparations, is not permitted from Screening until the end of the study for SAD cohorts, unless deemed acceptable by the Investigator. For repeat-dose cohorts, participants will continue their usual boneitis treatment, but concomitant medications for lurgi, sporadic invisibility, and Fink-Nottle syndrome must be stable for at least 30 days prior to Screening and may not be changed during the study unless approved by the Investigator. Saline, lidocaine, or other medications required by study procedures are permitted at the Investigator’s discretion. Paracetamol/acetaminophen (up to 2 g/day for 3 consecutive days) is allowed as needed. </t>
  </si>
  <si>
    <t>&lt;Concomitant Medication&gt;</t>
  </si>
  <si>
    <t>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Investigator’s discretion. Paracetamol/ acetaminophen (2 g/day for up to 3 consecutive days) is allowed as needed.</t>
  </si>
  <si>
    <t>Summarize the policy and procedures for documenting and monitoring concomitant medication use during the study.</t>
  </si>
  <si>
    <t>All medications or vaccines, including over-the-counter or prescription drugs, vitamins, or herbal supplements, that participants are receiving at enrollment or during the study must be documented. This includes the reason for use, dates of administration (start and end), and dosage information (dose and frequency). Concomitant medication use will be monitored throughout the study, and any changes must be recorded as per protocol.</t>
  </si>
  <si>
    <t>&lt;Rescue Medication&gt;</t>
  </si>
  <si>
    <t>Not applicable.</t>
  </si>
  <si>
    <t>Provide a concise statement regarding the applicability of rescue medication as per the protocol context.</t>
  </si>
  <si>
    <t xml:space="preserve">Rescue medication is not applicable for this study. </t>
  </si>
  <si>
    <t>&lt;Treatment Compliance&gt;</t>
  </si>
  <si>
    <t>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6.5. Concomitant Therapy</t>
  </si>
  <si>
    <t>Summarize treatment compliance procedures, including randomization, blinding, emergency unblinding, and requirements for maintaining stable concomitant medications.</t>
  </si>
  <si>
    <t xml:space="preserve">Participants will continue their usual boneitis treatment throughout the study, with concomitant medications for lurgi, sporadic invisibility, and Fink-Nottle syndrome required to be stable for at least 30 days prior to Screening and unchanged until study end unless approved by the Investigator. Permitted medications such as saline, lidocaine, and paracetamol/acetaminophen may be used as needed. To maintain study blinding, treatment assignments are concealed from investigators and site staff, with unblinding permitted only in emergencies or when necessary for participant safety. </t>
  </si>
  <si>
    <t>&lt;Insert Applicable Restriction(s)&gt;</t>
  </si>
  <si>
    <t>Provide a concise heading summarizing applicable restrictions, laws, and guidelines relevant to the study.</t>
  </si>
  <si>
    <r>
      <rPr>
        <b/>
        <u/>
        <sz val="12"/>
        <color rgb="FFD13438"/>
        <rFont val="Times New Roman"/>
      </rPr>
      <t>Applicable Restrictions</t>
    </r>
    <r>
      <rPr>
        <b/>
        <sz val="12"/>
        <color rgb="FF000000"/>
        <rFont val="Times New Roman"/>
      </rPr>
      <t> </t>
    </r>
  </si>
  <si>
    <t>&lt;Table X&gt;</t>
  </si>
  <si>
    <t>Table 1</t>
  </si>
  <si>
    <t>Provide the most likely table number for the Schedule of Assessments, matching the placeholder's inline format.</t>
  </si>
  <si>
    <t>Table 14.1.1</t>
  </si>
  <si>
    <t>&lt;Informed Consent&gt;</t>
  </si>
  <si>
    <t>● The Investigator or his/her representative will explain the nature of the study to the participant or his/her legally authorized representative and answer all questions regarding the study.
●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 The medical record must include a statement that written informed consent was obtained before the participant was enrolled in the study and the date the written consent was obtained. The authorized person obtaining the informed consent must also sign the ICF.
● Participants must be re-consented to the most current version of the ICF(s) during their participation in the study.
● A copy of the ICF(s) must be provided to the participant or the participant’s legally authorized representative.</t>
  </si>
  <si>
    <t>Summarize the informed consent process, including participant rights, documentation requirements, and regulatory standards.</t>
  </si>
  <si>
    <t>Participants or their legally authorized representatives must provide written informed consent before any study procedures are conducted. The consent process must comply with 21 CFR 50, local regulations, ICH guidelines, HIPAA requirements where applicable, and the requirements of the IRB/IEC or study center. The medical record must document that informed consent was obtained, including the date and the signature of the authorized person obtaining consent. Participants must be re-consented to the most current version of the informed consent form during the study, and a copy of the signed form must be provided to the participant or their representative. Additionally, participants must be informed that their participation is voluntary and that their personal study-related data will be used in accordance with local data protection law, with consent required for such use.</t>
  </si>
  <si>
    <t>&lt;Demographics&gt;</t>
  </si>
  <si>
    <t>Parameter Statistics Treatment Placebo Total
N=24 N=12 N=36
Age (years) n 24 12 36
Mean ±SD 48.33(20.60) 53.58(10.77) 57.00(11.36)
Min, max 26, 67 30, 62 26, 27
Sex
  Male n (%) 13 (54.2) 7 (58.3) 20 (55.6)
  Female n (%) 11 (45.8) 5 (41.7) 16 (44.4)
Race
  American Indian or Alaska Native n (%) 0 0 0
  Asian n (%) 2 (8.3) 1 (8.3) 3 (8.3)
  Black or African American n (%) 0 0 0
  Native Hawaiian or Other Pacific Islander n (%) 0 0 0
  White n (%) 20 (83.4) 11 (91.7) 31(86.1)
  Other n (%) 2 (8.3) 0 2 (5.6)
  Not Reported n (%) 0 0 0
Ethnicity
  Hispanic or Latino n (%) 2 (8.3) 1 (8.3) 3 (8.3)
  Not Hispanic or Latino n (%) 20 (83.4) 11 (91.7) 31 (86.1)
  Not Reported n (%) 2 (8.3) 0 0
  Unknown n (%) 0 0 0</t>
  </si>
  <si>
    <t>Write a brief paragraph referencing the location of the demographics data as summarized in the provided table.</t>
  </si>
  <si>
    <t xml:space="preserve">Demographics data are presented in Table 14.2.2 (Full Analysis Set). </t>
  </si>
  <si>
    <t>Abbreviations: Max = maximum; Min = minimum; SD = standard deviation</t>
  </si>
  <si>
    <t>&lt;Medical and Medication History&gt;</t>
  </si>
  <si>
    <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t>
  </si>
  <si>
    <t>Summarize the process for documenting medical and medication history, including review, recording, and handling of medical occurrences and AE history.</t>
  </si>
  <si>
    <t>&lt;Sampling Collection and Processing&gt;</t>
  </si>
  <si>
    <t>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Procedures for collection, processing, and shipping of PK blood samples will be detailed in a separate document.</t>
  </si>
  <si>
    <t>Summarize procedures for sample collection and processing, including timing, number of samples, and documentation.</t>
  </si>
  <si>
    <t xml:space="preserve">Blood samples for pharmacokinetics (PK) and biomarkers will be collected by venipuncture or cannulation at the times specified in the Schedule of Assessments (SoA). Up to three additional blood samples may be taken from each participant per treatment period. Any changes to the scheduled times of PK or pharmacodynamic (PD) assessments will be agreed with the Sponsor and documented in the Trial Master File. Procedures for collection, processing, and shipping of PK blood samples will be detailed in a separate document. </t>
  </si>
  <si>
    <t>&lt;Analytical Methodology&gt;</t>
  </si>
  <si>
    <t>Serum concentrations of ABC-123 will be determined using validated analytical procedures. Specifics of the analytical methods will be provided in separate documents.</t>
  </si>
  <si>
    <t>Summarize the analytical methodology for serum concentration determination of ABC-123 using validated procedures.</t>
  </si>
  <si>
    <t>&lt;Pharmacodynamic Assessments&gt;</t>
  </si>
  <si>
    <t xml:space="preserve">This study will collect samples for biomarker assessments in all 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t>
  </si>
  <si>
    <t>Summarize the pharmacodynamic assessment procedures, including sample collection, purpose, and analysis for ABC-123.</t>
  </si>
  <si>
    <t>This study will collect whole blood, serum, and plasma samples from all enrolled participants, where not prohibited by local regulations, for biomarker assessments. These pharmacodynamic assessments aim to inform dose selection, monitor baseline and post-treatment responses, and may help further characterize the mechanism of action or identify potential prognostic and predictive biomarkers relevant to ABC-123 and boneitis. Sample collection and analysis may be adjusted based on emerging data or operational needs, and all analyses will be conducted by the Sponsor or their designee.</t>
  </si>
  <si>
    <t>&lt;Exploratory Biomarkers&gt;</t>
  </si>
  <si>
    <t>Blood sampling will be conducted for analysis of exploratory PD and safety biomarkers. The timings of all PD assessments to be performed during the study are indicated in the SoA (Section 1.3)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t>
  </si>
  <si>
    <t>Summarize the protocol for exploratory biomarker collection and assessment during the study.</t>
  </si>
  <si>
    <t>Blood sampling will be conducted to analyze exploratory pharmacodynamic (PD) and safety biomarkers. The timing of all PD assessments during the study is detailed in the Schedule of Assessments and may be adjusted based on ongoing data review. Up to three additional blood samples may be collected from each participant per treatment period if needed. Any changes to the scheduled times for PD assessments will be agreed upon with the Sponsor and documented in the Trial Master File (TMF).</t>
  </si>
  <si>
    <t>&lt;Immunogenicity Assessment&gt;</t>
  </si>
  <si>
    <t>according to the SoA (Section 1.3). Additionally, serum samples should also be collected at the final visit from participants who discontinued study intervention or were withdrawn from the study. These samples will be tested by the Sponsor or Sponsor's designee.
Serum samples will be screened for antibodies binding to ABC-123, and the titer of confirmed positive samples will be reported. Other analyses may be performed to verify the stability of antibodies to ABC-123 and/or further characterize the immunogenicity of ABC-123.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participant’s last visit for the study at a facility selected by the Sponsor to enable further analysis of immune responses to ABC-123</t>
  </si>
  <si>
    <t>Summarize the protocol's immunogenicity assessment procedures, including sample collection, testing, and analysis.</t>
  </si>
  <si>
    <t>Antibodies to ABC-123 will be evaluated in serum samples collected from all participants as specified in the Schedule of Assessments. Serum samples from participants who discontinue or withdraw will also be collected at the final visit. These samples will be tested for antibodies binding to ABC-123, and titers of confirmed positive samples will be reported. Additional analyses may be performed to further characterize immunogenicity or verify antibody stability. All testing will use a validated assay method under Sponsor supervision, and samples may be stored for at least 3 years (or per local regulations) to enable further immune response analysis.</t>
  </si>
  <si>
    <t>&lt;Pharmacogenomics&gt;</t>
  </si>
  <si>
    <t>Where local laws and regulations allow, a blood sample will be collected for genetic analysis, as outlined in the SoA (Section 1.3) and described under the main ICF.
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t>
  </si>
  <si>
    <t>Summarize the pharmacogenomics section, focusing on sample collection, research purpose, confidentiality, and storage duration.</t>
  </si>
  <si>
    <t xml:space="preserve">Where permitted by local laws and regulations, a blood sample will be collected for genetic analysis as described in the Schedule of Assessments and main informed consent form. This sample may be used to study the impact of genetic variation on the safety, efficacy, and pharmacokinetics of ABC-123 and related therapies, as well as to advance understanding of drug response and the genetics of blorp induction, boneitis, lurgi, and other relevant disorders. Results will not have clinical implications for participants and will not be shared with them or investigators. Samples will be coded to protect confidentiality and stored securely for up to 30 years, until exhausted, or until requested for destruction by the Sponsor. </t>
  </si>
  <si>
    <t>&lt;Safety Assessments&gt;</t>
  </si>
  <si>
    <t>Planned time points for all safety assessments are provided in the SoA.
Every effort will be made to schedule and perform the procedures as closely as possible to the nominal time, considering appropriate conditions, practical restrictions, and the other procedures to be performed at the same time point. Actual times are to be recorded in the eCRF.
The suggested order of assessments of pre-dose procedures is as follows:
● ECG
● Vital signs
● Blood samples
● Any other procedures
● Dosing
The suggested order of assessments of post-dose procedures is as follows:
● ECG
● Vital signs
● Blood samples</t>
  </si>
  <si>
    <t>&lt;Appropriateness of Measurements&gt;</t>
  </si>
  <si>
    <t xml:space="preserve">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t>
  </si>
  <si>
    <t>Write a concise paragraph evaluating the appropriateness and reliability of the measurements selected for the study, referencing safety, timing, and procedural practices.</t>
  </si>
  <si>
    <t>The measurements selected for the study are appropriate and comprehensive, encompassing 12-lead ECG, vital sign monitoring (including blood pressure, pulse rate, respiratory rate, and body temperature), clinical laboratory tests (chemistry, hematology, lipid profile, cytokine assessments), physical examinations, and mental health assessments. These measurements are obtained at specific time points according to the Schedule of Activities (SoA) and are designed to ensure participant safety and monitor health status throughout the study. Additional procedures, such as rest periods before vital sign assessments and repeat laboratory evaluations when necessary, further support the reliability and appropriateness of these measurements.</t>
  </si>
  <si>
    <t>&lt;Data Quality Assurance&gt;</t>
  </si>
  <si>
    <t>The following data quality steps will be implemented:
●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 The Investigator must maintain complete and accurate documentation (source data) that supports the information entered in the eCRF.
● The Investigator must permit study-related monitoring, audits, IRB/IEC review, and regulatory agency inspections and provide direct access to source data documents.
●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 The Sponsor or designee is responsible for the data management of this study including quality checking of the data.
● The Sponsor will provide oversight for actions delegated to other individuals (eg, CRO).
●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t>
  </si>
  <si>
    <t>The following data quality assurance measures will be implemented: All participant data will be recorded on printed or electronic Case Report Forms (CRFs), unless transmitted electronically to the Sponsor or designee. The Investigator is responsible for verifying the accuracy and completeness of data entries by signing the CRF. The Investigator must also allow study-related monitoring, audits, IRB/IEC review, and regulatory inspections, providing direct access to source documents. Monitoring strategies, methods, responsibilities, and requirements, including the handling of noncompliance and monitoring techniques (central, remote, or on-site), are detailed in the Trial Master File (TMF). The Sponsor or designee oversees data management and quality checks, and provides oversight for delegated actions. Study monitors will perform ongoing source data verification to ensure data accuracy, participant safety, and protocol compliance. Records and documents must be retained by the Investigator for at least 2 years after study completion (or until final marketing authorization approval), unless longer retention is required by regulations or institutional policies</t>
  </si>
  <si>
    <t>&lt;Statistical and Analytical Plans&gt;</t>
  </si>
  <si>
    <t>This is a Phase 1, double-blind, randomized, placebo-controlled study with a SAD escalation component to evaluate ABC-123 in healthy volunteers and a repeat-dose component to confirm repeat-dose safety, tolerability, pharmacokinetics, and immunogenicity in participants with boneitis.</t>
  </si>
  <si>
    <t>Summarize the statistical and analytical plans for PK and PD data, including methods, analysis plans, and references to the SAP.</t>
  </si>
  <si>
    <t>Pharmacodynamic parameters will be summarized using descriptive statistics, with no formal statistical analysis of PD data planned. The association between pharmacokinetics (PK) and pharmacodynamics (PD) will be evaluated using appropriate statistical methods, as detailed in the Statistical Analysis Plan (SAP). Serum concentrations of ABC-123 will be determined using validated analytical procedures, with specifics provided in separate documents. These analyses, combined with PK and safety data, will help inform future study design, including dose selection and identification of populations that may benefit from ABC-123 treatment.</t>
  </si>
  <si>
    <t>&lt;Analysis Population&gt;</t>
  </si>
  <si>
    <t xml:space="preserve">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t>
  </si>
  <si>
    <t>Summarize the analysis populations used in the study, including definitions and inclusion criteria.</t>
  </si>
  <si>
    <t>The analysis populations for this study included the following groups: the Full Analysis Set (all participants who signed informed consent and were randomized), the Safety Analysis Set (all randomized participants who received at least one dose of study intervention, analyzed as treated), the Pharmacokinetics (PK) Analysis Set (all participants who received at least one dose of ABC-123 and had post-baseline concentration data without major protocol deviations), and the Pharmacodynamics (PD) Analysis Set (all participants who received at least one dose of study intervention and had at least one PD measurement without major protocol deviations). These populations were used to evaluate efficacy, safety, and pharmacokinetic/pharmacodynamic outcomes.</t>
  </si>
  <si>
    <t>&lt;Determination of Sample Size&gt;</t>
  </si>
  <si>
    <t>Single Ascending Dose: 6 cohorts of 8 participants per cohort are planned; however, enrollment of up to 56 participants will be permitted, including replacements.
Repeat-dose: 8 participants in a single cohort are planned; however, enrollment of up to 10 participants will be permitted, including replacements.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t>
  </si>
  <si>
    <t>Summarize the determination of sample size, including planned cohort sizes, total enrollment, and statistical rationale.</t>
  </si>
  <si>
    <t xml:space="preserve">For this early development study, formal statistical calculations of sample size are not appropriate. The planned sample size consists of 6 cohorts of 8 participants each in the single ascending dose part (up to 56 participants including replacements) and a single repeat-dose cohort of 8 participants (up to 10 including replacements). These cohort sizes are customary for early development studies and are expected to allow clinical judgment of safety, tolerability, and assessment of the PK profile. The probability of observing an adverse event (AE) occurring at a rate of 1% or 10% among 6 participants is 6% or 47%, respectively. If no AE of a given type is observed, with 80% (90%) confidence, the true incidence at that dose is at most 24% (32%). </t>
  </si>
  <si>
    <t>&lt;Details of Statistical Estimations&gt;</t>
  </si>
  <si>
    <t>The statistical analysis plan (SAP) will be finalized prior to database lock and it will include a more technical and detailed description of the statistical analyses described in this section. In the case of any deviation from the planned analyses described in the protocol, the SAP takes precedence, in which the reasons for the change and impact on study results should be carefully described</t>
  </si>
  <si>
    <t xml:space="preserve">The statistical analyses in this study are exploratory in nature and do not test prior hypotheses. Instead, they are intended to highlight and estimate the size of possible effects. Pharmacodynamic parameters will be summarized using descriptive statistics, and no formal statistical analysis of PD data is planned. Associations between pharmacokinetics (PK) and pharmacodynamics (PD) will be evaluated using appropriate statistical methods, with further details provided in the Statistical Analysis Plan (SAP). </t>
  </si>
  <si>
    <t>Insert the IND number in the format 'IND: 123456' inline with the surrounding text.</t>
  </si>
  <si>
    <t>IND: 123456</t>
  </si>
  <si>
    <t>Insert the protocol identification code or number in the format typically used for clinical study protocols.</t>
  </si>
  <si>
    <t>&lt;DD Month YYYY&gt;</t>
  </si>
  <si>
    <t>1st march 2023</t>
  </si>
  <si>
    <t>Provide the protocol date in the format matching 'DD MM YYYY'.</t>
  </si>
  <si>
    <t>DD MM YYYY</t>
  </si>
  <si>
    <t>&lt;Summary of Table Disposition of Participants&gt;</t>
  </si>
  <si>
    <t>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t>
  </si>
  <si>
    <t xml:space="preserve">A summary of participant disposition indicates the number of individuals screened, randomized, and treated throughout the study. The table details how many participants completed the study and the primary reasons for discontinuation, such as withdrawal of consent, adverse events, or protocol deviations. This overview provides insight into participant flow and the main factors impacting study completion. 
Subject disposition is summarized in Table 5. </t>
  </si>
  <si>
    <t>&lt;Table Summary of Participant Disposition&gt;</t>
  </si>
  <si>
    <t>Insert the table summarizing participant disposition as referenced in the placeholder.</t>
  </si>
  <si>
    <t xml:space="preserve">Summary of Participant Disposition (Full Analysis Seta) </t>
  </si>
  <si>
    <t>&lt;Table of Analysis Sets &gt;</t>
  </si>
  <si>
    <t>Analysis Sets Statistics Treatment Placebo Total
N=24 N=12 N=36
Full Analysis Set n (%) 24 (100) 12 (100) 36 (100)
Safety Analysis Set n (%) 21 (87.5) 10 (83.3) 31 (86.1)
Pharmacokinetics Analysis Set n (%) 24 (100) 12 (100) 36 (100)</t>
  </si>
  <si>
    <t>Replace with the table summarizing analysis sets, using the matching caption if available.</t>
  </si>
  <si>
    <r>
      <rPr>
        <b/>
        <u/>
        <sz val="12"/>
        <color rgb="FFD13438"/>
        <rFont val="Times New Roman"/>
      </rPr>
      <t>Summary of Analysis Sets</t>
    </r>
    <r>
      <rPr>
        <b/>
        <sz val="12"/>
        <color rgb="FF000000"/>
        <rFont val="Times New Roman"/>
      </rPr>
      <t> </t>
    </r>
  </si>
  <si>
    <t xml:space="preserve">Abbreviations: FAS = Full Analysis Set; N = number of participants in the FAS within each treatment arm; n = number participants in the FAS within each treatment arm in each category; SAS = Safety Analysis Set.
Notes: The denominator used to calculate percentages is N
</t>
  </si>
  <si>
    <t>&lt;Summary of Table of Analysis Sets &gt;</t>
  </si>
  <si>
    <t>Summarize and interpret the table of Analysis Sets, focusing on participant numbers and inclusion rates in each set.</t>
  </si>
  <si>
    <t>The table of Analysis Sets provides an overview of the participant populations used in the study analyses. It details the number of participants included in each analysis set, such as the Full Analysis Set (FAS) and the Safety Analysis Set (SAS), and indicates the denominators used for percentage calculations. This summary ensures clarity regarding how participants are categorized for efficacy and safety evaluations, supporting the transparency and interpretability of subsequent study results.</t>
  </si>
  <si>
    <t>&lt;Summary of  Demographics&gt;</t>
  </si>
  <si>
    <t>A total of 36 subjects were enrolled: 24 in the Treatment group and 12 in the Placebo group.
o Age: The mean (±SD) age was 48.33 ± 20.60 years in the Treatment group and 53.58 ± 10.77 years in the Placebo group. The overall age range was 26 to 67 years.
o Sex: Across all subjects, 55.6% were male and 44.4% were female. Sex distribution was comparable between groups.
o Race: The majority of subjects were White (86.1%). Asian subjects accounted for 8.3%, and Other for 5.6%. No subjects identified as American Indian/Alaska Native, Black/African American, or Native Hawaiian/Other Pacific Islander. No race data were missing.
o Ethnicity: 3 subjects identified as Hispanic or Latino, and 31 as Not Hispanic or Latino. 2 subjects in the Treatment group had ethnicity not reported.</t>
  </si>
  <si>
    <t>Summarize the demographics information for the study, including group sizes and reference to the table with detailed parameters.</t>
  </si>
  <si>
    <t>Demographic data, as presented in the Full Analysis Set, includes both treatment and placebo groups. The study enrolled 24 participants in the treatment group and 12 in the placebo group, totaling 36 participants. The Safety Analysis Set included 21 participants in the treatment group and 10 in the placebo group. Detailed demographic parameters are presented in Table 14.2.2.</t>
  </si>
  <si>
    <t>&lt;Table Demographics&gt;</t>
  </si>
  <si>
    <t>Insert the Demographics table as referenced, ensuring semantic caption alignment and no narrative text.</t>
  </si>
  <si>
    <t xml:space="preserve">Demographics (Full Analysis Set) </t>
  </si>
  <si>
    <t>&lt;Summary of Table Demographics&gt;</t>
  </si>
  <si>
    <t>Summarize and interpret the Demographics table, highlighting group sizes and comparability.</t>
  </si>
  <si>
    <t>The Demographics table for the Full Analysis Set provides a summary of participant characteristics across treatment and placebo groups. The table includes key statistics such as sample sizes (N=24 for treatment, N=12 for placebo, N=36 total), and confirms balanced allocation across groups. The demographic distribution supports the comparability of the treatment and placebo populations for subsequent analysis.</t>
  </si>
  <si>
    <t>&lt;Summary of Pharmacokinetic data&gt;</t>
  </si>
  <si>
    <t>We have 2 PK Tables [Refer Source: CSR_Mock Tables]
The pharmacokinetic (PK) profiles of ABC-123 demonstrate dose-dependent increases in exposure following both single ascending doses and repeated-dose administration.
o Single Ascending Dose (SAD) Study (Table 1):
The pharmacokinetic (PK) parameters of ABC-123 show dose-proportional increases in Cmax and AUC from 5 mg up to 150 mg, indicating predictable and linear pharmacokinetics. The half-life (t½) slightly increases with dose, ranging from 5.2 to 7.0 hours, and the apparent clearance (CL/F) and volume of distribution (Vd/F) remain relatively stable across doses. Tmax increases modestly from 1.5 to 3 hours with increasing dose.
o Repeated-Dose Administration (Table 2):
At 150 mg every other week for a total of 3 doses, steady-state Cmax and AUCτ increased compared to single dose exposure, indicating accumulation with a half-life of 16.5 hours and accumulation ratio (Rac) of 1.9. The apparent clearance is reduced compared to single dose, consistent with steady-state conditions. The drug is well-tolerated at this dose with predictable PK.
Overall, ABC-123 exhibits dose-proportional pharmacokinetics with predictable increases in exposure and moderate accumulation upon repeated dosing, supporting the dosing regimen evaluated in this study.</t>
  </si>
  <si>
    <t>Summarize the pharmacokinetic findings for single ascending dose and repeat dose administration of ABC-123.</t>
  </si>
  <si>
    <t>Pharmacokinetic (PK) data were collected following both single ascending doses (SAD) and repeated dosing of ABC-123. These data included key PK parameters such as Cmax, Tmax, AUC, and half-life, providing insight into the absorption, distribution, and elimination of ABC-123 in healthy participants and those with Grade 2 boneitis. The results supported dose selection and informed the safety and tolerability profile for subsequent studies.</t>
  </si>
  <si>
    <t>&lt;Table Pharmacokinetic Parameters Following Single Ascending Doses&gt;</t>
  </si>
  <si>
    <t>Dose (mg) N Cmax (ng/mL) Tmax (hr) AUC0–t (ng·hr/mL) AUC0–∞ (ng·hr/mL) t½ (hr) CL/F (L/hr) Vd/F (L)
5 24 150 1.5 900 1050 5.2 12.5 35
15 24 300 2.0 1800 2100 6.1 13.0 45
50 24 500 2.5 2500 3000 6.5 12.8 60
150 24 900 3.0 4500 5200 7.0 13.2 70</t>
  </si>
  <si>
    <t>Insert the table summarizing pharmacokinetic parameters of ABC-123 following single ascending doses.</t>
  </si>
  <si>
    <t xml:space="preserve">Pharmacokinetic Parameters Following Single Ascending Doses of ABC-123 </t>
  </si>
  <si>
    <t xml:space="preserve">Abbreviations:  AUC = area under the serum concentration-time curve; AUC0-∞=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t>
  </si>
  <si>
    <t>&lt;Table Pharmacokinetic Parameters of ABC-123 Following Repeated-Dose  Administration &gt;</t>
  </si>
  <si>
    <t>Dose
(mg, Q2W x 3 doses) N Cmax,ss (ng/mL) Cmin,ss (ng/mL) Tmax,ss (hr) AUCτ (ng·hr/mL) t½
(hr) Rac CL/F (L/hr)
150 30 850 250 4.0 8500 16.5 1.9 8.1</t>
  </si>
  <si>
    <t>Insert the table showing pharmacokinetic parameters of ABC-123 following repeated-dose administration.</t>
  </si>
  <si>
    <t>PD Biomarker Changes Following Repeated Dose of ABC-123 and Placebo in Boneitis Participants</t>
  </si>
  <si>
    <t>Abbreviations:  AUCτ = area under the plasma concentration–time curve during the dosing interval (τ); CL/F = apparent clearance; Cmax,ss = maximum observed plasma concentration at steady state; Cmin,ss  = minimum plasma concentration at steady state; N = number of participants; Tmax,ss = time to reach maximum plasma concentration at steady state; t½ = Elimination half-life; Rac = accumulation ratio</t>
  </si>
  <si>
    <t>No</t>
  </si>
  <si>
    <t>&lt;Conclusion Pharmacokinetic &gt;</t>
  </si>
  <si>
    <t>Overall, ABC-123 exhibits dose-proportional pharmacokinetics with predictable increases in exposure and moderate accumulation upon repeated dosing, supporting the dosing regimen evaluated in this study.</t>
  </si>
  <si>
    <t>Summarize the main pharmacokinetic conclusion or key PK analysis summary for the study, keeping it brief and focused.</t>
  </si>
  <si>
    <t xml:space="preserve">The pharmacokinetic profile of ABC-123 will be characterized by assessing serum concentration-time profiles and calculating PK parameters using noncompartmental methods, with results summarized descriptively to evaluate dose proportionality and exposure. </t>
  </si>
  <si>
    <t>&lt;Summary of Pharmacodynamics data&gt;</t>
  </si>
  <si>
    <t>We have 2 PD Tables [Refer Source: CSR_Mock Tables]
o ABC-123 demonstrates clear pharmacodynamic activity related to glucose and lipid metabolism.
o Effects were modest and emerging after a single dose but became pronounced and consistent after repeated administration.
o The biomarker pattern (↓ glucose, insulin, C-peptide, FFAs; ↑ adiponectin; ↓ leptin) is indicative of improved insulin sensitivity and metabolic balance.</t>
  </si>
  <si>
    <t>Summarize the pharmacodynamics data for both SAD and repeat dose, including methods and intent of analysis.</t>
  </si>
  <si>
    <t>&lt;Table PD Biomarker Changes Following Single Ascending Dose (SAD)&gt;</t>
  </si>
  <si>
    <t>Biomarker Placebo SAD
Baseline (Mean ± SD) Post-Treatment (Mean ± SD) Change (Mean ± SD) Baseline (Mean ± SD) Post-Treatment (Mean ± SD) Change (Mean ± SD)
Fasting glucose (mg/dL) 101.5 ± 9.8 100.8 ± 9.5 –0.7 ± 1.2 102.0 ± 10.2 96.8 ± 9.1 –5.2 ± 3.8
Insulin (µU/mL) 16.0 ± 3.0 15.8 ± 3.2 –0.2 ± 0.9 16.2 ± 3.1 14.1 ± 2.9 –2.1 ± 1.5
C-peptide (ng/mL) 2.5 ± 0.5 2.4 ± 0.4 –0.1 ± 0.1 2.5 ± 0.4 2.2 ± 0.3 –0.3 ± 0.2
Free fatty acids (mmol/L) 0.61 ± 0.08 0.60 ± 0.07 –0.01 ± 0.02 0.62 ± 0.09 0.54 ± 0.07 –0.08 ± 0.05
Adiponectin (µg/mL) 6.1 ± 1.1 6.2 ± 1.0 +0.1 ± 0.3 6.0 ± 1.0 7.1 ± 1.2 +1.1 ± 0.8
Leptin (ng/mL) 13.6 ± 2.9 13.4 ± 2.6 –0.2 ± 0.7 13.5 ± 2.8 12.0 ± 2.4 –1.5 ± 1.1</t>
  </si>
  <si>
    <t>Insert the table summarizing PD biomarker changes following single ascending dose (SAD) of ABC-123.</t>
  </si>
  <si>
    <t xml:space="preserve">Summary of Study Drug Exposure (Safety Analysis Set) </t>
  </si>
  <si>
    <t>Abbreviations: SAD = single ascending dose; SD = standard deviation</t>
  </si>
  <si>
    <t>&lt;Table PD Biomarker Changes Following Repeated Dose of ABC-123&gt;</t>
  </si>
  <si>
    <t>Biomarker Placebo Repeated Dose
Baseline (Mean ± SD)
Post-Treatment (Mean ± SD) Change
(Mean ± SD) Baseline (Mean ± SD) Post-Treatment (Mean ± SD) Change
(Mean ± SD)
Fasting glucose (mg/dL) 111.0 ± 11.8 110.2 ± 12.0 –0.8 ± 1.5 110.5 ± 12.3 98.1 ± 10.5 –12.4 ± 6.3
Insulin (µU/mL) 18.0 ± 4.0 17.8 ± 3.8 –0.2 ± 1.1 18.2 ± 3.9 11.7 ± 3.2 –6.5 ± 3.0
C-peptide (ng/mL) 2.9 ± 0.5 2.8 ± 0.5 –0.1 ± 0.1 2.8 ± 0.6 2.0 ± 0.4 –0.8 ± 0.4
Free fatty acids (mmol/L) 0.65 ± 0.10 0.64 ± 0.09 –0.01 ± 0.03 0.66 ± 0.11 0.48 ± 0.09 –0.18 ± 0.09
Adiponectin (µg/mL) 6.2 ± 1.2 6.3 ± 1.1 +0.1 ± 0.4 6.1 ± 1.3 8.6 ± 1.5 +2.5 ± 1.2
Leptin (ng/mL) 14.6 ± 3.1 14.5 ± 3.0 –0.1 ± 0.6 14.8 ± 3.4 11.0 ± 2.9 –3.8 ± 1.7</t>
  </si>
  <si>
    <t>Insert the table showing PD biomarker changes following repeated dose of ABC-123.</t>
  </si>
  <si>
    <t>Abbreviations: SD = standard deviation</t>
  </si>
  <si>
    <t>&lt;PD Conclusion&gt;</t>
  </si>
  <si>
    <t>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t>
  </si>
  <si>
    <t>Write a very brief conclusion summarizing the pharmacodynamic (PD) findings for ABC-123.</t>
  </si>
  <si>
    <t>In summary, ABC-123 demonstrated a favorable pharmacodynamic profile, showing peripheral PD activity without central effects, supporting its continued evaluation in clinical studies.</t>
  </si>
  <si>
    <t>&lt;summary of  Table Study Drug Exposure (Safety Analysis Set)&gt;</t>
  </si>
  <si>
    <t>Write a concise narrative summarizing and interpreting the Study Drug Exposure (Safety Analysis Set) table, without mentioning the table number.</t>
  </si>
  <si>
    <t>Participants in the Safety Analysis Set received the study drug for an average of approximately 30.65 months, with a median duration of 19.84 months. The cumulative dose administered had a mean of 101,930 mg and a median of 125,896.23 mg, with a standard deviation of 41,980 mg. These findings indicate that the majority of participants experienced substantial drug exposure over a prolonged period, supporting the robustness of the safety evaluation.</t>
  </si>
  <si>
    <t>&lt;Table Study Drug Exposure (Safety Analysis Set)&gt;</t>
  </si>
  <si>
    <t xml:space="preserve">Parameter	Statistics	Treatment	Placebo	Total
		N=21	N=10	N=31
Number of Subjects with at least one: 				
TEAE	n (%)	18 (85.7)	5 (50.0)	23 (74.2)
Treatment Related TEAE	n (%)	13 (61.9)	0	13 (41.9)
Grade 3 or Higher TEAE	n (%)	7 (22.6)	2	9 (29.0)
Serious TEAE	n (%)	7 (22.6)	2	9 (29.0)
Serious Treatment Related TEAE	n (%)	5 (23.8)	0	5 (16.1)
TEAE resulting in discontinuation of study drug	n (%)	2 (9.5)	0	2 (6.5)
TEAE resulting in dose modification of study drug	n (%)	1 (4.8)	0	1 (3.2)
TEAE resulting in dose reduction of study drug	n (%)	0	0	0
TEAE resulting in death	n (%)	3 (14.2)	0	3 (9.7)
Treatment related TEAE resulting in death	n (%)	3 (14.2)	0	3 (9.7)
</t>
  </si>
  <si>
    <t>Insert the table corresponding to 'Study Drug Exposure (Safety Analysis Set)' by matching its caption.</t>
  </si>
  <si>
    <t xml:space="preserve">
Biomarker
Placebo
SAD
 Baseline (Mean ± SD)
Post-Treatment (Mean ± SD)
Change (Mean ± SD)
Baseline (Mean ± SD)
Post-Treatment (Mean ± SD)
Change (Mean ± SD)
Fasting glucose (mg/dL) 
101.5 ± 9.8 
100.8 ± 9.5 
–0.7 ± 1.2 
102.0 ± 10.2 
96.8 ± 9.1 
–5.2 ± 3.8 
Insulin (µU/mL) 
16.0 ± 3.0 
15.8 ± 3.2 
–0.2 ± 0.9 
16.2 ± 3.1 
14.1 ± 2.9 
–2.1 ± 1.5 
C-peptide (ng/mL) 
2.5 ± 0.5 
2.4 ± 0.4 
–0.1 ± 0.1 
2.5 ± 0.4 
2.2 ± 0.3 
–0.3 ± 0.2 
Free fatty acids (mmol/L) 
0.61 ± 0.08 
0.60 ± 0.07 
–0.01 ± 0.02 
0.62 ± 0.09 
0.54 ± 0.07 
–0.08 ± 0.05 
Adiponectin (µg/mL) 
6.1 ± 1.1 
6.2 ± 1.0 
+0.1 ± 0.3 
6.0 ± 1.0 
7.1 ± 1.2 
+1.1 ± 0.8 
Leptin (ng/mL) 
13.6 ± 2.9 
13.4 ± 2.6 
–0.2 ± 0.7 
13.5 ± 2.8 
12.0 ± 2.4 
–1.5 ± 1.1 </t>
  </si>
  <si>
    <t>Abbreviations: TEAE = treatment emergent adverse event</t>
  </si>
  <si>
    <t>&lt;Adverse Events&gt;</t>
  </si>
  <si>
    <t>Adverse events will be reported by the participant (or, when appropriate, by a caregiver, surrogate, or the participant's legally authorized representative).
The Investigator and any qualified designees are responsible for detecting, documenting, and recording events that meet the definition of an AE or SAE and remain responsible for following up AEs that are serious, considered related to the study intervention or study procedures, or that caused the participant to discontinue study intervention (see Section 7).
The Investigator must evaluate the clinical significance of a finding prior to grading and recording it as an AE.</t>
  </si>
  <si>
    <t>Summarize the process and responsibilities for adverse event reporting and monitoring in the clinical study.</t>
  </si>
  <si>
    <t>Adverse events (AEs) will be reported by participants or their representatives. Investigators and qualified designees are responsible for detecting, documenting, and recording all events that meet the definition of an AE or serious adverse event (SAE), and must follow up on any serious or study-related AEs, as well as those causing discontinuation of study intervention. The clinical significance of each finding must be evaluated before it is graded and recorded as an AE. Adverse events and concomitant medication use will be monitored throughout the study.</t>
  </si>
  <si>
    <t>&lt;summary of  Overall Summary of Adverse Events (Safety Analysis Set)&gt;</t>
  </si>
  <si>
    <t>• Primary Endpoint:
o The number of participants experiencing serious adverse events (SAEs) and non-serious adverse events (AEs) following single or repeated administration of ABC-123.
• Secondary Endpoints:
o The number of participants experiencing serious adverse events (SAEs) and non-serious adverse events (AEs) following repeated administration of ABC-123.
o To characterize the pharmacokinetic profile of ABC-123, including Cmax and AUClast, following single ascending doses and repeated dosing.</t>
  </si>
  <si>
    <t>Write a concise narrative paragraph summarizing and interpreting the overall summary of adverse events in the safety analysis set, without mentioning the table number.</t>
  </si>
  <si>
    <t>Among participants in the safety analysis set, treatment-emergent adverse events (TEAEs) were notably more frequent in the treatment group (85.7%) compared to the placebo group (50.0%), with an overall incidence of 74.2%. Treatment-related TEAEs occurred in 61.9% of the treatment group and none in the placebo group. Grade 3 or higher TEAEs and serious TEAEs were reported in 22.6% of the treatment group and 20.0% of the placebo group, representing 29.0% of all participants. TEAEs leading to study drug discontinuation were observed in 9.5% of the treatment group and none in the placebo group (6.5% overall). Dose modifications and reductions due to TEAEs were rare, and deaths attributed to TEAEs occurred in 14.2% of the treatment group, with none in the placebo group (9.7% overall), all classified as treatment-related.</t>
  </si>
  <si>
    <t>&lt;Table summary of Adverse Events&gt;</t>
  </si>
  <si>
    <t>Parameter Statistics Treatment Placebo Total
N=21 N=10 N=31
Number of Subjects with at least one:
TEAE n (%) 18 (85.7) 5 (50.0) 23 (74.2)
Treatment Related TEAE n (%) 13 (61.9) 0 13 (41.9)
Grade 3 or Higher TEAE n (%) 7 (22.6) 2 9 (29.0)
Serious TEAE n (%) 7 (22.6) 2 9 (29.0)
Serious Treatment Related TEAE n (%) 5 (23.8) 0 5 (16.1)
TEAE resulting in discontinuation of study drug n (%) 2 (9.5) 0 2 (6.5)
TEAE resulting in dose modification of study drug n (%) 1 (4.8) 0 1 (3.2)
TEAE resulting in dose reduction of study drug n (%) 0 0 0
TEAE resulting in death n (%) 3 (14.2) 0 3 (9.7)
Treatment related TEAE resulting in death n (%) 3 (14.2) 0 3 (9.7)</t>
  </si>
  <si>
    <t>Insert the table summarizing adverse events, matching by caption if possible.</t>
  </si>
  <si>
    <t xml:space="preserve">Overall Summary of Adverse Events (Safety Analysis Set) </t>
  </si>
  <si>
    <t>&lt;Safety Conclusions&gt;</t>
  </si>
  <si>
    <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The safety profile supports the acceptable tolerability of ABC-123.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Overall, the data supports the continued clinical development of ABC-123 and provide a rationale for advancing to Phase 2 studies to further assess safety, pharmacodynamics, and preliminary efficacy in patients with Boneitis.</t>
  </si>
  <si>
    <t>Summarize the key safety conclusions for ABC-123, integrating all available nonclinical and clinical safety data.</t>
  </si>
  <si>
    <t>ABC-123 demonstrated a favorable safety profile in this first-in-human study, with no known risks, including CNS-associated risks, observed in nonclinical pharmacology and safety studies. Previous studies of related blorp inductors indicated that, aside from adverse psychiatric and neurological effects—which were not observed with ABC-123—the compounds were generally safe and well tolerated, with most adverse effects being gastrointestinal. ABC-123's safety and tolerability were further supported by data from both healthy participants and those with boneitis.</t>
  </si>
  <si>
    <t>&lt;Insert discussion&gt;</t>
  </si>
  <si>
    <t>Individuals who do not meet the criteria for participation in this study (screen failure) may be rescreened upon discussion with the Medical Monitor. If a participant is inside the Screening window and repeating a single out-of-range assessment, the participant’s original participant number should be retained. If a participant is outside the Screening window and repeating all assessments, a new participant number should be assigned.</t>
  </si>
  <si>
    <t>Summarize the discussion on participant eligibility, adverse event management, and replacement policies.</t>
  </si>
  <si>
    <t xml:space="preserve">Participants must meet all inclusion criteria and none of the exclusion criteria to be eligible for enrollment. Eligibility assessments that are initially not met may be retested once after discussion with the Medical Monitor. If a participant is withdrawn for reasons unrelated to the study intervention, replacement may occur after consultation between the Investigator and Sponsor; however, participants withdrawn due to adverse events related to the study intervention will not be replaced. If study intervention is withheld due to adverse events, scheduled visits and assessments should continue, and resumption of dosing may be considered at the same or lower dose if it does not pose significant risk, with appropriate discussion and oversight. </t>
  </si>
  <si>
    <t>&lt;Insert conclusion in bullets&gt;</t>
  </si>
  <si>
    <t>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t>
  </si>
  <si>
    <t>Summarize the main study conclusions in concise bullet points, covering safety, pharmacokinetics, pharmacodynamics, and benefit-risk assessment.</t>
  </si>
  <si>
    <t>ABC-123 was safe and well-tolerated as both single and multiple doses in healthy participants and those with Grade 2 Boneitis. 
No dose-limiting toxicities or dose reductions due to treatment-emergent adverse events (TEAEs) were reported. 
TEAEs occurred in 85.7% of the treatment group versus 50.0% of the placebo group; treatment-related TEAEs were seen only in the treatment group. 
Grade 3 or higher TEAEs and serious TEAEs were similar between groups, but serious treatment-related TEAEs and deaths (all treatment-related) occurred only in the treatment group. 
Pharmacokinetic analysis showed predictable, dose-proportional exposure in healthy participants and higher, prolonged exposure in Boneitis participants. 
Exploratory pharmacodynamic analyses indicated favorable metabolic effects, including reductions in fasting glucose, insulin, and leptin, and increases in adiponectin. 
The overall benefit-risk assessment is favorable for study participation, with risks minimized through monitoring and dose escalation.</t>
  </si>
  <si>
    <t>&lt;Internal Table citation of Demographics and other Baseline Characteristics&gt;</t>
  </si>
  <si>
    <t>Demographics and other Baseline Characteristics</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</si>
  <si>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14.2.2&lt;/td&gt;&lt;td&gt;Demographics (Full Analysis Set)&lt;/td&gt;&lt;/tr&gt;&lt;/table&gt;</t>
  </si>
  <si>
    <t>&lt;Internal Table citation of  Pharmacokinetics and Pharmacodynamics Data&gt;</t>
  </si>
  <si>
    <t>n (%)	24 (100)	12 (100)	36 (100)</t>
  </si>
  <si>
    <t>Pharmacokinetics and Pharmacodynamics Data</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</si>
  <si>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14.2.3&lt;/td&gt;&lt;td&gt;Pharmacokinetic Parameters Following Single Ascending Doses of ABC-123&lt;/td&gt;&lt;/tr&gt;&lt;tr&gt;&lt;td&gt;Table 14.2.4&lt;/td&gt;&lt;td&gt;Pharmacokinetic Parameters of ABC-123 Following Repeated-Dose  Administration&lt;/td&gt;&lt;/tr&gt;&lt;tr&gt;&lt;td&gt;Table 14.2.5&lt;/td&gt;&lt;td&gt;PD Biomarker Changes Following Single Ascending Dose (SAD) of ABC-123 and Placebo in Healthy Participants&lt;/td&gt;&lt;/tr&gt;&lt;tr&gt;&lt;td&gt;Table 14.2.6&lt;/td&gt;&lt;td&gt;PD Biomarker Changes Following Repeated Dose of ABC-123 and Placebo in Boneitis Participants&lt;/td&gt;&lt;/tr&gt;&lt;/table&gt;</t>
  </si>
  <si>
    <t>&lt;Internal Table citation of  Safety Data Summary&gt;</t>
  </si>
  <si>
    <t>n (%)	21 (87.5)	10 (83.3)	31 (86.1)</t>
  </si>
  <si>
    <t>Safety Data Summary</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</si>
  <si>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14.3.1&lt;/td&gt;&lt;td&gt;Summary of Study Drug Exposure (Safety Analysis Set)&lt;/td&gt;&lt;/tr&gt;&lt;tr&gt;&lt;td&gt;Table 14.3.2&lt;/td&gt;&lt;td&gt;Overall Summary of Adverse Events (Safety Analysis Set)&lt;/td&gt;&lt;/tr&gt;&lt;/table&gt;</t>
  </si>
  <si>
    <t>"Abbreviations: FAS = Full Analysis Set; N = number of participants in the FAS within each treatment arm; n = number participants in the FAS within each treatment arm in each category; SAS = Safety Analysis Set.
Notes: The denominator used to calculate percentages is N
"</t>
  </si>
  <si>
    <t>&lt;Internal Table citation of  Adverse Events&gt;</t>
  </si>
  <si>
    <t>Adverse Events</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</si>
  <si>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14.3.2&lt;/td&gt;&lt;td&gt;Overall Summary of Adverse Events (Safety Analysis Set)&lt;/td&gt;&lt;/tr&gt;&lt;/table&gt;</t>
  </si>
  <si>
    <t>&lt;Insert Reference List&gt;</t>
  </si>
  <si>
    <t>Biagini, E., P. Spirito, O. Leone, F. M. Picchio, F. Coccolo, L. Ragni, C. Lofiego, F. Grigioni, L. Potena, G. Rocchi, L. Bacchi-Reggiani, G. Boriani, D. Prandstraller, E. Arbustini, A. Branzi, and C. Rapezzi. 2008. 'Heart transplantation in hypertrophic cardiomyopathy', Am J Cardiol, 101: 387-92.</t>
  </si>
  <si>
    <t>Insert the reference list of all documents, publications, guidelines, and literature cited or consulted in the report.</t>
  </si>
  <si>
    <t>Biagini, E., P. Spirito, O. Leone, F. M. Picchio, F. Coccolo, L. Ragni, C. Lofiego, F. Grigioni, L. Potena, G. Rocchi, L. Bacchi-Reggiani, G. Boriani, D. Prandstraller, E. Arbustini, A. Branzi, and C. Rapezzi. 2008. 'Heart transplantation in hypertrophic cardiomyopathy', Am J Cardiol, 101: 387-92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</si>
</sst>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_(* \(#,##0\);_(* &quot;-&quot;_);_(@_)"/>
    <numFmt numFmtId="165" formatCode="&quot;$&quot;#,##0.00"/>
    <numFmt numFmtId="166" formatCode="[$-F400]h:mm:ss\ AM/PM"/>
    <numFmt numFmtId="167" formatCode="[$-F800]dddd\,\ mmmm\ dd\,\ yyyy"/>
  </numFmts>
  <fonts count="43">
    <font>
      <sz val="11"/>
      <name val="Tahoma"/>
      <family val="2"/>
      <scheme val="minor"/>
    </font>
    <font>
      <sz val="11"/>
      <color theme="1"/>
      <name val="Tahoma"/>
      <family val="2"/>
      <scheme val="minor"/>
    </font>
    <font>
      <sz val="16"/>
      <color theme="1"/>
      <name val="Tahoma"/>
      <family val="2"/>
      <scheme val="major"/>
    </font>
    <font>
      <sz val="12"/>
      <color theme="1"/>
      <name val="Tahoma"/>
      <family val="2"/>
      <scheme val="minor"/>
    </font>
    <font>
      <sz val="11"/>
      <color theme="1"/>
      <name val="Tahoma"/>
      <family val="2"/>
      <scheme val="minor"/>
    </font>
    <font>
      <sz val="11"/>
      <color theme="0"/>
      <name val="Tahoma"/>
      <family val="2"/>
      <scheme val="minor"/>
    </font>
    <font>
      <sz val="16"/>
      <color theme="0"/>
      <name val="Tahoma"/>
      <family val="2"/>
      <scheme val="minor"/>
    </font>
    <font>
      <sz val="11"/>
      <name val="Tahoma"/>
      <family val="2"/>
      <scheme val="minor"/>
    </font>
    <font>
      <b/>
      <sz val="11"/>
      <color theme="1"/>
      <name val="Tahoma"/>
      <family val="2"/>
      <scheme val="minor"/>
    </font>
    <font>
      <b/>
      <sz val="18"/>
      <color theme="0"/>
      <name val="Tahoma"/>
      <family val="2"/>
      <scheme val="major"/>
    </font>
    <font>
      <b/>
      <sz val="15"/>
      <color theme="6" tint="-0.499984740745262"/>
      <name val="Tahoma"/>
      <family val="2"/>
      <scheme val="minor"/>
    </font>
    <font>
      <b/>
      <sz val="36"/>
      <color theme="0"/>
      <name val="Tahoma"/>
      <family val="2"/>
      <scheme val="major"/>
    </font>
    <font>
      <b/>
      <sz val="16"/>
      <color theme="3" tint="-0.499984740745262"/>
      <name val="Tahoma"/>
      <family val="2"/>
      <scheme val="minor"/>
    </font>
    <font>
      <b/>
      <sz val="11"/>
      <color theme="3" tint="-0.499984740745262"/>
      <name val="Tahoma"/>
      <family val="2"/>
      <scheme val="minor"/>
    </font>
    <font>
      <sz val="11"/>
      <color theme="3" tint="-0.499984740745262"/>
      <name val="Tahoma"/>
      <family val="2"/>
      <scheme val="minor"/>
    </font>
    <font>
      <sz val="11"/>
      <color theme="4" tint="0.79998168889431442"/>
      <name val="Tahoma"/>
      <family val="2"/>
      <scheme val="minor"/>
    </font>
    <font>
      <b/>
      <sz val="11"/>
      <color theme="4" tint="0.79998168889431442"/>
      <name val="Tahoma"/>
      <family val="2"/>
      <scheme val="minor"/>
    </font>
    <font>
      <b/>
      <sz val="36"/>
      <color theme="7" tint="-0.499984740745262"/>
      <name val="Tahoma"/>
      <family val="2"/>
      <scheme val="major"/>
    </font>
    <font>
      <b/>
      <sz val="16"/>
      <color theme="3" tint="-0.499984740745262"/>
      <name val="Tahoma"/>
      <family val="2"/>
      <scheme val="major"/>
    </font>
    <font>
      <b/>
      <sz val="11"/>
      <color theme="3" tint="-0.499984740745262"/>
      <name val="Tahoma"/>
      <family val="2"/>
      <scheme val="major"/>
    </font>
    <font>
      <u/>
      <sz val="11"/>
      <color theme="10"/>
      <name val="Tahoma"/>
      <family val="2"/>
      <scheme val="minor"/>
    </font>
    <font>
      <b/>
      <sz val="16"/>
      <color rgb="FF234141"/>
      <name val="Tahoma"/>
      <scheme val="major"/>
    </font>
    <font>
      <b/>
      <sz val="10"/>
      <color theme="7" tint="-0.499984740745262"/>
      <name val="Tahoma"/>
      <family val="2"/>
      <scheme val="major"/>
    </font>
    <font>
      <b/>
      <sz val="14"/>
      <color theme="7" tint="-0.499984740745262"/>
      <name val="Tahoma"/>
      <family val="2"/>
      <scheme val="major"/>
    </font>
    <font>
      <b/>
      <sz val="10"/>
      <color theme="7" tint="-0.499984740745262"/>
      <name val="Tahoma"/>
      <scheme val="major"/>
    </font>
    <font>
      <b/>
      <sz val="11"/>
      <color rgb="FF242424"/>
      <name val="Aptos Narrow"/>
      <charset val="1"/>
    </font>
    <font>
      <b/>
      <sz val="10"/>
      <color rgb="FF234141"/>
      <name val="Tahoma"/>
    </font>
    <font>
      <b/>
      <sz val="11"/>
      <name val="Calibri"/>
    </font>
    <font>
      <b/>
      <sz val="11"/>
      <name val="Tahoma"/>
      <family val="2"/>
      <scheme val="minor"/>
    </font>
    <font>
      <b/>
      <sz val="14"/>
      <color theme="7" tint="-0.499984740745262"/>
      <name val="Tahoma"/>
      <scheme val="major"/>
    </font>
    <font>
      <b/>
      <sz val="10"/>
      <color rgb="FF000000"/>
      <name val="Tahoma"/>
    </font>
    <font>
      <b/>
      <sz val="10"/>
      <color theme="1"/>
      <name val="Tahoma"/>
      <family val="2"/>
      <scheme val="major"/>
    </font>
    <font>
      <sz val="10"/>
      <color theme="1"/>
      <name val="Calibri"/>
    </font>
    <font>
      <sz val="10"/>
      <color rgb="FF000000"/>
      <name val="Calibri"/>
    </font>
    <font>
      <sz val="10"/>
      <name val="Calibri"/>
    </font>
    <font>
      <u/>
      <sz val="10"/>
      <color rgb="FF0563C1"/>
      <name val="Calibri"/>
    </font>
    <font>
      <u/>
      <sz val="10"/>
      <color theme="10"/>
      <name val="Calibri"/>
    </font>
    <font>
      <b/>
      <sz val="10"/>
      <color rgb="FF000000"/>
      <name val="Calibri"/>
    </font>
    <font>
      <sz val="12"/>
      <color rgb="FFD13438"/>
      <name val="WordVisi_MSFontService"/>
      <charset val="1"/>
    </font>
    <font>
      <b/>
      <u/>
      <sz val="12"/>
      <color rgb="FFD13438"/>
      <name val="Times New Roman"/>
      <charset val="1"/>
    </font>
    <font>
      <sz val="9"/>
      <color rgb="FF000000"/>
      <name val="Times New Roman"/>
      <family val="1"/>
      <charset val="1"/>
    </font>
    <font>
      <b/>
      <u/>
      <sz val="12"/>
      <color rgb="FFD13438"/>
      <name val="Times New Roman"/>
    </font>
    <font>
      <b/>
      <sz val="12"/>
      <color rgb="FF000000"/>
      <name val="Times New Roman"/>
    </font>
  </fonts>
  <fills count="11">
    <fill>
      <patternFill patternType="none"/>
    </fill>
    <fill>
      <patternFill patternType="gray125"/>
    </fill>
    <fill>
      <patternFill patternType="solid">
        <fgColor theme="4"/>
      </patternFill>
    </fill>
    <fill>
      <patternFill patternType="solid">
        <fgColor theme="5"/>
      </patternFill>
    </fill>
    <fill>
      <patternFill patternType="solid">
        <fgColor theme="4" tint="0.79998168889431442"/>
        <bgColor indexed="65"/>
      </patternFill>
    </fill>
    <fill>
      <patternFill patternType="solid">
        <fgColor theme="6"/>
      </patternFill>
    </fill>
    <fill>
      <patternFill patternType="solid">
        <fgColor theme="4"/>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rgb="FF92D050"/>
        <bgColor indexed="64"/>
      </patternFill>
    </fill>
  </fills>
  <borders count="34">
    <border>
      <left/>
      <right/>
      <top/>
      <bottom/>
      <diagonal/>
    </border>
    <border>
      <left/>
      <right/>
      <top/>
      <bottom style="thin">
        <color theme="0"/>
      </bottom>
      <diagonal/>
    </border>
    <border>
      <left/>
      <right/>
      <top/>
      <bottom style="medium">
        <color theme="7"/>
      </bottom>
      <diagonal/>
    </border>
    <border>
      <left style="thin">
        <color theme="0"/>
      </left>
      <right/>
      <top/>
      <bottom/>
      <diagonal/>
    </border>
    <border>
      <left/>
      <right/>
      <top/>
      <bottom style="thin">
        <color theme="4"/>
      </bottom>
      <diagonal/>
    </border>
    <border>
      <left/>
      <right style="thin">
        <color theme="0"/>
      </right>
      <top/>
      <bottom style="thin">
        <color theme="4"/>
      </bottom>
      <diagonal/>
    </border>
    <border>
      <left style="thin">
        <color theme="0"/>
      </left>
      <right style="thin">
        <color theme="0"/>
      </right>
      <top/>
      <bottom style="thin">
        <color theme="4"/>
      </bottom>
      <diagonal/>
    </border>
    <border>
      <left style="thin">
        <color theme="0"/>
      </left>
      <right/>
      <top/>
      <bottom style="thin">
        <color theme="4"/>
      </bottom>
      <diagonal/>
    </border>
    <border>
      <left/>
      <right/>
      <top/>
      <bottom style="medium">
        <color theme="3"/>
      </bottom>
      <diagonal/>
    </border>
    <border>
      <left/>
      <right/>
      <top style="thick">
        <color theme="0"/>
      </top>
      <bottom style="medium">
        <color theme="7"/>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theme="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theme="0"/>
      </right>
      <top/>
      <bottom/>
      <diagonal/>
    </border>
    <border>
      <left style="thin">
        <color theme="0"/>
      </left>
      <right style="thin">
        <color theme="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3">
    <xf numFmtId="165" fontId="0" fillId="0" borderId="0" applyFill="0" applyBorder="0" applyProtection="0">
      <alignment horizontal="center" vertical="center"/>
    </xf>
    <xf numFmtId="0" fontId="5" fillId="2" borderId="0" applyNumberFormat="0" applyFont="0" applyBorder="0" applyAlignment="0" applyProtection="0"/>
    <xf numFmtId="0" fontId="5" fillId="3" borderId="0" applyNumberFormat="0" applyFont="0" applyBorder="0" applyAlignment="0" applyProtection="0"/>
    <xf numFmtId="0" fontId="6" fillId="3" borderId="1" applyFont="0" applyFill="0" applyBorder="0" applyAlignment="0">
      <alignment vertical="center"/>
    </xf>
    <xf numFmtId="0" fontId="4" fillId="4" borderId="0" applyNumberFormat="0" applyBorder="0" applyAlignment="0" applyProtection="0"/>
    <xf numFmtId="0" fontId="5" fillId="5" borderId="0" applyNumberFormat="0" applyBorder="0" applyAlignment="0" applyProtection="0"/>
    <xf numFmtId="0" fontId="8" fillId="0" borderId="0">
      <alignment horizontal="left" vertical="center"/>
    </xf>
    <xf numFmtId="164" fontId="1" fillId="0" borderId="0" applyFont="0" applyFill="0" applyBorder="0" applyProtection="0">
      <alignment horizontal="center" vertical="center"/>
    </xf>
    <xf numFmtId="164" fontId="1" fillId="0" borderId="0" applyFont="0" applyFill="0" applyBorder="0" applyProtection="0">
      <alignment horizontal="center" vertical="center"/>
    </xf>
    <xf numFmtId="0" fontId="9" fillId="6" borderId="0" applyNumberFormat="0" applyBorder="0" applyProtection="0">
      <alignment vertical="center"/>
    </xf>
    <xf numFmtId="0" fontId="10" fillId="0" borderId="2" applyNumberFormat="0" applyFill="0" applyProtection="0">
      <alignment horizontal="left" vertical="center"/>
    </xf>
    <xf numFmtId="0" fontId="7" fillId="0" borderId="0" applyNumberFormat="0" applyFill="0" applyBorder="0" applyProtection="0">
      <alignment horizontal="left" vertical="center" indent="1"/>
    </xf>
    <xf numFmtId="165" fontId="20" fillId="0" borderId="0" applyNumberFormat="0" applyFill="0" applyBorder="0" applyAlignment="0" applyProtection="0">
      <alignment horizontal="center" vertical="center"/>
    </xf>
  </cellStyleXfs>
  <cellXfs count="199">
    <xf numFmtId="165" fontId="0" fillId="0" borderId="0" xfId="0">
      <alignment horizontal="center" vertical="center"/>
    </xf>
    <xf numFmtId="165" fontId="3" fillId="0" borderId="0" xfId="0" applyFont="1">
      <alignment horizontal="center" vertical="center"/>
    </xf>
    <xf numFmtId="165" fontId="3" fillId="0" borderId="0" xfId="0" applyFont="1" applyAlignment="1">
      <alignment horizontal="center"/>
    </xf>
    <xf numFmtId="165" fontId="3" fillId="0" borderId="0" xfId="0" applyFont="1" applyAlignment="1">
      <alignment vertical="center"/>
    </xf>
    <xf numFmtId="165" fontId="2" fillId="0" borderId="0" xfId="0" applyFont="1">
      <alignment horizontal="center" vertical="center"/>
    </xf>
    <xf numFmtId="165" fontId="11" fillId="7" borderId="0" xfId="9" applyNumberFormat="1" applyFont="1" applyFill="1">
      <alignment vertical="center"/>
    </xf>
    <xf numFmtId="165" fontId="14" fillId="4" borderId="3" xfId="0" applyFont="1" applyFill="1" applyBorder="1" applyAlignment="1">
      <alignment horizontal="right" vertical="center" indent="2"/>
    </xf>
    <xf numFmtId="165" fontId="14" fillId="0" borderId="0" xfId="0" applyFont="1" applyBorder="1">
      <alignment horizontal="center" vertical="center"/>
    </xf>
    <xf numFmtId="165" fontId="14" fillId="0" borderId="0" xfId="11" applyNumberFormat="1" applyFont="1" applyBorder="1">
      <alignment horizontal="left" vertical="center" indent="1"/>
    </xf>
    <xf numFmtId="165" fontId="16" fillId="4" borderId="4" xfId="0" applyFont="1" applyFill="1" applyBorder="1" applyAlignment="1">
      <alignment vertical="center"/>
    </xf>
    <xf numFmtId="165" fontId="11" fillId="0" borderId="0" xfId="9" applyNumberFormat="1" applyFont="1" applyFill="1">
      <alignment vertical="center"/>
    </xf>
    <xf numFmtId="165" fontId="17" fillId="0" borderId="0" xfId="9" applyNumberFormat="1" applyFont="1" applyFill="1" applyBorder="1" applyAlignment="1">
      <alignment horizontal="center" vertical="center"/>
    </xf>
    <xf numFmtId="165" fontId="19" fillId="4" borderId="5" xfId="0" applyFont="1" applyFill="1" applyBorder="1" applyAlignment="1">
      <alignment horizontal="left" vertical="center" indent="1"/>
    </xf>
    <xf numFmtId="165" fontId="19" fillId="4" borderId="6" xfId="0" applyFont="1" applyFill="1" applyBorder="1" applyAlignment="1">
      <alignment horizontal="right" vertical="center" indent="2"/>
    </xf>
    <xf numFmtId="165" fontId="19" fillId="4" borderId="7" xfId="0" applyFont="1" applyFill="1" applyBorder="1" applyAlignment="1">
      <alignment horizontal="right" vertical="center" indent="2"/>
    </xf>
    <xf numFmtId="165" fontId="20" fillId="0" borderId="0" xfId="12" applyNumberFormat="1" applyFill="1" applyBorder="1" applyAlignment="1">
      <alignment horizontal="center" vertical="center"/>
    </xf>
    <xf numFmtId="1" fontId="22" fillId="0" borderId="0" xfId="9" applyNumberFormat="1" applyFont="1" applyFill="1" applyBorder="1" applyAlignment="1">
      <alignment horizontal="center" vertical="center"/>
    </xf>
    <xf numFmtId="165" fontId="23" fillId="0" borderId="12" xfId="9" applyNumberFormat="1" applyFont="1" applyFill="1" applyBorder="1" applyAlignment="1">
      <alignment horizontal="center" vertical="center"/>
    </xf>
    <xf numFmtId="166" fontId="22" fillId="0" borderId="12" xfId="9" applyNumberFormat="1" applyFont="1" applyFill="1" applyBorder="1" applyAlignment="1">
      <alignment horizontal="center" vertical="center"/>
    </xf>
    <xf numFmtId="14" fontId="22" fillId="0" borderId="12" xfId="9" applyNumberFormat="1" applyFont="1" applyFill="1" applyBorder="1" applyAlignment="1">
      <alignment horizontal="center" vertical="center"/>
    </xf>
    <xf numFmtId="2" fontId="22" fillId="0" borderId="12" xfId="9" applyNumberFormat="1" applyFont="1" applyFill="1" applyBorder="1" applyAlignment="1">
      <alignment horizontal="center" vertical="center"/>
    </xf>
    <xf numFmtId="165" fontId="22" fillId="0" borderId="0" xfId="9" applyNumberFormat="1" applyFont="1" applyFill="1" applyBorder="1">
      <alignment vertical="center"/>
    </xf>
    <xf numFmtId="165" fontId="22" fillId="0" borderId="0" xfId="9" applyNumberFormat="1" applyFont="1" applyFill="1" applyBorder="1" applyAlignment="1">
      <alignment vertical="center" wrapText="1"/>
    </xf>
    <xf numFmtId="165" fontId="16" fillId="4" borderId="0" xfId="0" applyFont="1" applyFill="1" applyBorder="1" applyAlignment="1">
      <alignment vertical="center"/>
    </xf>
    <xf numFmtId="165" fontId="19" fillId="4" borderId="20" xfId="0" applyFont="1" applyFill="1" applyBorder="1" applyAlignment="1">
      <alignment horizontal="left" vertical="center" indent="1"/>
    </xf>
    <xf numFmtId="165" fontId="19" fillId="4" borderId="21" xfId="0" applyFont="1" applyFill="1" applyBorder="1" applyAlignment="1">
      <alignment horizontal="right" vertical="center" indent="2"/>
    </xf>
    <xf numFmtId="165" fontId="19" fillId="4" borderId="3" xfId="0" applyFont="1" applyFill="1" applyBorder="1" applyAlignment="1">
      <alignment horizontal="right" vertical="center" indent="2"/>
    </xf>
    <xf numFmtId="165" fontId="13" fillId="0" borderId="0" xfId="0" applyFont="1" applyFill="1" applyBorder="1">
      <alignment horizontal="center" vertical="center"/>
    </xf>
    <xf numFmtId="165" fontId="14" fillId="0" borderId="12" xfId="0" applyFont="1" applyFill="1" applyBorder="1" applyAlignment="1">
      <alignment vertical="center"/>
    </xf>
    <xf numFmtId="165" fontId="3" fillId="0" borderId="22" xfId="0" applyFont="1" applyBorder="1">
      <alignment horizontal="center" vertical="center"/>
    </xf>
    <xf numFmtId="165" fontId="3" fillId="0" borderId="23" xfId="0" applyFont="1" applyBorder="1" applyAlignment="1">
      <alignment vertical="center"/>
    </xf>
    <xf numFmtId="165" fontId="3" fillId="0" borderId="23" xfId="0" applyFont="1" applyBorder="1">
      <alignment horizontal="center" vertical="center"/>
    </xf>
    <xf numFmtId="165" fontId="3" fillId="0" borderId="24" xfId="0" applyFont="1" applyBorder="1" applyAlignment="1">
      <alignment vertical="center"/>
    </xf>
    <xf numFmtId="165" fontId="11" fillId="7" borderId="25" xfId="9" applyNumberFormat="1" applyFont="1" applyFill="1" applyBorder="1">
      <alignment vertical="center"/>
    </xf>
    <xf numFmtId="165" fontId="11" fillId="7" borderId="26" xfId="9" applyNumberFormat="1" applyFont="1" applyFill="1" applyBorder="1">
      <alignment vertical="center"/>
    </xf>
    <xf numFmtId="165" fontId="11" fillId="0" borderId="25" xfId="9" applyNumberFormat="1" applyFont="1" applyFill="1" applyBorder="1">
      <alignment vertical="center"/>
    </xf>
    <xf numFmtId="165" fontId="11" fillId="0" borderId="26" xfId="9" applyNumberFormat="1" applyFont="1" applyFill="1" applyBorder="1">
      <alignment vertical="center"/>
    </xf>
    <xf numFmtId="165" fontId="2" fillId="0" borderId="25" xfId="0" applyFont="1" applyBorder="1">
      <alignment horizontal="center" vertical="center"/>
    </xf>
    <xf numFmtId="165" fontId="2" fillId="0" borderId="0" xfId="0" applyFont="1" applyBorder="1">
      <alignment horizontal="center" vertical="center"/>
    </xf>
    <xf numFmtId="165" fontId="2" fillId="0" borderId="26" xfId="0" applyFont="1" applyBorder="1">
      <alignment horizontal="center" vertical="center"/>
    </xf>
    <xf numFmtId="165" fontId="3" fillId="0" borderId="25" xfId="0" applyFont="1" applyBorder="1" applyAlignment="1">
      <alignment vertical="center"/>
    </xf>
    <xf numFmtId="165" fontId="3" fillId="0" borderId="0" xfId="0" applyFont="1" applyBorder="1" applyAlignment="1">
      <alignment vertical="center"/>
    </xf>
    <xf numFmtId="165" fontId="3" fillId="0" borderId="26" xfId="0" applyFont="1" applyBorder="1" applyAlignment="1">
      <alignment vertical="center"/>
    </xf>
    <xf numFmtId="165" fontId="14" fillId="0" borderId="0" xfId="11" applyNumberFormat="1" applyFont="1" applyFill="1" applyBorder="1">
      <alignment horizontal="left" vertical="center" indent="1"/>
    </xf>
    <xf numFmtId="165" fontId="14" fillId="0" borderId="0" xfId="0" applyFont="1" applyFill="1" applyBorder="1" applyAlignment="1">
      <alignment horizontal="right" vertical="center" indent="1"/>
    </xf>
    <xf numFmtId="1" fontId="14" fillId="0" borderId="0" xfId="11" applyNumberFormat="1" applyFont="1" applyFill="1" applyBorder="1" applyAlignment="1">
      <alignment horizontal="right" vertical="center" indent="1"/>
    </xf>
    <xf numFmtId="1" fontId="14" fillId="0" borderId="0" xfId="0" applyNumberFormat="1" applyFont="1" applyFill="1" applyBorder="1" applyAlignment="1">
      <alignment horizontal="right" vertical="center" indent="1"/>
    </xf>
    <xf numFmtId="165" fontId="14" fillId="0" borderId="0" xfId="0" applyFont="1" applyFill="1" applyBorder="1">
      <alignment horizontal="center" vertical="center"/>
    </xf>
    <xf numFmtId="1" fontId="14" fillId="0" borderId="0" xfId="0" applyNumberFormat="1" applyFont="1" applyBorder="1" applyAlignment="1">
      <alignment horizontal="right" vertical="center" indent="1"/>
    </xf>
    <xf numFmtId="1" fontId="14" fillId="0" borderId="0" xfId="11" applyNumberFormat="1" applyFont="1" applyBorder="1" applyAlignment="1">
      <alignment horizontal="right" vertical="center" indent="1"/>
    </xf>
    <xf numFmtId="165" fontId="3" fillId="0" borderId="25" xfId="0" applyFont="1" applyBorder="1">
      <alignment horizontal="center" vertical="center"/>
    </xf>
    <xf numFmtId="165" fontId="3" fillId="0" borderId="0" xfId="0" applyFont="1" applyBorder="1">
      <alignment horizontal="center" vertical="center"/>
    </xf>
    <xf numFmtId="165" fontId="15" fillId="4" borderId="0" xfId="0" applyFont="1" applyFill="1" applyBorder="1" applyAlignment="1">
      <alignment vertical="center"/>
    </xf>
    <xf numFmtId="165" fontId="14" fillId="4" borderId="0" xfId="0" applyFont="1" applyFill="1" applyBorder="1" applyAlignment="1">
      <alignment horizontal="left" vertical="center" indent="1"/>
    </xf>
    <xf numFmtId="165" fontId="14" fillId="4" borderId="0" xfId="0" applyFont="1" applyFill="1" applyBorder="1" applyAlignment="1">
      <alignment horizontal="right" vertical="center" indent="2"/>
    </xf>
    <xf numFmtId="165" fontId="14" fillId="0" borderId="0" xfId="4" applyNumberFormat="1" applyFont="1" applyFill="1" applyBorder="1" applyAlignment="1">
      <alignment vertical="center"/>
    </xf>
    <xf numFmtId="0" fontId="14" fillId="0" borderId="0" xfId="4" applyFont="1" applyFill="1" applyBorder="1" applyAlignment="1">
      <alignment horizontal="left" vertical="center" indent="1"/>
    </xf>
    <xf numFmtId="1" fontId="14" fillId="0" borderId="0" xfId="4" applyNumberFormat="1" applyFont="1" applyFill="1" applyBorder="1" applyAlignment="1">
      <alignment horizontal="right" vertical="center" indent="1"/>
    </xf>
    <xf numFmtId="0" fontId="14" fillId="0" borderId="0" xfId="4" applyFont="1" applyFill="1" applyBorder="1" applyAlignment="1">
      <alignment horizontal="right" vertical="center" indent="1"/>
    </xf>
    <xf numFmtId="165" fontId="3" fillId="0" borderId="0" xfId="0" applyFont="1" applyBorder="1" applyAlignment="1">
      <alignment horizontal="center"/>
    </xf>
    <xf numFmtId="165" fontId="3" fillId="0" borderId="26" xfId="0" applyFont="1" applyBorder="1">
      <alignment horizontal="center" vertical="center"/>
    </xf>
    <xf numFmtId="165" fontId="3" fillId="0" borderId="27" xfId="0" applyFont="1" applyBorder="1">
      <alignment horizontal="center" vertical="center"/>
    </xf>
    <xf numFmtId="165" fontId="3" fillId="0" borderId="28" xfId="0" applyFont="1" applyBorder="1">
      <alignment horizontal="center" vertical="center"/>
    </xf>
    <xf numFmtId="165" fontId="3" fillId="0" borderId="28" xfId="0" applyFont="1" applyBorder="1" applyAlignment="1">
      <alignment horizontal="center"/>
    </xf>
    <xf numFmtId="165" fontId="3" fillId="0" borderId="29" xfId="0" applyFont="1" applyBorder="1">
      <alignment horizontal="center" vertical="center"/>
    </xf>
    <xf numFmtId="165" fontId="24" fillId="0" borderId="0" xfId="9" applyNumberFormat="1" applyFont="1" applyFill="1" applyBorder="1" applyAlignment="1">
      <alignment horizontal="center" vertical="center"/>
    </xf>
    <xf numFmtId="165" fontId="25" fillId="0" borderId="0" xfId="9" applyNumberFormat="1" applyFont="1" applyFill="1" applyBorder="1" applyAlignment="1">
      <alignment horizontal="center" vertical="center" wrapText="1"/>
    </xf>
    <xf numFmtId="165" fontId="24" fillId="0" borderId="0" xfId="9" applyNumberFormat="1" applyFont="1" applyFill="1" applyBorder="1" applyAlignment="1">
      <alignment horizontal="center" vertical="center" wrapText="1"/>
    </xf>
    <xf numFmtId="165" fontId="20" fillId="0" borderId="12" xfId="12" applyBorder="1">
      <alignment horizontal="center" vertical="center"/>
    </xf>
    <xf numFmtId="1" fontId="22" fillId="0" borderId="12" xfId="9" applyNumberFormat="1" applyFont="1" applyFill="1" applyBorder="1" applyAlignment="1">
      <alignment horizontal="center" vertical="center"/>
    </xf>
    <xf numFmtId="2" fontId="0" fillId="0" borderId="0" xfId="0" applyNumberFormat="1" applyAlignment="1">
      <alignment vertical="center"/>
    </xf>
    <xf numFmtId="165" fontId="29" fillId="0" borderId="0" xfId="9" applyNumberFormat="1" applyFont="1" applyFill="1" applyBorder="1" applyAlignment="1">
      <alignment horizontal="center" vertical="center"/>
    </xf>
    <xf numFmtId="166" fontId="24" fillId="0" borderId="0" xfId="9" applyNumberFormat="1" applyFont="1" applyFill="1" applyBorder="1" applyAlignment="1">
      <alignment horizontal="center" vertical="center"/>
    </xf>
    <xf numFmtId="165" fontId="28" fillId="0" borderId="12" xfId="0" applyFont="1" applyFill="1" applyBorder="1">
      <alignment horizontal="center" vertical="center"/>
    </xf>
    <xf numFmtId="1" fontId="0" fillId="0" borderId="0" xfId="0" applyNumberFormat="1" applyAlignment="1">
      <alignment vertical="center"/>
    </xf>
    <xf numFmtId="165" fontId="14" fillId="0" borderId="13" xfId="11" applyNumberFormat="1" applyFont="1" applyFill="1" applyBorder="1" applyAlignment="1">
      <alignment horizontal="center" vertical="center" indent="1"/>
    </xf>
    <xf numFmtId="165" fontId="14" fillId="0" borderId="17" xfId="11" applyNumberFormat="1" applyFont="1" applyFill="1" applyBorder="1" applyAlignment="1">
      <alignment horizontal="center" vertical="center" indent="1"/>
    </xf>
    <xf numFmtId="165" fontId="14" fillId="0" borderId="14" xfId="11" applyNumberFormat="1" applyFont="1" applyFill="1" applyBorder="1" applyAlignment="1">
      <alignment horizontal="center" vertical="center" indent="1"/>
    </xf>
    <xf numFmtId="165" fontId="14" fillId="0" borderId="13" xfId="11" applyNumberFormat="1" applyFont="1" applyBorder="1" applyAlignment="1">
      <alignment horizontal="center" vertical="center" indent="1"/>
    </xf>
    <xf numFmtId="165" fontId="14" fillId="0" borderId="17" xfId="11" applyNumberFormat="1" applyFont="1" applyBorder="1" applyAlignment="1">
      <alignment horizontal="center" vertical="center" indent="1"/>
    </xf>
    <xf numFmtId="165" fontId="14" fillId="0" borderId="14" xfId="11" applyNumberFormat="1" applyFont="1" applyBorder="1" applyAlignment="1">
      <alignment horizontal="center" vertical="center" indent="1"/>
    </xf>
    <xf numFmtId="165" fontId="3" fillId="0" borderId="13" xfId="0" applyFont="1" applyFill="1" applyBorder="1">
      <alignment horizontal="center" vertical="center"/>
    </xf>
    <xf numFmtId="165" fontId="3" fillId="0" borderId="14" xfId="0" applyFont="1" applyFill="1" applyBorder="1">
      <alignment horizontal="center" vertical="center"/>
    </xf>
    <xf numFmtId="2" fontId="0" fillId="0" borderId="0" xfId="0" applyNumberFormat="1" applyAlignment="1">
      <alignment horizontal="left" vertical="center"/>
    </xf>
    <xf numFmtId="2" fontId="27" fillId="0" borderId="0" xfId="0" applyNumberFormat="1" applyFont="1" applyFill="1" applyBorder="1" applyAlignment="1">
      <alignment horizontal="left" vertical="center"/>
    </xf>
    <xf numFmtId="2" fontId="28" fillId="0" borderId="0" xfId="0" applyNumberFormat="1" applyFont="1" applyAlignment="1">
      <alignment horizontal="left" vertical="center"/>
    </xf>
    <xf numFmtId="165" fontId="22" fillId="0" borderId="0" xfId="9" applyNumberFormat="1" applyFont="1" applyFill="1" applyBorder="1" applyAlignment="1">
      <alignment horizontal="center" vertical="center"/>
    </xf>
    <xf numFmtId="10" fontId="14" fillId="0" borderId="0" xfId="4" applyNumberFormat="1" applyFont="1" applyFill="1" applyBorder="1" applyAlignment="1">
      <alignment horizontal="right" vertical="center" indent="1"/>
    </xf>
    <xf numFmtId="165" fontId="17" fillId="0" borderId="30" xfId="9" applyNumberFormat="1" applyFont="1" applyFill="1" applyBorder="1" applyAlignment="1">
      <alignment horizontal="center" vertical="center"/>
    </xf>
    <xf numFmtId="165" fontId="17" fillId="0" borderId="30" xfId="9" applyNumberFormat="1" applyFont="1" applyFill="1" applyBorder="1" applyAlignment="1">
      <alignment horizontal="left" vertical="center"/>
    </xf>
    <xf numFmtId="165" fontId="20" fillId="0" borderId="0" xfId="12" applyAlignment="1">
      <alignment vertical="center"/>
    </xf>
    <xf numFmtId="165" fontId="20" fillId="0" borderId="0" xfId="12" applyAlignment="1">
      <alignment horizontal="left" vertical="center"/>
    </xf>
    <xf numFmtId="165" fontId="30" fillId="0" borderId="12" xfId="12" applyNumberFormat="1" applyFont="1" applyFill="1" applyBorder="1" applyAlignment="1">
      <alignment horizontal="center" vertical="center"/>
    </xf>
    <xf numFmtId="165" fontId="31" fillId="0" borderId="18" xfId="9" applyNumberFormat="1" applyFont="1" applyFill="1" applyBorder="1" applyAlignment="1">
      <alignment horizontal="center" vertical="center"/>
    </xf>
    <xf numFmtId="1" fontId="22" fillId="0" borderId="18" xfId="9" applyNumberFormat="1" applyFont="1" applyFill="1" applyBorder="1" applyAlignment="1">
      <alignment horizontal="center" vertical="center"/>
    </xf>
    <xf numFmtId="1" fontId="22" fillId="0" borderId="31" xfId="9" applyNumberFormat="1" applyFont="1" applyFill="1" applyBorder="1" applyAlignment="1">
      <alignment horizontal="center" vertical="center"/>
    </xf>
    <xf numFmtId="165" fontId="34" fillId="0" borderId="0" xfId="0" applyFont="1" applyAlignment="1">
      <alignment vertical="center"/>
    </xf>
    <xf numFmtId="1" fontId="34" fillId="0" borderId="0" xfId="0" applyNumberFormat="1" applyFont="1" applyAlignment="1">
      <alignment vertical="center"/>
    </xf>
    <xf numFmtId="2" fontId="34" fillId="0" borderId="0" xfId="0" applyNumberFormat="1" applyFont="1" applyAlignment="1">
      <alignment vertical="center"/>
    </xf>
    <xf numFmtId="1" fontId="27" fillId="0" borderId="0" xfId="0" applyNumberFormat="1" applyFont="1" applyFill="1" applyBorder="1" applyAlignment="1">
      <alignment vertical="center"/>
    </xf>
    <xf numFmtId="1" fontId="28" fillId="0" borderId="0" xfId="0" applyNumberFormat="1" applyFont="1" applyAlignment="1">
      <alignment vertical="center"/>
    </xf>
    <xf numFmtId="165" fontId="34" fillId="0" borderId="0" xfId="0" applyFont="1">
      <alignment horizontal="center" vertical="center"/>
    </xf>
    <xf numFmtId="2" fontId="34" fillId="0" borderId="0" xfId="0" applyNumberFormat="1" applyFont="1">
      <alignment horizontal="center" vertical="center"/>
    </xf>
    <xf numFmtId="1" fontId="34" fillId="0" borderId="0" xfId="0" applyNumberFormat="1" applyFont="1">
      <alignment horizontal="center" vertical="center"/>
    </xf>
    <xf numFmtId="165" fontId="34" fillId="0" borderId="12" xfId="0" applyFont="1" applyBorder="1">
      <alignment horizontal="center" vertical="center"/>
    </xf>
    <xf numFmtId="165" fontId="33" fillId="0" borderId="12" xfId="0" applyFont="1" applyBorder="1">
      <alignment horizontal="center" vertical="center"/>
    </xf>
    <xf numFmtId="165" fontId="33" fillId="0" borderId="12" xfId="0" applyFont="1" applyBorder="1" applyAlignment="1">
      <alignment vertical="center"/>
    </xf>
    <xf numFmtId="165" fontId="34" fillId="0" borderId="12" xfId="0" applyFont="1" applyBorder="1" applyAlignment="1">
      <alignment horizontal="left" vertical="center"/>
    </xf>
    <xf numFmtId="165" fontId="37" fillId="0" borderId="12" xfId="0" applyFont="1" applyBorder="1" applyAlignment="1">
      <alignment vertical="center"/>
    </xf>
    <xf numFmtId="1" fontId="34" fillId="0" borderId="12" xfId="0" applyNumberFormat="1" applyFont="1" applyBorder="1" applyAlignment="1">
      <alignment horizontal="left" vertical="center"/>
    </xf>
    <xf numFmtId="165" fontId="33" fillId="0" borderId="12" xfId="0" applyFont="1" applyBorder="1" applyAlignment="1">
      <alignment horizontal="left" vertical="center"/>
    </xf>
    <xf numFmtId="2" fontId="34" fillId="0" borderId="12" xfId="0" applyNumberFormat="1" applyFont="1" applyBorder="1" applyAlignment="1">
      <alignment horizontal="left" vertical="center"/>
    </xf>
    <xf numFmtId="165" fontId="33" fillId="0" borderId="12" xfId="12" applyFont="1" applyBorder="1" applyAlignment="1">
      <alignment vertical="center"/>
    </xf>
    <xf numFmtId="165" fontId="35" fillId="0" borderId="12" xfId="0" applyFont="1" applyBorder="1" applyAlignment="1">
      <alignment horizontal="left" vertical="center"/>
    </xf>
    <xf numFmtId="165" fontId="38" fillId="0" borderId="12" xfId="0" applyFont="1" applyBorder="1">
      <alignment horizontal="center" vertical="center"/>
    </xf>
    <xf numFmtId="165" fontId="36" fillId="0" borderId="12" xfId="12" applyFont="1" applyFill="1" applyBorder="1" applyAlignment="1">
      <alignment horizontal="left" vertical="center"/>
    </xf>
    <xf numFmtId="165" fontId="39" fillId="0" borderId="12" xfId="0" applyFont="1" applyBorder="1">
      <alignment horizontal="center" vertical="center"/>
    </xf>
    <xf numFmtId="165" fontId="32" fillId="0" borderId="12" xfId="0" applyFont="1" applyBorder="1" applyAlignment="1">
      <alignment vertical="center"/>
    </xf>
    <xf numFmtId="165" fontId="34" fillId="0" borderId="12" xfId="0" applyFont="1" applyBorder="1" applyAlignment="1">
      <alignment vertical="center"/>
    </xf>
    <xf numFmtId="2" fontId="34" fillId="0" borderId="12" xfId="0" applyNumberFormat="1" applyFont="1" applyBorder="1" applyAlignment="1">
      <alignment vertical="center"/>
    </xf>
    <xf numFmtId="1" fontId="34" fillId="0" borderId="12" xfId="0" applyNumberFormat="1" applyFont="1" applyBorder="1" applyAlignment="1">
      <alignment vertical="center"/>
    </xf>
    <xf numFmtId="165" fontId="34" fillId="0" borderId="12" xfId="0" applyFont="1" applyBorder="1" applyAlignment="1">
      <alignment horizontal="left" vertical="center" wrapText="1"/>
    </xf>
    <xf numFmtId="165" fontId="33" fillId="0" borderId="12" xfId="0" applyFont="1" applyBorder="1" applyAlignment="1">
      <alignment vertical="center" wrapText="1"/>
    </xf>
    <xf numFmtId="165" fontId="40" fillId="0" borderId="0" xfId="0" applyFont="1">
      <alignment horizontal="center" vertical="center"/>
    </xf>
    <xf numFmtId="0" fontId="34" fillId="0" borderId="0" xfId="0" applyNumberFormat="1" applyFont="1" applyAlignment="1">
      <alignment vertical="center"/>
    </xf>
    <xf numFmtId="165" fontId="34" fillId="0" borderId="0" xfId="0" applyFont="1" applyAlignment="1">
      <alignment vertical="center" wrapText="1"/>
    </xf>
    <xf numFmtId="165" fontId="35" fillId="0" borderId="12" xfId="0" applyFont="1" applyBorder="1" applyAlignment="1">
      <alignment horizontal="left" vertical="center" wrapText="1"/>
    </xf>
    <xf numFmtId="165" fontId="33" fillId="0" borderId="12" xfId="0" applyFont="1" applyBorder="1" applyAlignment="1">
      <alignment horizontal="left" vertical="center" wrapText="1"/>
    </xf>
    <xf numFmtId="165" fontId="41" fillId="0" borderId="12" xfId="0" applyFont="1" applyBorder="1">
      <alignment horizontal="center" vertical="center"/>
    </xf>
    <xf numFmtId="0" fontId="34" fillId="0" borderId="0" xfId="0" applyNumberFormat="1" applyFont="1">
      <alignment horizontal="center" vertical="center"/>
    </xf>
    <xf numFmtId="0" fontId="34" fillId="0" borderId="12" xfId="0" applyNumberFormat="1" applyFont="1" applyBorder="1">
      <alignment horizontal="center" vertical="center"/>
    </xf>
    <xf numFmtId="0" fontId="34" fillId="0" borderId="12" xfId="0" applyNumberFormat="1" applyFont="1" applyBorder="1" applyAlignment="1">
      <alignment horizontal="left" vertical="center"/>
    </xf>
    <xf numFmtId="0" fontId="33" fillId="0" borderId="12" xfId="0" applyNumberFormat="1" applyFont="1" applyBorder="1" applyAlignment="1">
      <alignment horizontal="left" vertical="center"/>
    </xf>
    <xf numFmtId="0" fontId="34" fillId="0" borderId="12" xfId="0" applyNumberFormat="1" applyFont="1" applyBorder="1" applyAlignment="1">
      <alignment vertical="center"/>
    </xf>
    <xf numFmtId="165" fontId="32" fillId="9" borderId="12" xfId="0" applyFont="1" applyFill="1" applyBorder="1" applyAlignment="1">
      <alignment horizontal="left" vertical="center" wrapText="1"/>
    </xf>
    <xf numFmtId="165" fontId="33" fillId="9" borderId="12" xfId="0" applyFont="1" applyFill="1" applyBorder="1" applyAlignment="1">
      <alignment vertical="center"/>
    </xf>
    <xf numFmtId="165" fontId="38" fillId="9" borderId="12" xfId="0" applyFont="1" applyFill="1" applyBorder="1">
      <alignment horizontal="center" vertical="center"/>
    </xf>
    <xf numFmtId="165" fontId="34" fillId="0" borderId="0" xfId="0" applyFont="1" applyFill="1">
      <alignment horizontal="center" vertical="center"/>
    </xf>
    <xf numFmtId="0" fontId="34" fillId="10" borderId="0" xfId="0" applyNumberFormat="1" applyFont="1" applyFill="1">
      <alignment horizontal="center" vertical="center"/>
    </xf>
    <xf numFmtId="165" fontId="34" fillId="10" borderId="0" xfId="0" applyFont="1" applyFill="1">
      <alignment horizontal="center" vertical="center"/>
    </xf>
    <xf numFmtId="2" fontId="34" fillId="10" borderId="13" xfId="0" applyNumberFormat="1" applyFont="1" applyFill="1" applyBorder="1">
      <alignment horizontal="center" vertical="center"/>
    </xf>
    <xf numFmtId="2" fontId="34" fillId="10" borderId="14" xfId="0" applyNumberFormat="1" applyFont="1" applyFill="1" applyBorder="1">
      <alignment horizontal="center" vertical="center"/>
    </xf>
    <xf numFmtId="165" fontId="17" fillId="0" borderId="13" xfId="9" applyNumberFormat="1" applyFont="1" applyFill="1" applyBorder="1" applyAlignment="1">
      <alignment horizontal="center" vertical="center"/>
    </xf>
    <xf numFmtId="165" fontId="17" fillId="0" borderId="14" xfId="9" applyNumberFormat="1" applyFont="1" applyFill="1" applyBorder="1" applyAlignment="1">
      <alignment horizontal="center" vertical="center"/>
    </xf>
    <xf numFmtId="165" fontId="12" fillId="8" borderId="8" xfId="10" applyNumberFormat="1" applyFont="1" applyFill="1" applyBorder="1" applyAlignment="1">
      <alignment horizontal="center" vertical="center"/>
    </xf>
    <xf numFmtId="165" fontId="22" fillId="0" borderId="13" xfId="9" applyNumberFormat="1" applyFont="1" applyFill="1" applyBorder="1" applyAlignment="1">
      <alignment horizontal="center" vertical="center"/>
    </xf>
    <xf numFmtId="165" fontId="22" fillId="0" borderId="12" xfId="9" applyNumberFormat="1" applyFont="1" applyFill="1" applyBorder="1" applyAlignment="1">
      <alignment horizontal="center" vertical="center"/>
    </xf>
    <xf numFmtId="165" fontId="3" fillId="0" borderId="12" xfId="0" applyFont="1" applyBorder="1">
      <alignment horizontal="center" vertical="center"/>
    </xf>
    <xf numFmtId="165" fontId="22" fillId="0" borderId="19" xfId="9" applyNumberFormat="1" applyFont="1" applyFill="1" applyBorder="1" applyAlignment="1">
      <alignment horizontal="left" vertical="center" wrapText="1"/>
    </xf>
    <xf numFmtId="165" fontId="22" fillId="0" borderId="11" xfId="9" applyNumberFormat="1" applyFont="1" applyFill="1" applyBorder="1" applyAlignment="1">
      <alignment horizontal="left" vertical="center" wrapText="1"/>
    </xf>
    <xf numFmtId="165" fontId="22" fillId="0" borderId="17" xfId="9" applyNumberFormat="1" applyFont="1" applyFill="1" applyBorder="1" applyAlignment="1">
      <alignment horizontal="left" vertical="center" wrapText="1"/>
    </xf>
    <xf numFmtId="165" fontId="22" fillId="0" borderId="14" xfId="9" applyNumberFormat="1" applyFont="1" applyFill="1" applyBorder="1" applyAlignment="1">
      <alignment horizontal="left" vertical="center" wrapText="1"/>
    </xf>
    <xf numFmtId="165" fontId="21" fillId="8" borderId="0" xfId="10" applyNumberFormat="1" applyFont="1" applyFill="1" applyBorder="1" applyAlignment="1">
      <alignment horizontal="center" vertical="center"/>
    </xf>
    <xf numFmtId="165" fontId="14" fillId="0" borderId="13" xfId="0" applyFont="1" applyBorder="1">
      <alignment horizontal="center" vertical="center"/>
    </xf>
    <xf numFmtId="165" fontId="14" fillId="0" borderId="17" xfId="0" applyFont="1" applyBorder="1">
      <alignment horizontal="center" vertical="center"/>
    </xf>
    <xf numFmtId="165" fontId="14" fillId="0" borderId="14" xfId="0" applyFont="1" applyBorder="1">
      <alignment horizontal="center" vertical="center"/>
    </xf>
    <xf numFmtId="165" fontId="14" fillId="0" borderId="13" xfId="11" applyNumberFormat="1" applyFont="1" applyFill="1" applyBorder="1" applyAlignment="1">
      <alignment horizontal="center" vertical="center" indent="1"/>
    </xf>
    <xf numFmtId="165" fontId="14" fillId="0" borderId="17" xfId="11" applyNumberFormat="1" applyFont="1" applyFill="1" applyBorder="1" applyAlignment="1">
      <alignment horizontal="center" vertical="center" indent="1"/>
    </xf>
    <xf numFmtId="165" fontId="14" fillId="0" borderId="14" xfId="11" applyNumberFormat="1" applyFont="1" applyFill="1" applyBorder="1" applyAlignment="1">
      <alignment horizontal="center" vertical="center" indent="1"/>
    </xf>
    <xf numFmtId="165" fontId="22" fillId="0" borderId="18" xfId="9" applyNumberFormat="1" applyFont="1" applyFill="1" applyBorder="1" applyAlignment="1">
      <alignment horizontal="center" vertical="center"/>
    </xf>
    <xf numFmtId="165" fontId="22" fillId="0" borderId="30" xfId="9" applyNumberFormat="1" applyFont="1" applyFill="1" applyBorder="1" applyAlignment="1">
      <alignment horizontal="center" vertical="center"/>
    </xf>
    <xf numFmtId="165" fontId="22" fillId="0" borderId="15" xfId="9" applyNumberFormat="1" applyFont="1" applyFill="1" applyBorder="1" applyAlignment="1">
      <alignment horizontal="center" vertical="center"/>
    </xf>
    <xf numFmtId="165" fontId="29" fillId="0" borderId="12" xfId="9" applyNumberFormat="1" applyFont="1" applyFill="1" applyBorder="1" applyAlignment="1">
      <alignment horizontal="center" vertical="center"/>
    </xf>
    <xf numFmtId="165" fontId="29" fillId="0" borderId="13" xfId="9" applyNumberFormat="1" applyFont="1" applyFill="1" applyBorder="1" applyAlignment="1">
      <alignment horizontal="center" vertical="center"/>
    </xf>
    <xf numFmtId="165" fontId="3" fillId="0" borderId="13" xfId="0" applyFont="1" applyBorder="1">
      <alignment horizontal="center" vertical="center"/>
    </xf>
    <xf numFmtId="165" fontId="3" fillId="0" borderId="17" xfId="0" applyFont="1" applyBorder="1">
      <alignment horizontal="center" vertical="center"/>
    </xf>
    <xf numFmtId="165" fontId="3" fillId="0" borderId="14" xfId="0" applyFont="1" applyBorder="1">
      <alignment horizontal="center" vertical="center"/>
    </xf>
    <xf numFmtId="165" fontId="3" fillId="0" borderId="13" xfId="0" applyFont="1" applyFill="1" applyBorder="1">
      <alignment horizontal="center" vertical="center"/>
    </xf>
    <xf numFmtId="165" fontId="3" fillId="0" borderId="14" xfId="0" applyFont="1" applyFill="1" applyBorder="1">
      <alignment horizontal="center" vertical="center"/>
    </xf>
    <xf numFmtId="165" fontId="29" fillId="0" borderId="17" xfId="9" applyNumberFormat="1" applyFont="1" applyFill="1" applyBorder="1" applyAlignment="1">
      <alignment horizontal="center" vertical="center"/>
    </xf>
    <xf numFmtId="165" fontId="29" fillId="0" borderId="14" xfId="9" applyNumberFormat="1" applyFont="1" applyFill="1" applyBorder="1" applyAlignment="1">
      <alignment horizontal="center" vertical="center"/>
    </xf>
    <xf numFmtId="166" fontId="24" fillId="0" borderId="12" xfId="9" applyNumberFormat="1" applyFont="1" applyFill="1" applyBorder="1" applyAlignment="1">
      <alignment horizontal="center" vertical="center"/>
    </xf>
    <xf numFmtId="1" fontId="22" fillId="0" borderId="12" xfId="9" applyNumberFormat="1" applyFont="1" applyFill="1" applyBorder="1" applyAlignment="1">
      <alignment horizontal="center" vertical="center"/>
    </xf>
    <xf numFmtId="1" fontId="22" fillId="0" borderId="31" xfId="9" applyNumberFormat="1" applyFont="1" applyFill="1" applyBorder="1" applyAlignment="1">
      <alignment horizontal="center" vertical="center"/>
    </xf>
    <xf numFmtId="1" fontId="22" fillId="0" borderId="33" xfId="9" applyNumberFormat="1" applyFont="1" applyFill="1" applyBorder="1" applyAlignment="1">
      <alignment horizontal="center" vertical="center"/>
    </xf>
    <xf numFmtId="165" fontId="17" fillId="6" borderId="16" xfId="9" quotePrefix="1" applyNumberFormat="1" applyFont="1" applyBorder="1" applyAlignment="1">
      <alignment horizontal="center" vertical="center"/>
    </xf>
    <xf numFmtId="165" fontId="17" fillId="6" borderId="0" xfId="9" applyNumberFormat="1" applyFont="1" applyBorder="1" applyAlignment="1">
      <alignment horizontal="center" vertical="center"/>
    </xf>
    <xf numFmtId="167" fontId="24" fillId="0" borderId="12" xfId="9" applyNumberFormat="1" applyFont="1" applyFill="1" applyBorder="1" applyAlignment="1">
      <alignment horizontal="center" vertical="center"/>
    </xf>
    <xf numFmtId="14" fontId="20" fillId="0" borderId="12" xfId="12" applyNumberFormat="1" applyBorder="1" applyAlignment="1">
      <alignment horizontal="center" vertical="center"/>
    </xf>
    <xf numFmtId="14" fontId="23" fillId="0" borderId="12" xfId="9" applyNumberFormat="1" applyFont="1" applyFill="1" applyBorder="1" applyAlignment="1">
      <alignment horizontal="center" vertical="center"/>
    </xf>
    <xf numFmtId="165" fontId="23" fillId="0" borderId="12" xfId="9" applyNumberFormat="1" applyFont="1" applyFill="1" applyBorder="1" applyAlignment="1">
      <alignment horizontal="center" vertical="center"/>
    </xf>
    <xf numFmtId="165" fontId="23" fillId="0" borderId="13" xfId="9" applyNumberFormat="1" applyFont="1" applyFill="1" applyBorder="1" applyAlignment="1">
      <alignment horizontal="center" vertical="center"/>
    </xf>
    <xf numFmtId="0" fontId="20" fillId="0" borderId="12" xfId="12" applyNumberFormat="1" applyBorder="1" applyAlignment="1">
      <alignment horizontal="center" vertical="center"/>
    </xf>
    <xf numFmtId="0" fontId="20" fillId="0" borderId="12" xfId="12" applyNumberFormat="1" applyFill="1" applyBorder="1" applyAlignment="1">
      <alignment horizontal="center" vertical="center"/>
    </xf>
    <xf numFmtId="165" fontId="21" fillId="8" borderId="9" xfId="10" applyNumberFormat="1" applyFont="1" applyFill="1" applyBorder="1" applyAlignment="1">
      <alignment horizontal="center" vertical="center"/>
    </xf>
    <xf numFmtId="165" fontId="18" fillId="8" borderId="9" xfId="10" applyNumberFormat="1" applyFont="1" applyFill="1" applyBorder="1" applyAlignment="1">
      <alignment horizontal="center" vertical="center"/>
    </xf>
    <xf numFmtId="165" fontId="14" fillId="0" borderId="13" xfId="11" applyNumberFormat="1" applyFont="1" applyBorder="1" applyAlignment="1">
      <alignment horizontal="center" vertical="center" indent="1"/>
    </xf>
    <xf numFmtId="165" fontId="14" fillId="0" borderId="17" xfId="11" applyNumberFormat="1" applyFont="1" applyBorder="1" applyAlignment="1">
      <alignment horizontal="center" vertical="center" indent="1"/>
    </xf>
    <xf numFmtId="165" fontId="14" fillId="0" borderId="14" xfId="11" applyNumberFormat="1" applyFont="1" applyBorder="1" applyAlignment="1">
      <alignment horizontal="center" vertical="center" indent="1"/>
    </xf>
    <xf numFmtId="165" fontId="3" fillId="0" borderId="11" xfId="0" applyFont="1" applyBorder="1">
      <alignment horizontal="center" vertical="center"/>
    </xf>
    <xf numFmtId="165" fontId="3" fillId="0" borderId="15" xfId="0" applyFont="1" applyBorder="1">
      <alignment horizontal="center" vertical="center"/>
    </xf>
    <xf numFmtId="165" fontId="20" fillId="0" borderId="13" xfId="12" applyBorder="1" applyAlignment="1">
      <alignment horizontal="left" vertical="center"/>
    </xf>
    <xf numFmtId="165" fontId="20" fillId="0" borderId="14" xfId="12" applyBorder="1" applyAlignment="1">
      <alignment horizontal="left" vertical="center"/>
    </xf>
    <xf numFmtId="165" fontId="24" fillId="0" borderId="31" xfId="9" applyNumberFormat="1" applyFont="1" applyFill="1" applyBorder="1" applyAlignment="1">
      <alignment horizontal="center" vertical="center"/>
    </xf>
    <xf numFmtId="165" fontId="24" fillId="0" borderId="10" xfId="9" applyNumberFormat="1" applyFont="1" applyFill="1" applyBorder="1" applyAlignment="1">
      <alignment horizontal="center" vertical="center"/>
    </xf>
    <xf numFmtId="165" fontId="26" fillId="0" borderId="12" xfId="9" applyNumberFormat="1" applyFont="1" applyFill="1" applyBorder="1" applyAlignment="1">
      <alignment horizontal="center" vertical="center" wrapText="1"/>
    </xf>
    <xf numFmtId="165" fontId="25" fillId="0" borderId="12" xfId="9" applyNumberFormat="1" applyFont="1" applyFill="1" applyBorder="1" applyAlignment="1">
      <alignment horizontal="center" vertical="center" wrapText="1"/>
    </xf>
    <xf numFmtId="1" fontId="22" fillId="0" borderId="32" xfId="9" applyNumberFormat="1" applyFont="1" applyFill="1" applyBorder="1" applyAlignment="1">
      <alignment horizontal="center" vertical="center"/>
    </xf>
    <xf numFmtId="165" fontId="20" fillId="0" borderId="17" xfId="12" applyBorder="1" applyAlignment="1">
      <alignment horizontal="left" vertical="center"/>
    </xf>
  </cellXfs>
  <cellStyles count="13">
    <cellStyle name="20% - Accent1" xfId="4" builtinId="30"/>
    <cellStyle name="Accent1" xfId="1" builtinId="29" customBuiltin="1"/>
    <cellStyle name="Accent2" xfId="2" builtinId="33" customBuiltin="1"/>
    <cellStyle name="Accent3" xfId="5" builtinId="37" customBuiltin="1"/>
    <cellStyle name="Comma" xfId="7" builtinId="3" customBuiltin="1"/>
    <cellStyle name="Comma [0]" xfId="8" builtinId="6" customBuiltin="1"/>
    <cellStyle name="Heading 1" xfId="10" builtinId="16" customBuiltin="1"/>
    <cellStyle name="Hyperlink" xfId="12" builtinId="8"/>
    <cellStyle name="Input" xfId="11" builtinId="20" customBuiltin="1"/>
    <cellStyle name="Normal" xfId="0" builtinId="0" customBuiltin="1"/>
    <cellStyle name="Style 1" xfId="6" xr:uid="{00000000-0005-0000-0000-000009000000}"/>
    <cellStyle name="Table Style 1" xfId="3" xr:uid="{00000000-0005-0000-0000-000012000000}"/>
    <cellStyle name="Title" xfId="9" builtinId="15" customBuiltin="1"/>
  </cellStyles>
  <dxfs count="63">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sz val="11"/>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border>
        <bottom style="thin">
          <color theme="4"/>
        </bottom>
      </border>
    </dxf>
    <dxf>
      <font>
        <b/>
        <strike val="0"/>
        <outline val="0"/>
        <shadow val="0"/>
        <u val="none"/>
        <vertAlign val="baseline"/>
        <color theme="3" tint="-0.499984740745262"/>
        <name val="Tahoma"/>
        <family val="2"/>
        <scheme val="minor"/>
      </font>
      <fill>
        <patternFill patternType="none">
          <fgColor indexed="64"/>
          <bgColor auto="1"/>
        </patternFill>
      </fill>
    </dxf>
    <dxf>
      <font>
        <b val="0"/>
        <i val="0"/>
        <strike val="0"/>
        <condense val="0"/>
        <extend val="0"/>
        <outline val="0"/>
        <shadow val="0"/>
        <u val="none"/>
        <vertAlign val="baseline"/>
        <sz val="10"/>
        <color auto="1"/>
        <name val="Calibri"/>
        <scheme val="none"/>
      </font>
      <numFmt numFmtId="1" formatCode="0"/>
      <alignment horizontal="general"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numFmt numFmtId="2" formatCode="0.00"/>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font>
        <b/>
        <i val="0"/>
      </font>
      <border>
        <top style="double">
          <color theme="5"/>
        </top>
      </border>
    </dxf>
    <dxf>
      <font>
        <b/>
        <i val="0"/>
      </font>
      <fill>
        <patternFill>
          <bgColor theme="4" tint="0.79998168889431442"/>
        </patternFill>
      </fill>
    </dxf>
    <dxf>
      <border>
        <left style="thin">
          <color theme="5"/>
        </left>
        <right style="thin">
          <color theme="5"/>
        </right>
        <top style="thin">
          <color theme="5"/>
        </top>
        <bottom style="thin">
          <color theme="5"/>
        </bottom>
        <horizontal style="thin">
          <color theme="5"/>
        </horizontal>
      </border>
    </dxf>
    <dxf>
      <border>
        <top style="double">
          <color theme="5"/>
        </top>
      </border>
    </dxf>
    <dxf>
      <fill>
        <patternFill>
          <bgColor theme="4" tint="0.79998168889431442"/>
        </patternFill>
      </fill>
    </dxf>
    <dxf>
      <border>
        <left style="thin">
          <color theme="5"/>
        </left>
        <right style="thin">
          <color theme="5"/>
        </right>
        <top style="thin">
          <color theme="5"/>
        </top>
        <bottom style="thin">
          <color theme="5"/>
        </bottom>
        <horizontal style="thin">
          <color theme="5"/>
        </horizontal>
      </border>
    </dxf>
    <dxf>
      <fill>
        <patternFill>
          <bgColor theme="4" tint="0.79998168889431442"/>
        </patternFill>
      </fill>
    </dxf>
    <dxf>
      <font>
        <b/>
        <i val="0"/>
      </font>
      <fill>
        <patternFill>
          <bgColor theme="6"/>
        </patternFill>
      </fill>
    </dxf>
  </dxfs>
  <tableStyles count="3" defaultTableStyle="TableStyleMedium2" defaultPivotStyle="PivotStyleLight16">
    <tableStyle name="Buy vs rideshare Table 1" pivot="0" count="2" xr9:uid="{00000000-0011-0000-FFFF-FFFF00000000}">
      <tableStyleElement type="totalRow" dxfId="62"/>
      <tableStyleElement type="firstRowStripe" dxfId="61"/>
    </tableStyle>
    <tableStyle name="PivotTable Style 1" table="0" count="3" xr9:uid="{E3F404F2-011A-E842-B520-642860C59EA9}">
      <tableStyleElement type="wholeTable" dxfId="60"/>
      <tableStyleElement type="headerRow" dxfId="59"/>
      <tableStyleElement type="firstSubtotalRow" dxfId="58"/>
    </tableStyle>
    <tableStyle name="Table Style 1" pivot="0" count="3" xr9:uid="{36058966-0EDD-974A-9022-F35F63ED4CA0}">
      <tableStyleElement type="wholeTable" dxfId="57"/>
      <tableStyleElement type="headerRow" dxfId="56"/>
      <tableStyleElement type="totalRow" dxfId="55"/>
    </tableStyle>
  </tableStyles>
  <colors>
    <mruColors>
      <color rgb="FF004A6D"/>
      <color rgb="FF02778B"/>
      <color rgb="FF00B0F0"/>
      <color rgb="FFD9D9D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12</v>
    <v>1</v>
  </rv>
  <rv s="1">
    <v>12</v>
    <v>Similarity</v>
    <v>0</v>
  </rv>
  <rv s="2">
    <v>13</v>
    <v>3</v>
  </rv>
</rvData>
</file>

<file path=xl/richData/rdrichvaluestructure.xml><?xml version="1.0" encoding="utf-8"?>
<rvStructures xmlns="http://schemas.microsoft.com/office/spreadsheetml/2017/richdata" count="3">
  <s t="_error">
    <k n="errorType" t="i"/>
    <k n="propagated" t="b"/>
  </s>
  <s t="_error">
    <k n="errorType" t="i"/>
    <k n="field" t="s"/>
    <k n="subType" t="i"/>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F9E44A-B36F-4EED-BA01-4AB10CFD8E8B}" name="Table5" displayName="Table5" ref="B17:E25" totalsRowShown="0" headerRowDxfId="42" dataDxfId="40" headerRowBorderDxfId="41" headerRowCellStyle="Normal" dataCellStyle="Normal">
  <autoFilter ref="B17:E25" xr:uid="{33A52213-A801-47DE-8C22-41E2317EB6CF}">
    <filterColumn colId="0" hiddenButton="1"/>
    <filterColumn colId="1" hiddenButton="1"/>
    <filterColumn colId="2" hiddenButton="1"/>
    <filterColumn colId="3" hiddenButton="1"/>
  </autoFilter>
  <tableColumns count="4">
    <tableColumn id="1" xr3:uid="{CD117C9C-C887-470F-A061-CA9173CBF4F9}" name="Column1" dataDxfId="39" dataCellStyle="Normal"/>
    <tableColumn id="2" xr3:uid="{E757292C-C084-4854-A08C-E9D0DF4E2C1B}" name="Column2" dataDxfId="38" dataCellStyle="Input"/>
    <tableColumn id="3" xr3:uid="{F269147F-FC3A-424A-8710-C771370E9458}" name="Column3" dataDxfId="37" dataCellStyle="Normal"/>
    <tableColumn id="4" xr3:uid="{31E2E428-84F1-479D-B359-64E6ADBA547D}" name="Column4" dataDxfId="36" dataCellStyle="Input"/>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B37EB5-B6AC-4DA6-9AB7-26C0FCCB06A8}" name="Table6" displayName="Table6" ref="B63:E67" totalsRowShown="0" headerRowDxfId="35" dataDxfId="34">
  <autoFilter ref="B63:E67" xr:uid="{329B791D-22C6-44C2-8A7E-F39161CF9DF4}">
    <filterColumn colId="0" hiddenButton="1"/>
    <filterColumn colId="1" hiddenButton="1"/>
    <filterColumn colId="2" hiddenButton="1"/>
    <filterColumn colId="3" hiddenButton="1"/>
  </autoFilter>
  <tableColumns count="4">
    <tableColumn id="1" xr3:uid="{476B6397-6D0F-4807-905E-B20A2CD4B19C}" name="Column1" dataDxfId="33" dataCellStyle="20% - Accent1"/>
    <tableColumn id="2" xr3:uid="{CB01D84B-AFB9-4EA0-A074-0487281D7ADC}" name="Column2" dataDxfId="32" dataCellStyle="20% - Accent1"/>
    <tableColumn id="3" xr3:uid="{7D4631CC-F098-49DA-BD37-2F9572073834}" name="Column3" dataDxfId="31" dataCellStyle="20% - Accent1"/>
    <tableColumn id="4" xr3:uid="{1396062D-7128-4DA8-AB4F-8206D669FB89}" name="Column4" dataDxfId="30" dataCellStyle="20% - Accent1"/>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811B79-6980-442F-A962-E2B1F0585EA0}" name="Table69" displayName="Table69" ref="B49:E53" totalsRowShown="0" headerRowDxfId="29" dataDxfId="28">
  <autoFilter ref="B49:E53" xr:uid="{A6811B79-6980-442F-A962-E2B1F0585EA0}"/>
  <tableColumns count="4">
    <tableColumn id="1" xr3:uid="{39E870D4-E0D9-4E71-AB1F-F0DF81749358}" name="Column1" dataDxfId="27" dataCellStyle="20% - Accent1"/>
    <tableColumn id="2" xr3:uid="{085C6308-5A9C-4751-919B-D0BFCE8E015E}" name="Column2" dataDxfId="26" dataCellStyle="20% - Accent1"/>
    <tableColumn id="3" xr3:uid="{36272BEE-4840-4FAC-B44A-942116AABBD0}" name="Column3" dataDxfId="25" dataCellStyle="20% - Accent1"/>
    <tableColumn id="4" xr3:uid="{3ADBE27E-BF40-4438-9FDC-64BB47D1A0E4}" name="Column4" dataDxfId="24" dataCellStyle="20% - Accent1"/>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BEC7B8C-9003-40FD-AFCD-FC6D4BEAD175}" name="Table68" displayName="Table68" ref="B28:E32" totalsRowShown="0" headerRowDxfId="23" dataDxfId="22">
  <autoFilter ref="B28:E32" xr:uid="{CBEC7B8C-9003-40FD-AFCD-FC6D4BEAD175}"/>
  <tableColumns count="4">
    <tableColumn id="1" xr3:uid="{2D724163-1682-4316-B750-15A796A79E11}" name="Column1" dataDxfId="21" dataCellStyle="20% - Accent1"/>
    <tableColumn id="2" xr3:uid="{5AB8C226-A476-4A8B-9F17-E614DB56B2CF}" name="Column2" dataDxfId="20" dataCellStyle="20% - Accent1"/>
    <tableColumn id="3" xr3:uid="{FFCF3F20-F97F-4E55-90EA-BEEF616C6F90}" name="Column3" dataDxfId="19" dataCellStyle="20% - Accent1"/>
    <tableColumn id="4" xr3:uid="{D78A0B94-89A4-43FF-93C0-630DCDE034BF}" name="Column4" dataDxfId="18" dataCellStyle="20% - Accent1"/>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86B80B-B025-4703-885F-51908EB7BCEE}" name="Table685" displayName="Table685" ref="B35:E39" totalsRowShown="0" headerRowDxfId="17" dataDxfId="16">
  <autoFilter ref="B35:E39" xr:uid="{6C86B80B-B025-4703-885F-51908EB7BCEE}"/>
  <tableColumns count="4">
    <tableColumn id="1" xr3:uid="{2139A6FE-30D5-4868-A583-1B3148C07D39}" name="Column1" dataDxfId="15" dataCellStyle="20% - Accent1"/>
    <tableColumn id="2" xr3:uid="{080CDD2F-F72E-4762-88C3-76A525239171}" name="Column2" dataDxfId="14" dataCellStyle="20% - Accent1"/>
    <tableColumn id="3" xr3:uid="{587B2EB8-34B2-491B-8700-C0175A4564F6}" name="Column3" dataDxfId="13" dataCellStyle="20% - Accent1"/>
    <tableColumn id="4" xr3:uid="{47EFD410-0E7B-4E09-AB46-EA6AC951E5AA}" name="Column4" dataDxfId="12" dataCellStyle="20% - Accent1"/>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009291-E24A-48E6-BB45-801D8A7B31CA}" name="Table687" displayName="Table687" ref="B42:E46" totalsRowShown="0" headerRowDxfId="11" dataDxfId="10">
  <autoFilter ref="B42:E46" xr:uid="{29009291-E24A-48E6-BB45-801D8A7B31CA}"/>
  <tableColumns count="4">
    <tableColumn id="1" xr3:uid="{C7F8AFC8-157B-4435-BE74-457E27D6EECF}" name="Column1" dataDxfId="9" dataCellStyle="20% - Accent1"/>
    <tableColumn id="2" xr3:uid="{D8FE8F1C-D2FC-42C4-9D7F-7BBC7F3E81EA}" name="Column2" dataDxfId="8" dataCellStyle="20% - Accent1"/>
    <tableColumn id="3" xr3:uid="{71A85058-1E46-48DE-9375-B58CC89DE233}" name="Column3" dataDxfId="7" dataCellStyle="20% - Accent1"/>
    <tableColumn id="4" xr3:uid="{53DB21A7-27AE-417A-9BBE-F4E0335824DF}" name="Column4" dataDxfId="6" dataCellStyle="20% - Accent1"/>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D3A854-2B89-4BC4-A624-EF40ABB2BD12}" name="Table692" displayName="Table692" ref="B56:E60" totalsRowShown="0" headerRowDxfId="5" dataDxfId="4">
  <autoFilter ref="B56:E60" xr:uid="{33D3A854-2B89-4BC4-A624-EF40ABB2BD12}"/>
  <tableColumns count="4">
    <tableColumn id="1" xr3:uid="{E4667751-2F02-470A-AA30-5513900EDC07}" name="Column1" dataDxfId="3" dataCellStyle="20% - Accent1"/>
    <tableColumn id="2" xr3:uid="{DBD5D1C2-7D0A-484B-9E60-959BF601E4F5}" name="Column2" dataDxfId="2" dataCellStyle="20% - Accent1"/>
    <tableColumn id="3" xr3:uid="{AFF9650E-1950-4144-8406-E17612CAC8CC}" name="Column3" dataDxfId="1" dataCellStyle="20% - Accent1"/>
    <tableColumn id="4" xr3:uid="{614D6F72-6AD8-4D5A-8B56-553A4C441221}" name="Column4" dataDxfId="0" dataCellStyle="20% - Accent1"/>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4E3403B-2E3B-49E0-9632-635183C2B8B5}" name="Table11" displayName="Table11" ref="A2:K502" totalsRowShown="0" headerRowDxfId="54">
  <autoFilter ref="A2:K502" xr:uid="{94E3403B-2E3B-49E0-9632-635183C2B8B5}">
    <filterColumn colId="2">
      <filters>
        <filter val="Table"/>
      </filters>
    </filterColumn>
  </autoFilter>
  <tableColumns count="11">
    <tableColumn id="1" xr3:uid="{B7E2D3D2-6B42-4597-B666-61EBF9B83E50}" name="Placeholder" dataDxfId="53"/>
    <tableColumn id="2" xr3:uid="{EB9F3126-2168-4775-BAF2-F9FBFBDAD9D2}" name="Column1" dataDxfId="52"/>
    <tableColumn id="3" xr3:uid="{10481969-6E68-4AA0-BFBE-FDD9115E43F2}" name="Placeholder Type" dataDxfId="51"/>
    <tableColumn id="4" xr3:uid="{30E56589-54A5-4BC3-8CAA-C91F2E09C8FE}" name="Expected Value" dataDxfId="50"/>
    <tableColumn id="5" xr3:uid="{1EA70B63-3022-4D10-865A-E42891B00DBB}" name="Source Document" dataDxfId="49"/>
    <tableColumn id="6" xr3:uid="{87D28BFC-1A9E-440B-90E4-D4730FA09FC4}" name="Writing instruction" dataDxfId="48"/>
    <tableColumn id="7" xr3:uid="{7D662C22-1410-4246-ABAC-97A9C5849AE1}" name="AI Replaced Text" dataDxfId="47"/>
    <tableColumn id="8" xr3:uid="{F83BB946-81D7-43B6-AF37-B74B1439B097}" name="Ai detected Source " dataDxfId="46"/>
    <tableColumn id="9" xr3:uid="{A6B8A312-F7CA-4C35-A9A9-EFAB36C56854}" name="Matching Accuracy" dataDxfId="45"/>
    <tableColumn id="10" xr3:uid="{41634625-8A4F-4D95-B191-EF29FB6F75FF}" name="Similarity Score" dataDxfId="44"/>
    <tableColumn id="11" xr3:uid="{40E526EA-384C-4E55-A674-08C2329DB424}" name="Source Match" dataDxfId="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ar Rental 2">
      <a:dk1>
        <a:srgbClr val="000000"/>
      </a:dk1>
      <a:lt1>
        <a:srgbClr val="FFFFFF"/>
      </a:lt1>
      <a:dk2>
        <a:srgbClr val="579899"/>
      </a:dk2>
      <a:lt2>
        <a:srgbClr val="E7E6E6"/>
      </a:lt2>
      <a:accent1>
        <a:srgbClr val="7CB9B2"/>
      </a:accent1>
      <a:accent2>
        <a:srgbClr val="A9D4BE"/>
      </a:accent2>
      <a:accent3>
        <a:srgbClr val="D83A51"/>
      </a:accent3>
      <a:accent4>
        <a:srgbClr val="468181"/>
      </a:accent4>
      <a:accent5>
        <a:srgbClr val="F58220"/>
      </a:accent5>
      <a:accent6>
        <a:srgbClr val="974791"/>
      </a:accent6>
      <a:hlink>
        <a:srgbClr val="0563C1"/>
      </a:hlink>
      <a:folHlink>
        <a:srgbClr val="954F72"/>
      </a:folHlink>
    </a:clrScheme>
    <a:fontScheme name="Custom 1">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677054-994D-468C-A44E-E1DAF2F2F738}">
  <we:reference id="WA200006970" version="1.1.5.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_xldudf_FUZZY_MATCH</we:customFunctionIds>
        <we:customFunctionIds>_xldudf_FUZZY_LOOKUP</we:customFunctionIds>
      </we:customFunctionIdList>
    </a:ext>
    <a:ext xmlns:a="http://schemas.openxmlformats.org/drawingml/2006/main" uri="{0858819E-0033-43BF-8937-05EC82904868}">
      <we:backgroundApp state="0" runtimeId="BF.SharedRuntime.Url"/>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synterex.sharepoint.com/:w:/r/sites/AgileWriter/My%20Organization/Shared%20Documents/Source%20Documents/Clinical/CSR/Mock_CSR%20_Tables_30Oct25.rtf?d=w389bf79a2bea49649091fece5c956066&amp;csf=1&amp;web=1&amp;e=kdSJ64" TargetMode="External"/><Relationship Id="rId7" Type="http://schemas.openxmlformats.org/officeDocument/2006/relationships/table" Target="../tables/table3.xml"/><Relationship Id="rId2" Type="http://schemas.openxmlformats.org/officeDocument/2006/relationships/hyperlink" Target="https://synterex.sharepoint.com/:w:/r/sites/AgileWriter/My%20Organization/Shared%20Documents/Source%20Documents/Clinical/CSR/Mock_CSR_Protocol.docx?d=w849b4cc024614e2bbe5c6704c045d72d&amp;csf=1&amp;web=1&amp;e=xlyJpx" TargetMode="External"/><Relationship Id="rId1" Type="http://schemas.openxmlformats.org/officeDocument/2006/relationships/hyperlink" Target="https://synterex.sharepoint.com/:w:/r/sites/AgileWriter/My%20Organization/Shared%20Documents/Source%20Documents/Clinical/CSR/Mock_CSR%20Key%20messages_with_heading.docx?d=wb639cfada2844df4a099c8ed2b4749c6&amp;csf=1&amp;web=1&amp;e=EZOrO6" TargetMode="External"/><Relationship Id="rId6" Type="http://schemas.openxmlformats.org/officeDocument/2006/relationships/table" Target="../tables/table2.xml"/><Relationship Id="rId11" Type="http://schemas.openxmlformats.org/officeDocument/2006/relationships/table" Target="../tables/table7.xml"/><Relationship Id="rId5" Type="http://schemas.openxmlformats.org/officeDocument/2006/relationships/table" Target="../tables/table1.xml"/><Relationship Id="rId10" Type="http://schemas.openxmlformats.org/officeDocument/2006/relationships/table" Target="../tables/table6.xml"/><Relationship Id="rId4" Type="http://schemas.openxmlformats.org/officeDocument/2006/relationships/printerSettings" Target="../printerSettings/printerSettings1.bin"/><Relationship Id="rId9" Type="http://schemas.openxmlformats.org/officeDocument/2006/relationships/table" Target="../tables/table5.xml"/></Relationships>
</file>

<file path=xl/worksheets/_rels/sheet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N77"/>
  <sheetViews>
    <sheetView showGridLines="0" zoomScaleNormal="100" workbookViewId="0">
      <selection activeCell="F44" sqref="F44"/>
    </sheetView>
  </sheetViews>
  <sheetFormatPr defaultColWidth="0" defaultRowHeight="0" customHeight="1" zeroHeight="1"/>
  <cols>
    <col min="1" max="1" width="2.5" style="1" customWidth="1"/>
    <col min="2" max="2" width="1.5" style="1" customWidth="1"/>
    <col min="3" max="3" width="32.640625" style="1" customWidth="1"/>
    <col min="4" max="5" width="30.640625" style="2" customWidth="1"/>
    <col min="6" max="11" width="10.640625" style="1" customWidth="1"/>
    <col min="12" max="12" width="21.140625" style="1" customWidth="1"/>
    <col min="13" max="13" width="2.5" style="1" customWidth="1"/>
    <col min="14" max="14" width="9" style="1" customWidth="1"/>
    <col min="15" max="16384" width="0" style="1" hidden="1"/>
  </cols>
  <sheetData>
    <row r="1" spans="1:13" s="3" customFormat="1" ht="15" customHeight="1">
      <c r="A1" s="29"/>
      <c r="B1" s="30"/>
      <c r="C1" s="30"/>
      <c r="D1" s="31"/>
      <c r="E1" s="30"/>
      <c r="F1" s="30"/>
      <c r="G1" s="30"/>
      <c r="H1" s="30"/>
      <c r="I1" s="30"/>
      <c r="J1" s="30"/>
      <c r="K1" s="30"/>
      <c r="L1" s="30"/>
      <c r="M1" s="32"/>
    </row>
    <row r="2" spans="1:13" s="5" customFormat="1" ht="100.4" customHeight="1">
      <c r="A2" s="33"/>
      <c r="B2" s="175" t="s">
        <v>0</v>
      </c>
      <c r="C2" s="176"/>
      <c r="D2" s="176"/>
      <c r="E2" s="176"/>
      <c r="F2" s="176"/>
      <c r="G2" s="176"/>
      <c r="H2" s="176"/>
      <c r="I2" s="176"/>
      <c r="J2" s="176"/>
      <c r="K2" s="176"/>
      <c r="L2" s="176"/>
      <c r="M2" s="34"/>
    </row>
    <row r="3" spans="1:13" s="10" customFormat="1" ht="30" customHeight="1">
      <c r="A3" s="35"/>
      <c r="B3" s="11"/>
      <c r="C3" s="11"/>
      <c r="D3" s="11"/>
      <c r="E3" s="11"/>
      <c r="F3" s="11"/>
      <c r="G3" s="11"/>
      <c r="H3" s="11"/>
      <c r="I3" s="11"/>
      <c r="J3" s="11"/>
      <c r="K3" s="11"/>
      <c r="L3" s="11"/>
      <c r="M3" s="36"/>
    </row>
    <row r="4" spans="1:13" s="10" customFormat="1" ht="30" customHeight="1">
      <c r="A4" s="35"/>
      <c r="B4" s="11"/>
      <c r="C4" s="17" t="s">
        <v>1</v>
      </c>
      <c r="D4" s="20" t="s">
        <v>2</v>
      </c>
      <c r="E4" s="11"/>
      <c r="F4" s="11"/>
      <c r="G4" s="180" t="s">
        <v>3</v>
      </c>
      <c r="H4" s="180"/>
      <c r="I4" s="181"/>
      <c r="J4" s="182"/>
      <c r="K4" s="183"/>
      <c r="L4" s="183"/>
      <c r="M4" s="36"/>
    </row>
    <row r="5" spans="1:13" s="10" customFormat="1" ht="30" customHeight="1">
      <c r="A5" s="35"/>
      <c r="B5" s="11"/>
      <c r="C5" s="17" t="s">
        <v>4</v>
      </c>
      <c r="D5" s="19" t="s">
        <v>5</v>
      </c>
      <c r="E5" s="11"/>
      <c r="F5" s="11"/>
      <c r="G5" s="180" t="s">
        <v>6</v>
      </c>
      <c r="H5" s="180"/>
      <c r="I5" s="181"/>
      <c r="J5" s="178"/>
      <c r="K5" s="179"/>
      <c r="L5" s="179"/>
      <c r="M5" s="36"/>
    </row>
    <row r="6" spans="1:13" s="10" customFormat="1" ht="30" customHeight="1">
      <c r="A6" s="35"/>
      <c r="B6" s="11"/>
      <c r="C6" s="17" t="s">
        <v>7</v>
      </c>
      <c r="D6" s="18" t="s">
        <v>8</v>
      </c>
      <c r="E6" s="11"/>
      <c r="F6" s="11"/>
      <c r="G6" s="162" t="s">
        <v>9</v>
      </c>
      <c r="H6" s="162"/>
      <c r="I6" s="163"/>
      <c r="J6" s="177">
        <v>46120</v>
      </c>
      <c r="K6" s="177"/>
      <c r="L6" s="177"/>
      <c r="M6" s="36"/>
    </row>
    <row r="7" spans="1:13" s="10" customFormat="1" ht="30" customHeight="1">
      <c r="A7" s="35"/>
      <c r="B7" s="11"/>
      <c r="C7" s="11"/>
      <c r="D7" s="11"/>
      <c r="E7" s="11"/>
      <c r="F7" s="11"/>
      <c r="G7" s="162" t="s">
        <v>10</v>
      </c>
      <c r="H7" s="162"/>
      <c r="I7" s="163"/>
      <c r="J7" s="172"/>
      <c r="K7" s="172"/>
      <c r="L7" s="172"/>
      <c r="M7" s="36"/>
    </row>
    <row r="8" spans="1:13" s="10" customFormat="1" ht="30" customHeight="1">
      <c r="A8" s="35"/>
      <c r="B8" s="11"/>
      <c r="C8" s="193" t="s">
        <v>11</v>
      </c>
      <c r="D8" s="195"/>
      <c r="E8" s="195"/>
      <c r="F8" s="11"/>
      <c r="G8" s="163" t="s">
        <v>12</v>
      </c>
      <c r="H8" s="169"/>
      <c r="I8" s="170"/>
      <c r="J8" s="171"/>
      <c r="K8" s="171"/>
      <c r="L8" s="171"/>
      <c r="M8" s="36"/>
    </row>
    <row r="9" spans="1:13" s="10" customFormat="1" ht="30" customHeight="1">
      <c r="A9" s="35"/>
      <c r="B9" s="11"/>
      <c r="C9" s="194"/>
      <c r="D9" s="196"/>
      <c r="E9" s="196"/>
      <c r="F9" s="11"/>
      <c r="G9" s="71"/>
      <c r="H9" s="71"/>
      <c r="I9" s="71"/>
      <c r="J9" s="72"/>
      <c r="K9" s="72"/>
      <c r="L9" s="72"/>
      <c r="M9" s="36"/>
    </row>
    <row r="10" spans="1:13" s="10" customFormat="1" ht="30" customHeight="1">
      <c r="A10" s="35"/>
      <c r="B10" s="11"/>
      <c r="F10" s="11"/>
      <c r="G10" s="21"/>
      <c r="H10" s="22"/>
      <c r="I10" s="22"/>
      <c r="J10" s="22"/>
      <c r="K10" s="22"/>
      <c r="L10" s="22"/>
      <c r="M10" s="36"/>
    </row>
    <row r="11" spans="1:13" s="10" customFormat="1" ht="30" customHeight="1">
      <c r="A11" s="35"/>
      <c r="B11" s="11"/>
      <c r="C11" s="73" t="s">
        <v>13</v>
      </c>
      <c r="D11" s="68"/>
      <c r="E11" s="69" t="s">
        <v>14</v>
      </c>
      <c r="F11" s="11"/>
      <c r="G11" s="65"/>
      <c r="H11" s="66"/>
      <c r="I11" s="67"/>
      <c r="J11" s="67"/>
      <c r="K11" s="67"/>
      <c r="L11" s="67"/>
      <c r="M11" s="36"/>
    </row>
    <row r="12" spans="1:13" s="10" customFormat="1" ht="30" customHeight="1">
      <c r="A12" s="35"/>
      <c r="B12" s="11"/>
      <c r="C12" s="73" t="s">
        <v>15</v>
      </c>
      <c r="D12" s="90" t="s">
        <v>16</v>
      </c>
      <c r="E12" s="91" t="s">
        <v>17</v>
      </c>
      <c r="F12" s="89"/>
      <c r="G12" s="198" t="s">
        <v>18</v>
      </c>
      <c r="H12" s="192"/>
      <c r="I12" s="191"/>
      <c r="J12" s="192"/>
      <c r="K12" s="191"/>
      <c r="L12" s="192"/>
      <c r="M12" s="36"/>
    </row>
    <row r="13" spans="1:13" s="10" customFormat="1" ht="30" customHeight="1">
      <c r="A13" s="35"/>
      <c r="B13" s="11"/>
      <c r="C13" s="93" t="s">
        <v>19</v>
      </c>
      <c r="D13" s="94" t="s">
        <v>20</v>
      </c>
      <c r="E13" s="95" t="s">
        <v>20</v>
      </c>
      <c r="F13" s="88"/>
      <c r="G13" s="197" t="s">
        <v>21</v>
      </c>
      <c r="H13" s="174"/>
      <c r="I13" s="173"/>
      <c r="J13" s="174"/>
      <c r="K13" s="173"/>
      <c r="L13" s="174"/>
      <c r="M13" s="36"/>
    </row>
    <row r="14" spans="1:13" s="10" customFormat="1" ht="30" customHeight="1">
      <c r="A14" s="35"/>
      <c r="B14" s="11"/>
      <c r="C14" s="92" t="s">
        <v>10</v>
      </c>
      <c r="D14" s="69"/>
      <c r="E14" s="69"/>
      <c r="F14" s="11"/>
      <c r="G14" s="142"/>
      <c r="H14" s="143"/>
      <c r="I14" s="142"/>
      <c r="J14" s="143"/>
      <c r="K14" s="142"/>
      <c r="L14" s="143"/>
      <c r="M14" s="36"/>
    </row>
    <row r="15" spans="1:13" s="10" customFormat="1" ht="30" customHeight="1">
      <c r="A15" s="35"/>
      <c r="B15" s="11"/>
      <c r="C15" s="15"/>
      <c r="D15" s="16"/>
      <c r="E15" s="16"/>
      <c r="F15" s="11"/>
      <c r="G15" s="11"/>
      <c r="H15" s="11"/>
      <c r="I15" s="11"/>
      <c r="J15" s="11"/>
      <c r="K15" s="11"/>
      <c r="L15" s="11"/>
      <c r="M15" s="36"/>
    </row>
    <row r="16" spans="1:13" s="4" customFormat="1" ht="46.4" customHeight="1">
      <c r="A16" s="37"/>
      <c r="B16" s="184" t="s">
        <v>22</v>
      </c>
      <c r="C16" s="185"/>
      <c r="D16" s="185"/>
      <c r="E16" s="185"/>
      <c r="F16" s="38"/>
      <c r="G16" s="152" t="s">
        <v>23</v>
      </c>
      <c r="H16" s="152"/>
      <c r="I16" s="152"/>
      <c r="J16" s="152"/>
      <c r="K16" s="152"/>
      <c r="L16" s="152"/>
      <c r="M16" s="39"/>
    </row>
    <row r="17" spans="1:13" s="3" customFormat="1" ht="30" hidden="1" customHeight="1">
      <c r="A17" s="40"/>
      <c r="B17" s="9" t="s">
        <v>24</v>
      </c>
      <c r="C17" s="12" t="s">
        <v>25</v>
      </c>
      <c r="D17" s="13" t="s">
        <v>26</v>
      </c>
      <c r="E17" s="14" t="s">
        <v>27</v>
      </c>
      <c r="F17" s="41"/>
      <c r="G17" s="23"/>
      <c r="H17" s="24"/>
      <c r="I17" s="25"/>
      <c r="J17" s="26"/>
      <c r="K17" s="27"/>
      <c r="L17" s="41"/>
      <c r="M17" s="42"/>
    </row>
    <row r="18" spans="1:13" s="3" customFormat="1" ht="30" customHeight="1">
      <c r="A18" s="40"/>
      <c r="B18" s="7"/>
      <c r="C18" s="43"/>
      <c r="D18" s="44" t="s">
        <v>28</v>
      </c>
      <c r="E18" s="45" t="s">
        <v>29</v>
      </c>
      <c r="F18" s="41"/>
      <c r="G18" s="153"/>
      <c r="H18" s="154"/>
      <c r="I18" s="155"/>
      <c r="J18" s="167"/>
      <c r="K18" s="168"/>
      <c r="L18" s="28"/>
      <c r="M18" s="42"/>
    </row>
    <row r="19" spans="1:13" s="3" customFormat="1" ht="30" customHeight="1">
      <c r="A19" s="40"/>
      <c r="B19" s="7"/>
      <c r="C19" s="43" t="s">
        <v>30</v>
      </c>
      <c r="D19" s="46">
        <f>COUNTA(QA!A3:'QA'!A149)</f>
        <v>108</v>
      </c>
      <c r="E19" s="45">
        <f>COUNTA(QA!G3:'QA'!G148)</f>
        <v>89</v>
      </c>
      <c r="F19" s="41"/>
      <c r="G19" s="156"/>
      <c r="H19" s="157"/>
      <c r="I19" s="158"/>
      <c r="J19" s="167"/>
      <c r="K19" s="168"/>
      <c r="L19" s="28"/>
      <c r="M19" s="42"/>
    </row>
    <row r="20" spans="1:13" s="4" customFormat="1" ht="30" customHeight="1">
      <c r="A20" s="37"/>
      <c r="B20" s="7"/>
      <c r="C20" s="43" t="s">
        <v>31</v>
      </c>
      <c r="D20" s="46">
        <f>COUNTA(_xlfn.UNIQUE(QA!A3:'QA'!A149))</f>
        <v>101</v>
      </c>
      <c r="E20" s="45">
        <f>COUNTA(_xlfn.UNIQUE(QA!G3:'QA'!G149))</f>
        <v>81</v>
      </c>
      <c r="F20" s="38"/>
      <c r="G20" s="156"/>
      <c r="H20" s="157"/>
      <c r="I20" s="158"/>
      <c r="J20" s="167"/>
      <c r="K20" s="168"/>
      <c r="L20" s="28"/>
      <c r="M20" s="39"/>
    </row>
    <row r="21" spans="1:13" s="4" customFormat="1" ht="30" customHeight="1">
      <c r="A21" s="37"/>
      <c r="B21" s="47"/>
      <c r="C21" s="43" t="s">
        <v>32</v>
      </c>
      <c r="D21" s="46">
        <f>COUNTIF(QA!C3:'QA'!C149, "=Paragraph")</f>
        <v>55</v>
      </c>
      <c r="E21" s="45">
        <f>COUNTA(Paragraph!M3:M57)</f>
        <v>47</v>
      </c>
      <c r="F21" s="38"/>
      <c r="G21" s="156"/>
      <c r="H21" s="157"/>
      <c r="I21" s="158"/>
      <c r="J21" s="167"/>
      <c r="K21" s="168"/>
      <c r="L21" s="28"/>
      <c r="M21" s="39"/>
    </row>
    <row r="22" spans="1:13" s="4" customFormat="1" ht="30" customHeight="1">
      <c r="A22" s="37"/>
      <c r="B22" s="47"/>
      <c r="C22" s="43" t="s">
        <v>33</v>
      </c>
      <c r="D22" s="46">
        <f>COUNTIF(QA!C3:'QA'!C149, "=Inline")</f>
        <v>15</v>
      </c>
      <c r="E22" s="45">
        <f ca="1">COUNTA(Inline!G3:G17)</f>
        <v>15</v>
      </c>
      <c r="F22" s="38"/>
      <c r="G22" s="75"/>
      <c r="H22" s="76"/>
      <c r="I22" s="77"/>
      <c r="J22" s="81"/>
      <c r="K22" s="82"/>
      <c r="L22" s="28"/>
      <c r="M22" s="39"/>
    </row>
    <row r="23" spans="1:13" s="4" customFormat="1" ht="30" customHeight="1">
      <c r="A23" s="37"/>
      <c r="B23" s="47"/>
      <c r="C23" s="43" t="s">
        <v>34</v>
      </c>
      <c r="D23" s="46">
        <f>COUNTIF(QA!C3:'QA'!C149, "=List")</f>
        <v>2</v>
      </c>
      <c r="E23" s="45">
        <f ca="1">COUNTA(Lists!G3:G4)</f>
        <v>2</v>
      </c>
      <c r="F23" s="38"/>
      <c r="G23" s="75"/>
      <c r="H23" s="76"/>
      <c r="I23" s="77"/>
      <c r="J23" s="81"/>
      <c r="K23" s="82"/>
      <c r="L23" s="28"/>
      <c r="M23" s="39"/>
    </row>
    <row r="24" spans="1:13" s="3" customFormat="1" ht="30" customHeight="1">
      <c r="A24" s="40"/>
      <c r="B24" s="7"/>
      <c r="C24" s="8" t="s">
        <v>35</v>
      </c>
      <c r="D24" s="48">
        <f>COUNTIF(QA!C3:'QA'!C149, "=Table")</f>
        <v>16</v>
      </c>
      <c r="E24" s="49">
        <f ca="1">COUNTA(Table!G3:G18)</f>
        <v>16</v>
      </c>
      <c r="F24" s="41"/>
      <c r="G24" s="186"/>
      <c r="H24" s="187"/>
      <c r="I24" s="188"/>
      <c r="J24" s="167"/>
      <c r="K24" s="168"/>
      <c r="L24" s="28"/>
      <c r="M24" s="42"/>
    </row>
    <row r="25" spans="1:13" s="3" customFormat="1" ht="30" customHeight="1">
      <c r="A25" s="40"/>
      <c r="B25" s="47"/>
      <c r="C25" s="43" t="s">
        <v>36</v>
      </c>
      <c r="D25" s="46">
        <f ca="1">COUNTA(KeyValue!A3:A21)</f>
        <v>19</v>
      </c>
      <c r="E25" s="45">
        <f>COUNTA(KeyValue!M3:M21)</f>
        <v>11</v>
      </c>
      <c r="F25" s="41"/>
      <c r="G25" s="78"/>
      <c r="H25" s="79"/>
      <c r="I25" s="80"/>
      <c r="J25" s="81"/>
      <c r="K25" s="82"/>
      <c r="L25" s="28"/>
      <c r="M25" s="42"/>
    </row>
    <row r="26" spans="1:13" s="3" customFormat="1" ht="30" customHeight="1">
      <c r="A26" s="50"/>
      <c r="B26" s="41"/>
      <c r="C26" s="41"/>
      <c r="D26" s="51"/>
      <c r="E26" s="41"/>
      <c r="F26" s="41"/>
      <c r="G26" s="41"/>
      <c r="H26" s="41"/>
      <c r="I26" s="41"/>
      <c r="J26" s="41"/>
      <c r="K26" s="41"/>
      <c r="L26" s="41"/>
      <c r="M26" s="42"/>
    </row>
    <row r="27" spans="1:13" s="4" customFormat="1" ht="46.4" customHeight="1">
      <c r="A27" s="37"/>
      <c r="B27" s="144" t="s">
        <v>37</v>
      </c>
      <c r="C27" s="144"/>
      <c r="D27" s="144"/>
      <c r="E27" s="144"/>
      <c r="F27" s="38"/>
      <c r="G27" s="38"/>
      <c r="H27" s="38"/>
      <c r="I27" s="38"/>
      <c r="J27" s="38"/>
      <c r="K27" s="38"/>
      <c r="L27" s="38"/>
      <c r="M27" s="39"/>
    </row>
    <row r="28" spans="1:13" s="3" customFormat="1" ht="30" hidden="1" customHeight="1">
      <c r="A28" s="40"/>
      <c r="B28" s="52" t="s">
        <v>24</v>
      </c>
      <c r="C28" s="53" t="s">
        <v>25</v>
      </c>
      <c r="D28" s="6" t="s">
        <v>26</v>
      </c>
      <c r="E28" s="54" t="s">
        <v>27</v>
      </c>
      <c r="F28" s="41"/>
      <c r="G28" s="41"/>
      <c r="H28" s="41"/>
      <c r="I28" s="41"/>
      <c r="J28" s="41"/>
      <c r="K28" s="41"/>
      <c r="L28" s="41"/>
      <c r="M28" s="42"/>
    </row>
    <row r="29" spans="1:13" s="3" customFormat="1" ht="39.75" customHeight="1">
      <c r="A29" s="40"/>
      <c r="B29" s="55"/>
      <c r="C29" s="56" t="s">
        <v>38</v>
      </c>
      <c r="D29" s="57">
        <f ca="1">COUNTA(Inline!A3:'Inline'!A500)</f>
        <v>15</v>
      </c>
      <c r="E29" s="58" t="s">
        <v>39</v>
      </c>
      <c r="F29" s="41"/>
      <c r="G29" s="159" t="s">
        <v>11</v>
      </c>
      <c r="H29" s="164"/>
      <c r="I29" s="165"/>
      <c r="J29" s="165"/>
      <c r="K29" s="165"/>
      <c r="L29" s="166"/>
      <c r="M29" s="42"/>
    </row>
    <row r="30" spans="1:13" s="3" customFormat="1" ht="39.75" customHeight="1">
      <c r="A30" s="50"/>
      <c r="B30" s="55"/>
      <c r="C30" s="56" t="s">
        <v>40</v>
      </c>
      <c r="D30" s="57">
        <f ca="1">COUNTA(Inline!G3:'Inline'!G500)</f>
        <v>15</v>
      </c>
      <c r="E30" s="87">
        <f ca="1">D30/D29</f>
        <v>1</v>
      </c>
      <c r="F30" s="41"/>
      <c r="G30" s="160"/>
      <c r="H30" s="164"/>
      <c r="I30" s="165"/>
      <c r="J30" s="165"/>
      <c r="K30" s="165"/>
      <c r="L30" s="166"/>
      <c r="M30" s="42"/>
    </row>
    <row r="31" spans="1:13" s="3" customFormat="1" ht="39.75" customHeight="1">
      <c r="A31" s="50"/>
      <c r="B31" s="55"/>
      <c r="C31" s="56" t="s">
        <v>41</v>
      </c>
      <c r="D31" s="57">
        <f ca="1">COUNTIF(QA!AK3:AK82, "Full match")</f>
        <v>0</v>
      </c>
      <c r="E31" s="87">
        <f ca="1">D31*100%/D30</f>
        <v>0</v>
      </c>
      <c r="F31" s="41"/>
      <c r="G31" s="160"/>
      <c r="H31" s="164"/>
      <c r="I31" s="165"/>
      <c r="J31" s="165"/>
      <c r="K31" s="165"/>
      <c r="L31" s="166"/>
      <c r="M31" s="42"/>
    </row>
    <row r="32" spans="1:13" s="3" customFormat="1" ht="39.75" customHeight="1">
      <c r="A32" s="40"/>
      <c r="B32" s="55"/>
      <c r="C32" s="56" t="s">
        <v>42</v>
      </c>
      <c r="D32" s="57">
        <f ca="1">D31</f>
        <v>0</v>
      </c>
      <c r="E32" s="87" t="e">
        <f ca="1">D32*100%/D31</f>
        <v>#DIV/0!</v>
      </c>
      <c r="F32" s="41"/>
      <c r="G32" s="161"/>
      <c r="H32" s="164"/>
      <c r="I32" s="165"/>
      <c r="J32" s="165"/>
      <c r="K32" s="165"/>
      <c r="L32" s="166"/>
      <c r="M32" s="42"/>
    </row>
    <row r="33" spans="1:14" s="3" customFormat="1" ht="39.75" customHeight="1">
      <c r="A33" s="40"/>
      <c r="B33" s="55"/>
      <c r="C33" s="56"/>
      <c r="D33" s="57"/>
      <c r="E33" s="58"/>
      <c r="F33" s="41"/>
      <c r="G33" s="86"/>
      <c r="H33" s="51"/>
      <c r="I33" s="51"/>
      <c r="J33" s="51"/>
      <c r="K33" s="51"/>
      <c r="L33" s="51"/>
      <c r="M33" s="42"/>
    </row>
    <row r="34" spans="1:14" s="3" customFormat="1" ht="39.75" customHeight="1">
      <c r="A34" s="37"/>
      <c r="B34" s="144" t="s">
        <v>43</v>
      </c>
      <c r="C34" s="144"/>
      <c r="D34" s="144"/>
      <c r="E34" s="144"/>
      <c r="F34" s="38"/>
      <c r="G34" s="38"/>
      <c r="H34" s="38"/>
      <c r="I34" s="38"/>
      <c r="J34" s="38"/>
      <c r="K34" s="38"/>
      <c r="L34" s="38"/>
      <c r="M34" s="39"/>
      <c r="N34" s="4"/>
    </row>
    <row r="35" spans="1:14" s="3" customFormat="1" ht="39.75" customHeight="1">
      <c r="A35" s="40"/>
      <c r="B35" s="52" t="s">
        <v>24</v>
      </c>
      <c r="C35" s="53" t="s">
        <v>25</v>
      </c>
      <c r="D35" s="6" t="s">
        <v>26</v>
      </c>
      <c r="E35" s="54" t="s">
        <v>27</v>
      </c>
      <c r="F35" s="41"/>
      <c r="G35" s="41"/>
      <c r="H35" s="41"/>
      <c r="I35" s="41"/>
      <c r="J35" s="41"/>
      <c r="K35" s="41"/>
      <c r="L35" s="41"/>
      <c r="M35" s="42"/>
    </row>
    <row r="36" spans="1:14" s="3" customFormat="1" ht="39.75" customHeight="1">
      <c r="A36" s="40"/>
      <c r="B36" s="55"/>
      <c r="C36" s="56" t="s">
        <v>44</v>
      </c>
      <c r="D36" s="57">
        <f ca="1">COUNTA(Paragraph!A3:'Paragraph'!A500)</f>
        <v>55</v>
      </c>
      <c r="E36" s="58" t="s">
        <v>39</v>
      </c>
      <c r="F36" s="41"/>
      <c r="G36" s="159" t="s">
        <v>11</v>
      </c>
      <c r="H36" s="164"/>
      <c r="I36" s="165"/>
      <c r="J36" s="165"/>
      <c r="K36" s="165"/>
      <c r="L36" s="166"/>
      <c r="M36" s="42"/>
    </row>
    <row r="37" spans="1:14" s="3" customFormat="1" ht="39.75" customHeight="1">
      <c r="A37" s="50"/>
      <c r="B37" s="55"/>
      <c r="C37" s="56" t="s">
        <v>45</v>
      </c>
      <c r="D37" s="57">
        <f ca="1">COUNTA(Paragraph!G3:'Paragraph'!G500)</f>
        <v>55</v>
      </c>
      <c r="E37" s="87">
        <f ca="1">Table685[[#This Row],[Column3]]/D36</f>
        <v>1</v>
      </c>
      <c r="F37" s="41"/>
      <c r="G37" s="160"/>
      <c r="H37" s="164"/>
      <c r="I37" s="165"/>
      <c r="J37" s="165"/>
      <c r="K37" s="165"/>
      <c r="L37" s="166"/>
      <c r="M37" s="42"/>
    </row>
    <row r="38" spans="1:14" s="3" customFormat="1" ht="39.75" customHeight="1">
      <c r="A38" s="50"/>
      <c r="B38" s="55"/>
      <c r="C38" s="56" t="s">
        <v>46</v>
      </c>
      <c r="D38" s="57">
        <f ca="1">COUNTIF(QA!AI17:AI110, "Full Match") + COUNTIF(QA!AI17:AI110, "Partial Match")</f>
        <v>0</v>
      </c>
      <c r="E38" s="87">
        <f ca="1">Table685[[#This Row],[Column3]]/D37</f>
        <v>0</v>
      </c>
      <c r="F38" s="41"/>
      <c r="G38" s="160"/>
      <c r="H38" s="164"/>
      <c r="I38" s="165"/>
      <c r="J38" s="165"/>
      <c r="K38" s="165"/>
      <c r="L38" s="166"/>
      <c r="M38" s="42"/>
    </row>
    <row r="39" spans="1:14" s="3" customFormat="1" ht="39.75" customHeight="1">
      <c r="A39" s="40"/>
      <c r="B39" s="55"/>
      <c r="C39" s="56" t="s">
        <v>47</v>
      </c>
      <c r="D39" s="57">
        <f ca="1">D38</f>
        <v>0</v>
      </c>
      <c r="E39" s="87" t="e">
        <f ca="1">Table685[[#This Row],[Column3]]/D38</f>
        <v>#DIV/0!</v>
      </c>
      <c r="F39" s="41"/>
      <c r="G39" s="161"/>
      <c r="H39" s="164"/>
      <c r="I39" s="165"/>
      <c r="J39" s="165"/>
      <c r="K39" s="165"/>
      <c r="L39" s="166"/>
      <c r="M39" s="42"/>
    </row>
    <row r="40" spans="1:14" s="3" customFormat="1" ht="39.75" customHeight="1">
      <c r="A40" s="40"/>
      <c r="B40" s="55"/>
      <c r="C40" s="56"/>
      <c r="D40" s="57"/>
      <c r="E40" s="58"/>
      <c r="F40" s="41"/>
      <c r="G40" s="86"/>
      <c r="H40" s="51"/>
      <c r="I40" s="51"/>
      <c r="J40" s="51"/>
      <c r="K40" s="51"/>
      <c r="L40" s="51"/>
      <c r="M40" s="42"/>
    </row>
    <row r="41" spans="1:14" s="3" customFormat="1" ht="39.75" customHeight="1">
      <c r="A41" s="37"/>
      <c r="B41" s="144" t="s">
        <v>48</v>
      </c>
      <c r="C41" s="144"/>
      <c r="D41" s="144"/>
      <c r="E41" s="144"/>
      <c r="F41" s="38"/>
      <c r="G41" s="38"/>
      <c r="H41" s="38"/>
      <c r="I41" s="38"/>
      <c r="J41" s="38"/>
      <c r="K41" s="38"/>
      <c r="L41" s="38"/>
      <c r="M41" s="39"/>
      <c r="N41" s="4"/>
    </row>
    <row r="42" spans="1:14" s="3" customFormat="1" ht="39.75" customHeight="1">
      <c r="A42" s="40"/>
      <c r="B42" s="52" t="s">
        <v>24</v>
      </c>
      <c r="C42" s="53" t="s">
        <v>25</v>
      </c>
      <c r="D42" s="6" t="s">
        <v>26</v>
      </c>
      <c r="E42" s="54" t="s">
        <v>27</v>
      </c>
      <c r="F42" s="41"/>
      <c r="G42" s="41"/>
      <c r="H42" s="41"/>
      <c r="I42" s="41"/>
      <c r="J42" s="41"/>
      <c r="K42" s="41"/>
      <c r="L42" s="41"/>
      <c r="M42" s="42"/>
    </row>
    <row r="43" spans="1:14" s="3" customFormat="1" ht="39.75" customHeight="1">
      <c r="A43" s="40"/>
      <c r="B43" s="55"/>
      <c r="C43" s="56" t="s">
        <v>44</v>
      </c>
      <c r="D43" s="57">
        <f ca="1">COUNTA(KeyValue!A3:'KeyValue'!A500)</f>
        <v>19</v>
      </c>
      <c r="E43" s="58" t="s">
        <v>39</v>
      </c>
      <c r="F43" s="41"/>
      <c r="G43" s="159" t="s">
        <v>11</v>
      </c>
      <c r="H43" s="164"/>
      <c r="I43" s="165"/>
      <c r="J43" s="165"/>
      <c r="K43" s="165"/>
      <c r="L43" s="166"/>
      <c r="M43" s="42"/>
    </row>
    <row r="44" spans="1:14" s="3" customFormat="1" ht="39.75" customHeight="1">
      <c r="A44" s="50"/>
      <c r="B44" s="55"/>
      <c r="C44" s="56" t="s">
        <v>49</v>
      </c>
      <c r="D44" s="57">
        <f ca="1">COUNTA(KeyValue!G3:'KeyValue'!G500)</f>
        <v>19</v>
      </c>
      <c r="E44" s="87">
        <f ca="1">Table687[[#This Row],[Column3]]/D43</f>
        <v>1</v>
      </c>
      <c r="F44" s="41"/>
      <c r="G44" s="160"/>
      <c r="H44" s="164"/>
      <c r="I44" s="165"/>
      <c r="J44" s="165"/>
      <c r="K44" s="165"/>
      <c r="L44" s="166"/>
      <c r="M44" s="42"/>
    </row>
    <row r="45" spans="1:14" s="3" customFormat="1" ht="39.75" customHeight="1">
      <c r="A45" s="50"/>
      <c r="B45" s="55"/>
      <c r="C45" s="56" t="s">
        <v>50</v>
      </c>
      <c r="D45" s="57">
        <f ca="1">COUNTIF(QA!K5:K50, "Full match")</f>
        <v>0</v>
      </c>
      <c r="E45" s="87">
        <f ca="1">Table687[[#This Row],[Column3]]/D44</f>
        <v>0</v>
      </c>
      <c r="F45" s="41"/>
      <c r="G45" s="160"/>
      <c r="H45" s="164"/>
      <c r="I45" s="165"/>
      <c r="J45" s="165"/>
      <c r="K45" s="165"/>
      <c r="L45" s="166"/>
      <c r="M45" s="42"/>
    </row>
    <row r="46" spans="1:14" s="3" customFormat="1" ht="39.75" customHeight="1">
      <c r="A46" s="40"/>
      <c r="B46" s="55"/>
      <c r="C46" s="56" t="s">
        <v>51</v>
      </c>
      <c r="D46" s="57">
        <f ca="1">D45</f>
        <v>0</v>
      </c>
      <c r="E46" s="87" t="e">
        <f ca="1">Table687[[#This Row],[Column3]]/D45</f>
        <v>#DIV/0!</v>
      </c>
      <c r="F46" s="41"/>
      <c r="G46" s="161"/>
      <c r="H46" s="164"/>
      <c r="I46" s="165"/>
      <c r="J46" s="165"/>
      <c r="K46" s="165"/>
      <c r="L46" s="166"/>
      <c r="M46" s="42"/>
    </row>
    <row r="47" spans="1:14" s="3" customFormat="1" ht="30" customHeight="1">
      <c r="A47" s="50"/>
      <c r="B47" s="41"/>
      <c r="C47" s="41"/>
      <c r="D47" s="51"/>
      <c r="E47" s="41"/>
      <c r="F47" s="41"/>
      <c r="G47" s="41"/>
      <c r="H47" s="41"/>
      <c r="I47" s="41"/>
      <c r="J47" s="41"/>
      <c r="K47" s="41"/>
      <c r="L47" s="41"/>
      <c r="M47" s="42"/>
    </row>
    <row r="48" spans="1:14" s="4" customFormat="1" ht="46.4" customHeight="1">
      <c r="A48" s="37"/>
      <c r="B48" s="144" t="s">
        <v>52</v>
      </c>
      <c r="C48" s="144"/>
      <c r="D48" s="144"/>
      <c r="E48" s="144"/>
      <c r="F48" s="38"/>
      <c r="G48" s="38"/>
      <c r="H48" s="38"/>
      <c r="I48" s="38"/>
      <c r="J48" s="38"/>
      <c r="K48" s="38"/>
      <c r="L48" s="38"/>
      <c r="M48" s="39"/>
    </row>
    <row r="49" spans="1:14" s="3" customFormat="1" ht="30" hidden="1" customHeight="1">
      <c r="A49" s="40"/>
      <c r="B49" s="52" t="s">
        <v>24</v>
      </c>
      <c r="C49" s="53" t="s">
        <v>25</v>
      </c>
      <c r="D49" s="6" t="s">
        <v>26</v>
      </c>
      <c r="E49" s="54" t="s">
        <v>27</v>
      </c>
      <c r="F49" s="41"/>
      <c r="G49" s="41"/>
      <c r="H49" s="41"/>
      <c r="I49" s="41"/>
      <c r="J49" s="41"/>
      <c r="K49" s="41"/>
      <c r="L49" s="41"/>
      <c r="M49" s="42"/>
    </row>
    <row r="50" spans="1:14" s="3" customFormat="1" ht="39" customHeight="1">
      <c r="A50" s="40"/>
      <c r="B50" s="55"/>
      <c r="C50" s="56" t="s">
        <v>53</v>
      </c>
      <c r="D50" s="57">
        <f ca="1">COUNTA(Table!A3:'Table'!A500)</f>
        <v>16</v>
      </c>
      <c r="E50" s="58" t="s">
        <v>39</v>
      </c>
      <c r="F50" s="41"/>
      <c r="G50" s="145" t="s">
        <v>11</v>
      </c>
      <c r="H50" s="147"/>
      <c r="I50" s="147"/>
      <c r="J50" s="147"/>
      <c r="K50" s="147"/>
      <c r="L50" s="147"/>
      <c r="M50" s="42"/>
    </row>
    <row r="51" spans="1:14" s="3" customFormat="1" ht="39" customHeight="1">
      <c r="A51" s="50"/>
      <c r="B51" s="55"/>
      <c r="C51" s="56" t="s">
        <v>54</v>
      </c>
      <c r="D51" s="57">
        <f ca="1">COUNTA(Table!G3:'Table'!G500)</f>
        <v>16</v>
      </c>
      <c r="E51" s="87">
        <f ca="1">D51/D50</f>
        <v>1</v>
      </c>
      <c r="F51" s="41"/>
      <c r="G51" s="146"/>
      <c r="H51" s="148"/>
      <c r="I51" s="148"/>
      <c r="J51" s="148"/>
      <c r="K51" s="148"/>
      <c r="L51" s="149"/>
      <c r="M51" s="42"/>
    </row>
    <row r="52" spans="1:14" s="3" customFormat="1" ht="39" customHeight="1">
      <c r="A52" s="50"/>
      <c r="B52" s="55"/>
      <c r="C52" s="56" t="s">
        <v>55</v>
      </c>
      <c r="D52" s="57">
        <f ca="1">COUNTIF(QA!X29:X102, "partial match")</f>
        <v>0</v>
      </c>
      <c r="E52" s="87">
        <f ca="1">D52/D51</f>
        <v>0</v>
      </c>
      <c r="F52" s="41"/>
      <c r="G52" s="146"/>
      <c r="H52" s="150"/>
      <c r="I52" s="150"/>
      <c r="J52" s="150"/>
      <c r="K52" s="150"/>
      <c r="L52" s="151"/>
      <c r="M52" s="42"/>
    </row>
    <row r="53" spans="1:14" s="3" customFormat="1" ht="39" customHeight="1">
      <c r="A53" s="40"/>
      <c r="B53" s="55"/>
      <c r="C53" s="56" t="s">
        <v>56</v>
      </c>
      <c r="D53" s="57">
        <f ca="1">D52</f>
        <v>0</v>
      </c>
      <c r="E53" s="87" t="e">
        <f ca="1">D53/D52</f>
        <v>#DIV/0!</v>
      </c>
      <c r="F53" s="41"/>
      <c r="G53" s="146"/>
      <c r="H53" s="150"/>
      <c r="I53" s="150"/>
      <c r="J53" s="150"/>
      <c r="K53" s="150"/>
      <c r="L53" s="151"/>
      <c r="M53" s="42"/>
    </row>
    <row r="54" spans="1:14" s="3" customFormat="1" ht="30" customHeight="1">
      <c r="A54" s="50"/>
      <c r="B54" s="41"/>
      <c r="C54" s="41"/>
      <c r="D54" s="51"/>
      <c r="E54" s="41"/>
      <c r="F54" s="41"/>
      <c r="G54" s="41"/>
      <c r="H54" s="41"/>
      <c r="I54" s="41"/>
      <c r="J54" s="41"/>
      <c r="K54" s="41"/>
      <c r="L54" s="41"/>
      <c r="M54" s="42"/>
    </row>
    <row r="55" spans="1:14" s="3" customFormat="1" ht="30" customHeight="1">
      <c r="A55" s="37"/>
      <c r="B55" s="144" t="s">
        <v>57</v>
      </c>
      <c r="C55" s="144"/>
      <c r="D55" s="144"/>
      <c r="E55" s="144"/>
      <c r="F55" s="38"/>
      <c r="G55" s="38"/>
      <c r="H55" s="38"/>
      <c r="I55" s="38"/>
      <c r="J55" s="38"/>
      <c r="K55" s="38"/>
      <c r="L55" s="38"/>
      <c r="M55" s="39"/>
      <c r="N55" s="4"/>
    </row>
    <row r="56" spans="1:14" s="3" customFormat="1" ht="30" customHeight="1">
      <c r="A56" s="40"/>
      <c r="B56" s="52" t="s">
        <v>24</v>
      </c>
      <c r="C56" s="53" t="s">
        <v>25</v>
      </c>
      <c r="D56" s="6" t="s">
        <v>26</v>
      </c>
      <c r="E56" s="54" t="s">
        <v>27</v>
      </c>
      <c r="F56" s="41"/>
      <c r="G56" s="41"/>
      <c r="H56" s="41"/>
      <c r="I56" s="41"/>
      <c r="J56" s="41"/>
      <c r="K56" s="41"/>
      <c r="L56" s="41"/>
      <c r="M56" s="42"/>
    </row>
    <row r="57" spans="1:14" s="3" customFormat="1" ht="30" customHeight="1">
      <c r="A57" s="40"/>
      <c r="B57" s="55"/>
      <c r="C57" s="56" t="s">
        <v>58</v>
      </c>
      <c r="D57" s="57">
        <f ca="1">COUNTA(Lists!A3:A4)</f>
        <v>2</v>
      </c>
      <c r="E57" s="58" t="s">
        <v>39</v>
      </c>
      <c r="F57" s="41"/>
      <c r="G57" s="145" t="s">
        <v>11</v>
      </c>
      <c r="H57" s="147"/>
      <c r="I57" s="147"/>
      <c r="J57" s="147"/>
      <c r="K57" s="147"/>
      <c r="L57" s="147"/>
      <c r="M57" s="42"/>
    </row>
    <row r="58" spans="1:14" s="3" customFormat="1" ht="30" customHeight="1">
      <c r="A58" s="50"/>
      <c r="B58" s="55"/>
      <c r="C58" s="56" t="s">
        <v>59</v>
      </c>
      <c r="D58" s="57">
        <f ca="1">COUNTA(Lists!G3:G4)</f>
        <v>2</v>
      </c>
      <c r="E58" s="87">
        <f ca="1">Table692[[#This Row],[Column3]]/D57</f>
        <v>1</v>
      </c>
      <c r="F58" s="41"/>
      <c r="G58" s="146"/>
      <c r="H58" s="148"/>
      <c r="I58" s="148"/>
      <c r="J58" s="148"/>
      <c r="K58" s="148"/>
      <c r="L58" s="149"/>
      <c r="M58" s="42"/>
    </row>
    <row r="59" spans="1:14" s="3" customFormat="1" ht="30" customHeight="1">
      <c r="A59" s="50"/>
      <c r="B59" s="55"/>
      <c r="C59" s="56" t="s">
        <v>60</v>
      </c>
      <c r="D59" s="57">
        <f>COUNTIF(QA!AC36:AC64,"full match")</f>
        <v>0</v>
      </c>
      <c r="E59" s="87">
        <f ca="1">Table692[[#This Row],[Column3]]/D58</f>
        <v>0</v>
      </c>
      <c r="F59" s="41"/>
      <c r="G59" s="146"/>
      <c r="H59" s="150"/>
      <c r="I59" s="150"/>
      <c r="J59" s="150"/>
      <c r="K59" s="150"/>
      <c r="L59" s="151"/>
      <c r="M59" s="42"/>
    </row>
    <row r="60" spans="1:14" s="3" customFormat="1" ht="30" customHeight="1">
      <c r="A60" s="40"/>
      <c r="B60" s="55"/>
      <c r="C60" s="56" t="s">
        <v>61</v>
      </c>
      <c r="D60" s="57">
        <f>D59</f>
        <v>0</v>
      </c>
      <c r="E60" s="87" t="e">
        <f>Table692[[#This Row],[Column3]]/D59</f>
        <v>#DIV/0!</v>
      </c>
      <c r="F60" s="41"/>
      <c r="G60" s="146"/>
      <c r="H60" s="150"/>
      <c r="I60" s="150"/>
      <c r="J60" s="150"/>
      <c r="K60" s="150"/>
      <c r="L60" s="151"/>
      <c r="M60" s="42"/>
    </row>
    <row r="61" spans="1:14" s="3" customFormat="1" ht="30" customHeight="1">
      <c r="A61" s="50"/>
      <c r="B61" s="41"/>
      <c r="C61" s="41"/>
      <c r="D61" s="51"/>
      <c r="E61" s="41"/>
      <c r="F61" s="41"/>
      <c r="G61" s="41"/>
      <c r="H61" s="41"/>
      <c r="I61" s="41"/>
      <c r="J61" s="41"/>
      <c r="K61" s="41"/>
      <c r="L61" s="41"/>
      <c r="M61" s="42"/>
    </row>
    <row r="62" spans="1:14" s="4" customFormat="1" ht="46.4" customHeight="1">
      <c r="A62" s="37"/>
      <c r="B62" s="144" t="s">
        <v>62</v>
      </c>
      <c r="C62" s="144"/>
      <c r="D62" s="144"/>
      <c r="E62" s="144"/>
      <c r="F62" s="38"/>
      <c r="G62" s="38"/>
      <c r="H62" s="38"/>
      <c r="I62" s="38"/>
      <c r="J62" s="38"/>
      <c r="K62" s="38"/>
      <c r="L62" s="38"/>
      <c r="M62" s="39"/>
    </row>
    <row r="63" spans="1:14" s="3" customFormat="1" ht="30" hidden="1" customHeight="1">
      <c r="A63" s="40"/>
      <c r="B63" s="52" t="s">
        <v>24</v>
      </c>
      <c r="C63" s="53" t="s">
        <v>25</v>
      </c>
      <c r="D63" s="6" t="s">
        <v>26</v>
      </c>
      <c r="E63" s="54" t="s">
        <v>27</v>
      </c>
      <c r="F63" s="41"/>
      <c r="G63" s="41"/>
      <c r="H63" s="41"/>
      <c r="I63" s="41"/>
      <c r="J63" s="41"/>
      <c r="K63" s="41"/>
      <c r="L63" s="41"/>
      <c r="M63" s="42"/>
    </row>
    <row r="64" spans="1:14" s="3" customFormat="1" ht="34.5" customHeight="1">
      <c r="A64" s="40"/>
      <c r="B64" s="55"/>
      <c r="C64" s="56" t="s">
        <v>63</v>
      </c>
      <c r="D64" s="57">
        <v>0</v>
      </c>
      <c r="E64" s="58" t="s">
        <v>39</v>
      </c>
      <c r="F64" s="41"/>
      <c r="G64" s="145" t="s">
        <v>11</v>
      </c>
      <c r="H64" s="147"/>
      <c r="I64" s="147"/>
      <c r="J64" s="147"/>
      <c r="K64" s="147"/>
      <c r="L64" s="147"/>
      <c r="M64" s="42"/>
    </row>
    <row r="65" spans="1:13" s="3" customFormat="1" ht="34.5" customHeight="1">
      <c r="A65" s="50"/>
      <c r="B65" s="55"/>
      <c r="C65" s="56" t="s">
        <v>64</v>
      </c>
      <c r="D65" s="57">
        <v>0</v>
      </c>
      <c r="E65" s="87" t="e">
        <f>D65/D64</f>
        <v>#DIV/0!</v>
      </c>
      <c r="F65" s="41"/>
      <c r="G65" s="146"/>
      <c r="H65" s="189"/>
      <c r="I65" s="190"/>
      <c r="J65" s="190"/>
      <c r="K65" s="190"/>
      <c r="L65" s="190"/>
      <c r="M65" s="42"/>
    </row>
    <row r="66" spans="1:13" s="3" customFormat="1" ht="34.5" customHeight="1">
      <c r="A66" s="50"/>
      <c r="B66" s="55"/>
      <c r="C66" s="56" t="s">
        <v>65</v>
      </c>
      <c r="D66" s="57">
        <f ca="1">COUNTIF(QA!X106:X109, "partial match")</f>
        <v>0</v>
      </c>
      <c r="E66" s="87" t="e">
        <f ca="1">D66/D65</f>
        <v>#DIV/0!</v>
      </c>
      <c r="F66" s="41"/>
      <c r="G66" s="146"/>
      <c r="H66" s="166"/>
      <c r="I66" s="147"/>
      <c r="J66" s="147"/>
      <c r="K66" s="147"/>
      <c r="L66" s="147"/>
      <c r="M66" s="42"/>
    </row>
    <row r="67" spans="1:13" s="3" customFormat="1" ht="34.5" customHeight="1">
      <c r="A67" s="40"/>
      <c r="B67" s="55"/>
      <c r="C67" s="56" t="s">
        <v>66</v>
      </c>
      <c r="D67" s="57">
        <v>0</v>
      </c>
      <c r="E67" s="87" t="e">
        <f ca="1">D67/D66</f>
        <v>#DIV/0!</v>
      </c>
      <c r="F67" s="41"/>
      <c r="G67" s="146"/>
      <c r="H67" s="166"/>
      <c r="I67" s="147"/>
      <c r="J67" s="147"/>
      <c r="K67" s="147"/>
      <c r="L67" s="147"/>
      <c r="M67" s="42"/>
    </row>
    <row r="68" spans="1:13" ht="15">
      <c r="A68" s="50"/>
      <c r="B68" s="51"/>
      <c r="C68" s="51"/>
      <c r="D68" s="59"/>
      <c r="E68" s="59"/>
      <c r="F68" s="51"/>
      <c r="G68" s="51"/>
      <c r="H68" s="51"/>
      <c r="I68" s="51"/>
      <c r="J68" s="51"/>
      <c r="K68" s="51"/>
      <c r="L68" s="51"/>
      <c r="M68" s="60"/>
    </row>
    <row r="69" spans="1:13" ht="15">
      <c r="A69" s="61"/>
      <c r="B69" s="62"/>
      <c r="C69" s="62"/>
      <c r="D69" s="63"/>
      <c r="E69" s="63"/>
      <c r="F69" s="62"/>
      <c r="G69" s="62"/>
      <c r="H69" s="62"/>
      <c r="I69" s="62"/>
      <c r="J69" s="62"/>
      <c r="K69" s="62"/>
      <c r="L69" s="62"/>
      <c r="M69" s="64"/>
    </row>
    <row r="70" spans="1:13" ht="15"/>
    <row r="71" spans="1:13" ht="15"/>
    <row r="72" spans="1:13" ht="15"/>
    <row r="73" spans="1:13" ht="15"/>
    <row r="74" spans="1:13" ht="15"/>
    <row r="75" spans="1:13" ht="15"/>
    <row r="76" spans="1:13" ht="15"/>
    <row r="77" spans="1:13" ht="15"/>
  </sheetData>
  <mergeCells count="71">
    <mergeCell ref="G43:G46"/>
    <mergeCell ref="H43:L43"/>
    <mergeCell ref="H44:L44"/>
    <mergeCell ref="H45:L45"/>
    <mergeCell ref="H46:L46"/>
    <mergeCell ref="H36:L36"/>
    <mergeCell ref="H37:L37"/>
    <mergeCell ref="H38:L38"/>
    <mergeCell ref="H39:L39"/>
    <mergeCell ref="B41:E41"/>
    <mergeCell ref="K13:L13"/>
    <mergeCell ref="K12:L12"/>
    <mergeCell ref="I12:J12"/>
    <mergeCell ref="C8:C9"/>
    <mergeCell ref="D8:E8"/>
    <mergeCell ref="D9:E9"/>
    <mergeCell ref="G13:H13"/>
    <mergeCell ref="G12:H12"/>
    <mergeCell ref="H67:L67"/>
    <mergeCell ref="H66:L66"/>
    <mergeCell ref="H65:L65"/>
    <mergeCell ref="G64:G67"/>
    <mergeCell ref="H64:L64"/>
    <mergeCell ref="B2:L2"/>
    <mergeCell ref="J6:L6"/>
    <mergeCell ref="J5:L5"/>
    <mergeCell ref="B27:E27"/>
    <mergeCell ref="B48:E48"/>
    <mergeCell ref="G4:I4"/>
    <mergeCell ref="J4:L4"/>
    <mergeCell ref="B16:E16"/>
    <mergeCell ref="J18:K18"/>
    <mergeCell ref="J19:K19"/>
    <mergeCell ref="J20:K20"/>
    <mergeCell ref="J21:K21"/>
    <mergeCell ref="G24:I24"/>
    <mergeCell ref="G5:I5"/>
    <mergeCell ref="H31:L31"/>
    <mergeCell ref="H32:L32"/>
    <mergeCell ref="B62:E62"/>
    <mergeCell ref="G7:I7"/>
    <mergeCell ref="G6:I6"/>
    <mergeCell ref="H51:L51"/>
    <mergeCell ref="H52:L52"/>
    <mergeCell ref="H53:L53"/>
    <mergeCell ref="G29:G32"/>
    <mergeCell ref="H29:L29"/>
    <mergeCell ref="G50:G53"/>
    <mergeCell ref="H50:L50"/>
    <mergeCell ref="J24:K24"/>
    <mergeCell ref="H30:L30"/>
    <mergeCell ref="G8:I8"/>
    <mergeCell ref="J8:L8"/>
    <mergeCell ref="J7:L7"/>
    <mergeCell ref="I13:J13"/>
    <mergeCell ref="G14:H14"/>
    <mergeCell ref="I14:J14"/>
    <mergeCell ref="K14:L14"/>
    <mergeCell ref="B55:E55"/>
    <mergeCell ref="G57:G60"/>
    <mergeCell ref="H57:L57"/>
    <mergeCell ref="H58:L58"/>
    <mergeCell ref="H59:L59"/>
    <mergeCell ref="H60:L60"/>
    <mergeCell ref="G16:L16"/>
    <mergeCell ref="G18:I18"/>
    <mergeCell ref="G19:I19"/>
    <mergeCell ref="G20:I20"/>
    <mergeCell ref="G21:I21"/>
    <mergeCell ref="B34:E34"/>
    <mergeCell ref="G36:G39"/>
  </mergeCells>
  <dataValidations count="2">
    <dataValidation allowBlank="1" showInputMessage="1" showErrorMessage="1" prompt="Enter average travel data in cells C6 to E9." sqref="B16:E16 G16" xr:uid="{293336D8-1D56-4469-9A1C-FF10F5012F93}"/>
    <dataValidation allowBlank="1" showInputMessage="1" showErrorMessage="1" prompt="How much would you pay to save time?_x000a__x000a_Enter cost of your time in cell D13." sqref="B62:E62 B27:E27 B55:E55 B34:E34 B41:E41 B48:E48" xr:uid="{0A7A7055-A453-49F5-8BD7-5A8828B88BB6}"/>
  </dataValidations>
  <hyperlinks>
    <hyperlink ref="D12" r:id="rId1" xr:uid="{9AC3AF28-02F0-48FE-90BF-AD02F4EE13E6}"/>
    <hyperlink ref="E12" r:id="rId2" xr:uid="{B0D8E6D0-60B9-4013-B485-977C8EC30588}"/>
    <hyperlink ref="G12" r:id="rId3" xr:uid="{3071FD0D-FEDA-457C-B456-C4028F2DE8E7}"/>
  </hyperlinks>
  <pageMargins left="0.7" right="0.7" top="0.75" bottom="0.75" header="0.3" footer="0.3"/>
  <pageSetup scale="86" orientation="landscape" horizontalDpi="4294967293" verticalDpi="0" r:id="rId4"/>
  <tableParts count="7">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10BF-2B65-4588-AB34-2675E68E1BE6}">
  <dimension ref="A1:AK537"/>
  <sheetViews>
    <sheetView tabSelected="1" zoomScale="67" workbookViewId="0">
      <selection activeCell="A29" sqref="A29"/>
    </sheetView>
  </sheetViews>
  <sheetFormatPr defaultColWidth="9" defaultRowHeight="14.25" customHeight="1"/>
  <cols>
    <col min="1" max="1" width="43.35546875" style="118" customWidth="1"/>
    <col min="2" max="2" width="19.140625" style="118" customWidth="1"/>
    <col min="3" max="3" width="15.140625" style="118" customWidth="1"/>
    <col min="4" max="4" width="27.35546875" style="133" customWidth="1"/>
    <col min="5" max="5" width="27" style="118" customWidth="1"/>
    <col min="6" max="6" width="27.140625" style="118" customWidth="1"/>
    <col min="7" max="7" width="26.85546875" style="117" customWidth="1"/>
    <col min="8" max="8" width="27.35546875" style="118" customWidth="1"/>
    <col min="9" max="9" width="27.85546875" style="118" customWidth="1"/>
    <col min="10" max="10" width="20.140625" style="119" customWidth="1"/>
    <col min="11" max="11" width="14" style="120" customWidth="1"/>
    <col min="12" max="12" width="24.640625" style="97" customWidth="1"/>
    <col min="13" max="13" width="9" style="98" customWidth="1"/>
    <col min="14" max="14" width="9" style="97" customWidth="1"/>
    <col min="15" max="15" width="16" style="98" customWidth="1"/>
    <col min="16" max="16" width="9" style="96" customWidth="1"/>
    <col min="17" max="17" width="11.640625" style="96" customWidth="1"/>
    <col min="18" max="18" width="14.85546875" style="96" customWidth="1"/>
    <col min="19" max="19" width="20.640625" style="96" customWidth="1"/>
    <col min="20" max="20" width="14" style="96" customWidth="1"/>
    <col min="21" max="21" width="14.5" style="96" customWidth="1"/>
    <col min="22" max="22" width="14.640625" style="96" customWidth="1"/>
    <col min="23" max="23" width="13.5" style="96" customWidth="1"/>
    <col min="24" max="25" width="9" style="96" customWidth="1"/>
    <col min="26" max="26" width="15.140625" style="96" customWidth="1"/>
    <col min="27" max="28" width="13.140625" style="96" customWidth="1"/>
    <col min="29" max="29" width="14.640625" style="96" customWidth="1"/>
    <col min="30" max="30" width="9" style="96"/>
    <col min="31" max="31" width="13" style="96" customWidth="1"/>
    <col min="32" max="32" width="15.640625" style="96" customWidth="1"/>
    <col min="33" max="33" width="14.85546875" style="124" customWidth="1"/>
    <col min="34" max="34" width="11.85546875" style="124" customWidth="1"/>
    <col min="35" max="37" width="9" style="124"/>
    <col min="38" max="16384" width="9" style="96"/>
  </cols>
  <sheetData>
    <row r="1" spans="1:37" s="101" customFormat="1" ht="12.75" customHeight="1">
      <c r="A1" s="104"/>
      <c r="B1" s="104"/>
      <c r="C1" s="105"/>
      <c r="D1" s="130"/>
      <c r="E1" s="104"/>
      <c r="F1" s="104"/>
      <c r="G1" s="106"/>
      <c r="H1" s="104"/>
      <c r="I1" s="104"/>
      <c r="J1" s="140" t="s">
        <v>67</v>
      </c>
      <c r="K1" s="141"/>
      <c r="L1" s="103"/>
      <c r="M1" s="102"/>
      <c r="N1" s="103"/>
      <c r="O1" s="102"/>
      <c r="Q1" s="139" t="s">
        <v>68</v>
      </c>
      <c r="R1" s="139"/>
      <c r="S1" s="139"/>
      <c r="T1" s="139"/>
      <c r="U1" s="139"/>
      <c r="V1" s="139"/>
      <c r="W1" s="139"/>
      <c r="X1" s="139"/>
      <c r="Z1" s="139" t="s">
        <v>69</v>
      </c>
      <c r="AA1" s="139"/>
      <c r="AB1" s="139"/>
      <c r="AC1" s="139"/>
      <c r="AE1" s="139" t="s">
        <v>70</v>
      </c>
      <c r="AF1" s="139"/>
      <c r="AG1" s="139"/>
      <c r="AH1" s="139"/>
      <c r="AI1" s="139"/>
      <c r="AJ1" s="137"/>
      <c r="AK1" s="138" t="s">
        <v>71</v>
      </c>
    </row>
    <row r="2" spans="1:37" s="101" customFormat="1" ht="12.9">
      <c r="A2" s="107" t="s">
        <v>72</v>
      </c>
      <c r="B2" s="107" t="s">
        <v>24</v>
      </c>
      <c r="C2" s="107" t="s">
        <v>73</v>
      </c>
      <c r="D2" s="131" t="s">
        <v>74</v>
      </c>
      <c r="E2" s="107" t="s">
        <v>75</v>
      </c>
      <c r="F2" s="107" t="s">
        <v>76</v>
      </c>
      <c r="G2" s="108" t="s">
        <v>77</v>
      </c>
      <c r="H2" s="107" t="s">
        <v>78</v>
      </c>
      <c r="I2" s="107" t="s">
        <v>79</v>
      </c>
      <c r="J2" s="107" t="s">
        <v>80</v>
      </c>
      <c r="K2" s="109" t="s">
        <v>81</v>
      </c>
      <c r="L2" s="103"/>
      <c r="M2" s="102"/>
      <c r="N2" s="103"/>
      <c r="O2" s="102"/>
      <c r="Q2" s="101" t="s">
        <v>82</v>
      </c>
      <c r="R2" s="101" t="s">
        <v>83</v>
      </c>
      <c r="S2" s="123" t="s">
        <v>84</v>
      </c>
      <c r="T2" s="101" t="s">
        <v>85</v>
      </c>
      <c r="U2" s="101" t="s">
        <v>86</v>
      </c>
      <c r="V2" s="123" t="s">
        <v>87</v>
      </c>
      <c r="W2" s="101" t="s">
        <v>88</v>
      </c>
      <c r="X2" s="101" t="s">
        <v>89</v>
      </c>
      <c r="Z2" s="101" t="s">
        <v>90</v>
      </c>
      <c r="AA2" s="101" t="s">
        <v>91</v>
      </c>
      <c r="AB2" s="101" t="s">
        <v>92</v>
      </c>
      <c r="AC2" s="101" t="s">
        <v>93</v>
      </c>
      <c r="AE2" s="101" t="s">
        <v>94</v>
      </c>
      <c r="AF2" s="101" t="s">
        <v>95</v>
      </c>
      <c r="AG2" s="129" t="s">
        <v>96</v>
      </c>
      <c r="AH2" s="129" t="s">
        <v>80</v>
      </c>
      <c r="AI2" s="129" t="s">
        <v>89</v>
      </c>
      <c r="AJ2" s="129"/>
      <c r="AK2" s="129" t="s">
        <v>89</v>
      </c>
    </row>
    <row r="3" spans="1:37" ht="12.9" hidden="1">
      <c r="A3" s="106" t="s">
        <v>97</v>
      </c>
      <c r="B3" s="110"/>
      <c r="C3" s="110" t="s">
        <v>98</v>
      </c>
      <c r="D3" s="131" t="s">
        <v>99</v>
      </c>
      <c r="E3" s="107" t="s">
        <v>17</v>
      </c>
      <c r="F3" s="110"/>
      <c r="G3" s="106" t="s">
        <v>100</v>
      </c>
      <c r="H3" s="107"/>
      <c r="I3" s="107" t="e" cm="1">
        <f t="array" aca="1" ref="I3" ca="1">_xldudf_BOARDFLARE_FMATCH(G3,D3)</f>
        <v>#NAME?</v>
      </c>
      <c r="J3" s="111" t="e" vm="1">
        <f t="shared" ref="J3:J34" ca="1" si="0">IF(M3&gt;O3, M3,O3)</f>
        <v>#VALUE!</v>
      </c>
      <c r="K3" s="109"/>
      <c r="M3" s="98" t="e" cm="1" vm="2">
        <f t="array" ref="M3">_FV(L3,"Similarity",TRUE)</f>
        <v>#VALUE!</v>
      </c>
      <c r="N3" s="97" t="e" cm="1">
        <f t="array" aca="1" ref="N3" ca="1">_xldudf_BOARDFLARE_FMATCH(D3,G3)</f>
        <v>#NAME?</v>
      </c>
      <c r="O3" s="98" t="e" cm="1" vm="2">
        <f t="array" aca="1" ref="O3" ca="1">_FV(N3,"Similarity",TRUE)</f>
        <v>#VALUE!</v>
      </c>
      <c r="AG3" s="96"/>
      <c r="AH3" s="96"/>
      <c r="AI3" s="96"/>
      <c r="AJ3" s="96"/>
      <c r="AK3" s="96" t="str" cm="1">
        <f t="array" aca="1" ref="AK3" ca="1">IF(
   SUMPRODUCT(--ISNUMBER(SEARCH(_xlfn.TEXTSPLIT(D3," "), G3))) / COUNTA(_xlfn.TEXTSPLIT(D3," ")) = 1,
   "Full Match",
   IF(
      SUMPRODUCT(--ISNUMBER(SEARCH(_xlfn.TEXTSPLIT(D3," "), G3))) / COUNTA(_xlfn.TEXTSPLIT(D3," ")) &gt; 0.5,
      "Partial Match",
      "No Match"
   )
)</f>
        <v>No Match</v>
      </c>
    </row>
    <row r="4" spans="1:37" ht="12.9" hidden="1">
      <c r="A4" s="110" t="s">
        <v>101</v>
      </c>
      <c r="B4" s="110"/>
      <c r="C4" s="110" t="s">
        <v>98</v>
      </c>
      <c r="D4" s="132" t="s">
        <v>102</v>
      </c>
      <c r="E4" s="107" t="s">
        <v>17</v>
      </c>
      <c r="F4" s="132" t="s">
        <v>103</v>
      </c>
      <c r="G4" s="106"/>
      <c r="H4" s="107"/>
      <c r="I4" s="107" t="e" cm="1">
        <f t="array" aca="1" ref="I4" ca="1">_xldudf_BOARDFLARE_FMATCH(G4,D4)</f>
        <v>#NAME?</v>
      </c>
      <c r="J4" s="111" t="e" vm="1">
        <f t="shared" ca="1" si="0"/>
        <v>#VALUE!</v>
      </c>
      <c r="K4" s="109"/>
      <c r="L4" s="97" t="e" cm="1">
        <f t="array" aca="1" ref="L4" ca="1">_xldudf_BOARDFLARE_FMATCH(G4,D4)</f>
        <v>#NAME?</v>
      </c>
      <c r="M4" s="98" t="e" cm="1" vm="2">
        <f t="array" aca="1" ref="M4" ca="1">_FV(L4,"Similarity",TRUE)</f>
        <v>#VALUE!</v>
      </c>
      <c r="N4" s="97" t="e" cm="1">
        <f t="array" aca="1" ref="N4" ca="1">_xldudf_BOARDFLARE_FMATCH(D4,G4)</f>
        <v>#NAME?</v>
      </c>
      <c r="O4" s="98" t="e" cm="1" vm="2">
        <f t="array" aca="1" ref="O4" ca="1">_FV(N4,"Similarity",TRUE)</f>
        <v>#VALUE!</v>
      </c>
      <c r="AG4" s="96"/>
      <c r="AH4" s="96"/>
      <c r="AI4" s="96"/>
      <c r="AJ4" s="96"/>
      <c r="AK4" s="96" t="str" cm="1">
        <f t="array" aca="1" ref="AK4" ca="1">IF(
   SUMPRODUCT(--ISNUMBER(SEARCH(_xlfn.TEXTSPLIT(D4," "), G4))) / COUNTA(_xlfn.TEXTSPLIT(D4," ")) = 1,
   "Full Match",
   IF(
      SUMPRODUCT(--ISNUMBER(SEARCH(_xlfn.TEXTSPLIT(D4," "), G4))) / COUNTA(_xlfn.TEXTSPLIT(D4," ")) &gt; 0.5,
      "Partial Match",
      "No Match"
   )
)</f>
        <v>No Match</v>
      </c>
    </row>
    <row r="5" spans="1:37" ht="22.5" hidden="1" customHeight="1">
      <c r="A5" s="110" t="s">
        <v>104</v>
      </c>
      <c r="B5" s="110"/>
      <c r="C5" s="110" t="s">
        <v>105</v>
      </c>
      <c r="D5" s="107" t="s">
        <v>106</v>
      </c>
      <c r="E5" s="107" t="s">
        <v>17</v>
      </c>
      <c r="F5" s="110" t="s">
        <v>107</v>
      </c>
      <c r="G5" s="106" t="s">
        <v>106</v>
      </c>
      <c r="H5" s="107"/>
      <c r="I5" s="107" t="e" cm="1">
        <f t="array" aca="1" ref="I5" ca="1">_xldudf_BOARDFLARE_FMATCH(G5,D5)</f>
        <v>#NAME?</v>
      </c>
      <c r="J5" s="111" t="e" vm="1">
        <f t="shared" ca="1" si="0"/>
        <v>#VALUE!</v>
      </c>
      <c r="K5" s="109" t="str" cm="1">
        <f t="array" aca="1" ref="K5" ca="1">IF(
   SUMPRODUCT(--ISNUMBER(SEARCH(_xlfn.TEXTSPLIT(D5," "), G5))) / COUNTA(_xlfn.TEXTSPLIT(D5," ")) = 1,
   "Full Match",
   IF(
      SUMPRODUCT(--ISNUMBER(SEARCH(_xlfn.TEXTSPLIT(D5," "), G5))) / COUNTA(_xlfn.TEXTSPLIT(D5," ")) &gt; 0.5,
      "Partial Match",
      "No Match"
   )
)</f>
        <v>No Match</v>
      </c>
      <c r="L5" s="97" t="e" cm="1">
        <f t="array" aca="1" ref="L5" ca="1">_xldudf_BOARDFLARE_FMATCH(G5,D5)</f>
        <v>#NAME?</v>
      </c>
      <c r="M5" s="98" t="e" cm="1" vm="2">
        <f t="array" aca="1" ref="M5" ca="1">_FV(L5,"Similarity",TRUE)</f>
        <v>#VALUE!</v>
      </c>
      <c r="N5" s="97" t="e" cm="1">
        <f t="array" aca="1" ref="N5" ca="1">_xldudf_BOARDFLARE_FMATCH(D5,G5)</f>
        <v>#NAME?</v>
      </c>
      <c r="O5" s="98" t="e" cm="1" vm="2">
        <f t="array" aca="1" ref="O5" ca="1">_FV(N5,"Similarity",TRUE)</f>
        <v>#VALUE!</v>
      </c>
      <c r="AG5" s="96"/>
      <c r="AH5" s="96"/>
      <c r="AI5" s="96"/>
      <c r="AJ5" s="96"/>
      <c r="AK5" s="96"/>
    </row>
    <row r="6" spans="1:37" ht="12.9" hidden="1">
      <c r="A6" s="110" t="s">
        <v>108</v>
      </c>
      <c r="B6" s="110"/>
      <c r="C6" s="110" t="s">
        <v>105</v>
      </c>
      <c r="D6" s="110" t="s">
        <v>109</v>
      </c>
      <c r="E6" s="107" t="s">
        <v>17</v>
      </c>
      <c r="F6" s="110" t="s">
        <v>110</v>
      </c>
      <c r="G6" s="106" t="s">
        <v>109</v>
      </c>
      <c r="H6" s="107"/>
      <c r="I6" s="107" t="e" cm="1">
        <f t="array" aca="1" ref="I6" ca="1">_xldudf_BOARDFLARE_FMATCH(G6,D6)</f>
        <v>#NAME?</v>
      </c>
      <c r="J6" s="111" t="e" vm="1">
        <f t="shared" ca="1" si="0"/>
        <v>#VALUE!</v>
      </c>
      <c r="K6" s="109" t="str" cm="1">
        <f t="array" aca="1" ref="K6" ca="1">IF(
   SUMPRODUCT(--ISNUMBER(SEARCH(_xlfn.TEXTSPLIT(D6," "), G6))) / COUNTA(_xlfn.TEXTSPLIT(D6," ")) = 1,
   "Full Match",
   IF(
      SUMPRODUCT(--ISNUMBER(SEARCH(_xlfn.TEXTSPLIT(D6," "), G6))) / COUNTA(_xlfn.TEXTSPLIT(D6," ")) &gt; 0.5,
      "Partial Match",
      "No Match"
   )
)</f>
        <v>No Match</v>
      </c>
      <c r="L6" s="97" t="e" cm="1">
        <f t="array" aca="1" ref="L6" ca="1">_xldudf_BOARDFLARE_FMATCH(G6,D6)</f>
        <v>#NAME?</v>
      </c>
      <c r="M6" s="98" t="e" cm="1" vm="2">
        <f t="array" aca="1" ref="M6" ca="1">_FV(L6,"Similarity",TRUE)</f>
        <v>#VALUE!</v>
      </c>
      <c r="N6" s="97" t="e" cm="1">
        <f t="array" aca="1" ref="N6" ca="1">_xldudf_BOARDFLARE_FMATCH(D6,G6)</f>
        <v>#NAME?</v>
      </c>
      <c r="O6" s="98" t="e" cm="1" vm="2">
        <f t="array" aca="1" ref="O6" ca="1">_FV(N6,"Similarity",TRUE)</f>
        <v>#VALUE!</v>
      </c>
      <c r="AG6" s="96"/>
      <c r="AH6" s="96"/>
      <c r="AI6" s="96"/>
      <c r="AJ6" s="96"/>
      <c r="AK6" s="96"/>
    </row>
    <row r="7" spans="1:37" ht="12.9" hidden="1">
      <c r="A7" s="110" t="s">
        <v>111</v>
      </c>
      <c r="B7" s="110"/>
      <c r="C7" s="110" t="s">
        <v>105</v>
      </c>
      <c r="D7" s="107" t="s">
        <v>112</v>
      </c>
      <c r="E7" s="107" t="s">
        <v>17</v>
      </c>
      <c r="F7" s="110" t="s">
        <v>113</v>
      </c>
      <c r="G7" s="106" t="s">
        <v>112</v>
      </c>
      <c r="H7" s="107"/>
      <c r="I7" s="107" t="e" cm="1">
        <f t="array" aca="1" ref="I7" ca="1">_xldudf_BOARDFLARE_FMATCH(G7,D7)</f>
        <v>#NAME?</v>
      </c>
      <c r="J7" s="111" t="e" vm="1">
        <f t="shared" ca="1" si="0"/>
        <v>#VALUE!</v>
      </c>
      <c r="K7" s="109" t="str" cm="1">
        <f t="array" aca="1" ref="K7" ca="1">IF(
   SUMPRODUCT(--ISNUMBER(SEARCH(_xlfn.TEXTSPLIT(D7," "), G7))) / COUNTA(_xlfn.TEXTSPLIT(D7," ")) = 1,
   "Full Match",
   IF(
      SUMPRODUCT(--ISNUMBER(SEARCH(_xlfn.TEXTSPLIT(D7," "), G7))) / COUNTA(_xlfn.TEXTSPLIT(D7," ")) &gt; 0.5,
      "Partial Match",
      "No Match"
   )
)</f>
        <v>No Match</v>
      </c>
      <c r="L7" s="97" t="e" cm="1">
        <f t="array" aca="1" ref="L7" ca="1">_xldudf_BOARDFLARE_FMATCH(G7,D7)</f>
        <v>#NAME?</v>
      </c>
      <c r="M7" s="98" t="e" cm="1" vm="2">
        <f t="array" aca="1" ref="M7" ca="1">_FV(L7,"Similarity",TRUE)</f>
        <v>#VALUE!</v>
      </c>
      <c r="N7" s="97" t="e" cm="1">
        <f t="array" aca="1" ref="N7" ca="1">_xldudf_BOARDFLARE_FMATCH(D7,G7)</f>
        <v>#NAME?</v>
      </c>
      <c r="O7" s="98" t="e" cm="1" vm="2">
        <f t="array" aca="1" ref="O7" ca="1">_FV(N7,"Similarity",TRUE)</f>
        <v>#VALUE!</v>
      </c>
      <c r="AG7" s="96"/>
      <c r="AH7" s="96"/>
      <c r="AI7" s="96"/>
      <c r="AJ7" s="96"/>
      <c r="AK7" s="96"/>
    </row>
    <row r="8" spans="1:37" ht="21" hidden="1" customHeight="1">
      <c r="A8" s="110" t="s">
        <v>104</v>
      </c>
      <c r="B8" s="110"/>
      <c r="C8" s="110" t="s">
        <v>105</v>
      </c>
      <c r="D8" s="107" t="s">
        <v>106</v>
      </c>
      <c r="E8" s="107" t="s">
        <v>17</v>
      </c>
      <c r="F8" s="110"/>
      <c r="G8" s="106" t="s">
        <v>106</v>
      </c>
      <c r="H8" s="107"/>
      <c r="I8" s="107" t="e" cm="1">
        <f t="array" aca="1" ref="I8" ca="1">_xldudf_BOARDFLARE_FMATCH(G8,D8)</f>
        <v>#NAME?</v>
      </c>
      <c r="J8" s="111" t="e" vm="1">
        <f t="shared" ca="1" si="0"/>
        <v>#VALUE!</v>
      </c>
      <c r="K8" s="109" t="str" cm="1">
        <f t="array" aca="1" ref="K8" ca="1">IF(
   SUMPRODUCT(--ISNUMBER(SEARCH(_xlfn.TEXTSPLIT(D8," "), G8))) / COUNTA(_xlfn.TEXTSPLIT(D8," ")) = 1,
   "Full Match",
   IF(
      SUMPRODUCT(--ISNUMBER(SEARCH(_xlfn.TEXTSPLIT(D8," "), G8))) / COUNTA(_xlfn.TEXTSPLIT(D8," ")) &gt; 0.5,
      "Partial Match",
      "No Match"
   )
)</f>
        <v>No Match</v>
      </c>
      <c r="L8" s="97" t="e" cm="1">
        <f t="array" aca="1" ref="L8" ca="1">_xldudf_BOARDFLARE_FMATCH(G8,D8)</f>
        <v>#NAME?</v>
      </c>
      <c r="M8" s="98" t="e" cm="1" vm="2">
        <f t="array" aca="1" ref="M8" ca="1">_FV(L8,"Similarity",TRUE)</f>
        <v>#VALUE!</v>
      </c>
      <c r="N8" s="97" t="e" cm="1">
        <f t="array" aca="1" ref="N8" ca="1">_xldudf_BOARDFLARE_FMATCH(D8,G8)</f>
        <v>#NAME?</v>
      </c>
      <c r="O8" s="98" t="e" cm="1" vm="2">
        <f t="array" aca="1" ref="O8" ca="1">_FV(N8,"Similarity",TRUE)</f>
        <v>#VALUE!</v>
      </c>
      <c r="AG8" s="96"/>
      <c r="AH8" s="96"/>
      <c r="AI8" s="96"/>
      <c r="AJ8" s="96"/>
      <c r="AK8" s="96"/>
    </row>
    <row r="9" spans="1:37" ht="12.9" hidden="1">
      <c r="A9" s="110" t="s">
        <v>111</v>
      </c>
      <c r="B9" s="110"/>
      <c r="C9" s="110" t="s">
        <v>105</v>
      </c>
      <c r="D9" s="107" t="s">
        <v>112</v>
      </c>
      <c r="E9" s="107" t="s">
        <v>17</v>
      </c>
      <c r="F9" s="110"/>
      <c r="G9" s="106" t="s">
        <v>112</v>
      </c>
      <c r="H9" s="107"/>
      <c r="I9" s="107" t="e" cm="1">
        <f t="array" aca="1" ref="I9" ca="1">_xldudf_BOARDFLARE_FMATCH(G9,D9)</f>
        <v>#NAME?</v>
      </c>
      <c r="J9" s="111" t="e" vm="1">
        <f t="shared" ca="1" si="0"/>
        <v>#VALUE!</v>
      </c>
      <c r="K9" s="109" t="str" cm="1">
        <f t="array" aca="1" ref="K9" ca="1">IF(
   SUMPRODUCT(--ISNUMBER(SEARCH(_xlfn.TEXTSPLIT(D9," "), G9))) / COUNTA(_xlfn.TEXTSPLIT(D9," ")) = 1,
   "Full Match",
   IF(
      SUMPRODUCT(--ISNUMBER(SEARCH(_xlfn.TEXTSPLIT(D9," "), G9))) / COUNTA(_xlfn.TEXTSPLIT(D9," ")) &gt; 0.5,
      "Partial Match",
      "No Match"
   )
)</f>
        <v>No Match</v>
      </c>
      <c r="L9" s="97" t="e" cm="1">
        <f t="array" aca="1" ref="L9" ca="1">_xldudf_BOARDFLARE_FMATCH(G9,D9)</f>
        <v>#NAME?</v>
      </c>
      <c r="M9" s="98" t="e" cm="1" vm="2">
        <f t="array" aca="1" ref="M9" ca="1">_FV(L9,"Similarity",TRUE)</f>
        <v>#VALUE!</v>
      </c>
      <c r="N9" s="97" t="e" cm="1">
        <f t="array" aca="1" ref="N9" ca="1">_xldudf_BOARDFLARE_FMATCH(D9,G9)</f>
        <v>#NAME?</v>
      </c>
      <c r="O9" s="98" t="e" cm="1" vm="2">
        <f t="array" aca="1" ref="O9" ca="1">_FV(N9,"Similarity",TRUE)</f>
        <v>#VALUE!</v>
      </c>
      <c r="AG9" s="96"/>
      <c r="AH9" s="96"/>
      <c r="AI9" s="96"/>
      <c r="AJ9" s="96"/>
      <c r="AK9" s="96"/>
    </row>
    <row r="10" spans="1:37" ht="12.9" hidden="1">
      <c r="A10" s="110" t="s">
        <v>104</v>
      </c>
      <c r="B10" s="110"/>
      <c r="C10" s="110" t="s">
        <v>105</v>
      </c>
      <c r="D10" s="107" t="s">
        <v>106</v>
      </c>
      <c r="E10" s="107" t="s">
        <v>17</v>
      </c>
      <c r="F10" s="110" t="s">
        <v>114</v>
      </c>
      <c r="G10" s="106" t="s">
        <v>106</v>
      </c>
      <c r="H10" s="107"/>
      <c r="I10" s="107" t="e" cm="1">
        <f t="array" aca="1" ref="I10" ca="1">_xldudf_BOARDFLARE_FMATCH(G10,D10)</f>
        <v>#NAME?</v>
      </c>
      <c r="J10" s="111" t="e" vm="1">
        <f t="shared" ca="1" si="0"/>
        <v>#VALUE!</v>
      </c>
      <c r="K10" s="109" t="str" cm="1">
        <f t="array" aca="1" ref="K10" ca="1">IF(
   SUMPRODUCT(--ISNUMBER(SEARCH(_xlfn.TEXTSPLIT(D10," "), G10))) / COUNTA(_xlfn.TEXTSPLIT(D10," ")) = 1,
   "Full Match",
   IF(
      SUMPRODUCT(--ISNUMBER(SEARCH(_xlfn.TEXTSPLIT(D10," "), G10))) / COUNTA(_xlfn.TEXTSPLIT(D10," ")) &gt; 0.5,
      "Partial Match",
      "No Match"
   )
)</f>
        <v>No Match</v>
      </c>
      <c r="L10" s="97" t="e" cm="1">
        <f t="array" aca="1" ref="L10" ca="1">_xldudf_BOARDFLARE_FMATCH(G10,D10)</f>
        <v>#NAME?</v>
      </c>
      <c r="M10" s="98" t="e" cm="1" vm="2">
        <f t="array" aca="1" ref="M10" ca="1">_FV(L10,"Similarity",TRUE)</f>
        <v>#VALUE!</v>
      </c>
      <c r="N10" s="97" t="e" cm="1">
        <f t="array" aca="1" ref="N10" ca="1">_xldudf_BOARDFLARE_FMATCH(D10,G10)</f>
        <v>#NAME?</v>
      </c>
      <c r="O10" s="98" t="e" cm="1" vm="2">
        <f t="array" aca="1" ref="O10" ca="1">_FV(N10,"Similarity",TRUE)</f>
        <v>#VALUE!</v>
      </c>
      <c r="AG10" s="96"/>
      <c r="AH10" s="96"/>
      <c r="AI10" s="96"/>
      <c r="AJ10" s="96"/>
      <c r="AK10" s="96"/>
    </row>
    <row r="11" spans="1:37" ht="12.9" hidden="1">
      <c r="A11" s="110" t="s">
        <v>115</v>
      </c>
      <c r="B11" s="110"/>
      <c r="C11" s="110" t="s">
        <v>105</v>
      </c>
      <c r="D11" s="107">
        <v>123456</v>
      </c>
      <c r="E11" s="107" t="s">
        <v>17</v>
      </c>
      <c r="F11" s="110" t="s">
        <v>116</v>
      </c>
      <c r="G11" s="106">
        <v>123456</v>
      </c>
      <c r="H11" s="107"/>
      <c r="I11" s="107" t="e" cm="1">
        <f t="array" aca="1" ref="I11" ca="1">_xldudf_BOARDFLARE_FMATCH(G11,D11)</f>
        <v>#NAME?</v>
      </c>
      <c r="J11" s="111" t="e" vm="1">
        <f t="shared" ca="1" si="0"/>
        <v>#VALUE!</v>
      </c>
      <c r="K11" s="109" t="str" cm="1">
        <f t="array" aca="1" ref="K11" ca="1">IF(
   SUMPRODUCT(--ISNUMBER(SEARCH(_xlfn.TEXTSPLIT(D11," "), G11))) / COUNTA(_xlfn.TEXTSPLIT(D11," ")) = 1,
   "Full Match",
   IF(
      SUMPRODUCT(--ISNUMBER(SEARCH(_xlfn.TEXTSPLIT(D11," "), G11))) / COUNTA(_xlfn.TEXTSPLIT(D11," ")) &gt; 0.5,
      "Partial Match",
      "No Match"
   )
)</f>
        <v>No Match</v>
      </c>
      <c r="L11" s="97" t="e" cm="1">
        <f t="array" aca="1" ref="L11" ca="1">_xldudf_BOARDFLARE_FMATCH(G11,D11)</f>
        <v>#NAME?</v>
      </c>
      <c r="M11" s="98" t="e" cm="1" vm="2">
        <f t="array" aca="1" ref="M11" ca="1">_FV(L11,"Similarity",TRUE)</f>
        <v>#VALUE!</v>
      </c>
      <c r="N11" s="97" t="e" cm="1">
        <f t="array" aca="1" ref="N11" ca="1">_xldudf_BOARDFLARE_FMATCH(D11,G11)</f>
        <v>#NAME?</v>
      </c>
      <c r="O11" s="98" t="e" cm="1" vm="2">
        <f t="array" aca="1" ref="O11" ca="1">_FV(N11,"Similarity",TRUE)</f>
        <v>#VALUE!</v>
      </c>
      <c r="AG11" s="96"/>
      <c r="AH11" s="96"/>
      <c r="AI11" s="96"/>
      <c r="AJ11" s="96"/>
      <c r="AK11" s="96"/>
    </row>
    <row r="12" spans="1:37" ht="12.9" hidden="1">
      <c r="A12" s="110" t="s">
        <v>117</v>
      </c>
      <c r="B12" s="110"/>
      <c r="C12" s="110" t="s">
        <v>105</v>
      </c>
      <c r="D12" s="110" t="s">
        <v>118</v>
      </c>
      <c r="E12" s="107" t="s">
        <v>17</v>
      </c>
      <c r="F12" s="110" t="s">
        <v>119</v>
      </c>
      <c r="G12" s="106" t="s">
        <v>118</v>
      </c>
      <c r="H12" s="107"/>
      <c r="I12" s="107" t="e" cm="1">
        <f t="array" aca="1" ref="I12" ca="1">_xldudf_BOARDFLARE_FMATCH(G12,D12)</f>
        <v>#NAME?</v>
      </c>
      <c r="J12" s="111" t="e" vm="1">
        <f t="shared" ca="1" si="0"/>
        <v>#VALUE!</v>
      </c>
      <c r="K12" s="109" t="str" cm="1">
        <f t="array" aca="1" ref="K12" ca="1">IF(
   SUMPRODUCT(--ISNUMBER(SEARCH(_xlfn.TEXTSPLIT(D12," "), G12))) / COUNTA(_xlfn.TEXTSPLIT(D12," ")) = 1,
   "Full Match",
   IF(
      SUMPRODUCT(--ISNUMBER(SEARCH(_xlfn.TEXTSPLIT(D12," "), G12))) / COUNTA(_xlfn.TEXTSPLIT(D12," ")) &gt; 0.5,
      "Partial Match",
      "No Match"
   )
)</f>
        <v>No Match</v>
      </c>
      <c r="L12" s="97" t="e" cm="1">
        <f t="array" aca="1" ref="L12" ca="1">_xldudf_BOARDFLARE_FMATCH(G12,D12)</f>
        <v>#NAME?</v>
      </c>
      <c r="M12" s="98" t="e" cm="1" vm="2">
        <f t="array" aca="1" ref="M12" ca="1">_FV(L12,"Similarity",TRUE)</f>
        <v>#VALUE!</v>
      </c>
      <c r="N12" s="97" t="e" cm="1">
        <f t="array" aca="1" ref="N12" ca="1">_xldudf_BOARDFLARE_FMATCH(D12,G12)</f>
        <v>#NAME?</v>
      </c>
      <c r="O12" s="98" t="e" cm="1" vm="2">
        <f t="array" aca="1" ref="O12" ca="1">_FV(N12,"Similarity",TRUE)</f>
        <v>#VALUE!</v>
      </c>
      <c r="AG12" s="96"/>
      <c r="AH12" s="96"/>
      <c r="AI12" s="96"/>
      <c r="AJ12" s="96"/>
      <c r="AK12" s="96"/>
    </row>
    <row r="13" spans="1:37" ht="12.9" hidden="1">
      <c r="A13" s="110" t="s">
        <v>97</v>
      </c>
      <c r="B13" s="110"/>
      <c r="C13" s="110" t="s">
        <v>98</v>
      </c>
      <c r="D13" s="131" t="s">
        <v>99</v>
      </c>
      <c r="E13" s="107" t="s">
        <v>17</v>
      </c>
      <c r="F13" s="110"/>
      <c r="G13" s="106" t="s">
        <v>100</v>
      </c>
      <c r="H13" s="107"/>
      <c r="I13" s="107" t="e" cm="1">
        <f t="array" aca="1" ref="I13" ca="1">_xldudf_BOARDFLARE_FMATCH(G13,D13)</f>
        <v>#NAME?</v>
      </c>
      <c r="J13" s="111" t="e" vm="1">
        <f t="shared" ca="1" si="0"/>
        <v>#VALUE!</v>
      </c>
      <c r="K13" s="109"/>
      <c r="L13" s="97" t="e" cm="1">
        <f t="array" aca="1" ref="L13" ca="1">_xldudf_BOARDFLARE_FMATCH(G13,D13)</f>
        <v>#NAME?</v>
      </c>
      <c r="M13" s="98" t="e" cm="1" vm="2">
        <f t="array" aca="1" ref="M13" ca="1">_FV(L13,"Similarity",TRUE)</f>
        <v>#VALUE!</v>
      </c>
      <c r="N13" s="97" t="e" cm="1">
        <f t="array" aca="1" ref="N13" ca="1">_xldudf_BOARDFLARE_FMATCH(D13,G13)</f>
        <v>#NAME?</v>
      </c>
      <c r="O13" s="98" t="e" cm="1" vm="2">
        <f t="array" aca="1" ref="O13" ca="1">_FV(N13,"Similarity",TRUE)</f>
        <v>#VALUE!</v>
      </c>
      <c r="AG13" s="96"/>
      <c r="AH13" s="96"/>
      <c r="AI13" s="96"/>
      <c r="AJ13" s="96"/>
      <c r="AK13" s="96" t="str" cm="1">
        <f t="array" aca="1" ref="AK13" ca="1">IF(
   SUMPRODUCT(--ISNUMBER(SEARCH(_xlfn.TEXTSPLIT(D13," "), G13))) / COUNTA(_xlfn.TEXTSPLIT(D13," ")) = 1,
   "Full Match",
   IF(
      SUMPRODUCT(--ISNUMBER(SEARCH(_xlfn.TEXTSPLIT(D13," "), G13))) / COUNTA(_xlfn.TEXTSPLIT(D13," ")) &gt; 0.5,
      "Partial Match",
      "No Match"
   )
)</f>
        <v>No Match</v>
      </c>
    </row>
    <row r="14" spans="1:37" ht="12.9" hidden="1">
      <c r="A14" s="110" t="s">
        <v>120</v>
      </c>
      <c r="B14" s="110"/>
      <c r="C14" s="110" t="s">
        <v>105</v>
      </c>
      <c r="D14" s="110" t="s">
        <v>121</v>
      </c>
      <c r="E14" s="107" t="s">
        <v>17</v>
      </c>
      <c r="F14" s="110"/>
      <c r="G14" s="106"/>
      <c r="H14" s="107"/>
      <c r="I14" s="107" t="e" cm="1">
        <f t="array" aca="1" ref="I14" ca="1">_xldudf_BOARDFLARE_FMATCH(G14,D14)</f>
        <v>#NAME?</v>
      </c>
      <c r="J14" s="111" t="e" vm="1">
        <f t="shared" ca="1" si="0"/>
        <v>#VALUE!</v>
      </c>
      <c r="K14" s="109" t="str" cm="1">
        <f t="array" aca="1" ref="K14" ca="1">IF(
   SUMPRODUCT(--ISNUMBER(SEARCH(_xlfn.TEXTSPLIT(D14," "), G14))) / COUNTA(_xlfn.TEXTSPLIT(D14," ")) = 1,
   "Full Match",
   IF(
      SUMPRODUCT(--ISNUMBER(SEARCH(_xlfn.TEXTSPLIT(D14," "), G14))) / COUNTA(_xlfn.TEXTSPLIT(D14," ")) &gt; 0.5,
      "Partial Match",
      "No Match"
   )
)</f>
        <v>No Match</v>
      </c>
      <c r="L14" s="97" t="e" cm="1">
        <f t="array" aca="1" ref="L14" ca="1">_xldudf_BOARDFLARE_FMATCH(G14,D14)</f>
        <v>#NAME?</v>
      </c>
      <c r="M14" s="98" t="e" cm="1" vm="2">
        <f t="array" aca="1" ref="M14" ca="1">_FV(L14,"Similarity",TRUE)</f>
        <v>#VALUE!</v>
      </c>
      <c r="N14" s="97" t="e" cm="1">
        <f t="array" aca="1" ref="N14" ca="1">_xldudf_BOARDFLARE_FMATCH(D14,G14)</f>
        <v>#NAME?</v>
      </c>
      <c r="O14" s="98" t="e" cm="1" vm="2">
        <f t="array" aca="1" ref="O14" ca="1">_FV(N14,"Similarity",TRUE)</f>
        <v>#VALUE!</v>
      </c>
      <c r="AG14" s="96"/>
      <c r="AH14" s="96"/>
      <c r="AI14" s="96"/>
      <c r="AJ14" s="96"/>
      <c r="AK14" s="96"/>
    </row>
    <row r="15" spans="1:37" ht="12.9" hidden="1">
      <c r="A15" s="110" t="s">
        <v>97</v>
      </c>
      <c r="B15" s="110"/>
      <c r="C15" s="110" t="s">
        <v>98</v>
      </c>
      <c r="D15" s="131" t="s">
        <v>99</v>
      </c>
      <c r="E15" s="107" t="s">
        <v>17</v>
      </c>
      <c r="F15" s="110" t="s">
        <v>122</v>
      </c>
      <c r="G15" s="106" t="s">
        <v>100</v>
      </c>
      <c r="H15" s="107"/>
      <c r="I15" s="107" t="e" cm="1">
        <f t="array" aca="1" ref="I15" ca="1">_xldudf_BOARDFLARE_FMATCH(G15,D15)</f>
        <v>#NAME?</v>
      </c>
      <c r="J15" s="111" t="e" vm="1">
        <f t="shared" ca="1" si="0"/>
        <v>#VALUE!</v>
      </c>
      <c r="K15" s="109"/>
      <c r="L15" s="97" t="e" cm="1">
        <f t="array" aca="1" ref="L15" ca="1">_xldudf_BOARDFLARE_FMATCH(G15,D15)</f>
        <v>#NAME?</v>
      </c>
      <c r="M15" s="98" t="e" cm="1" vm="2">
        <f t="array" aca="1" ref="M15" ca="1">_FV(L15,"Similarity",TRUE)</f>
        <v>#VALUE!</v>
      </c>
      <c r="N15" s="97" t="e" cm="1">
        <f t="array" aca="1" ref="N15" ca="1">_xldudf_BOARDFLARE_FMATCH(D15,G15)</f>
        <v>#NAME?</v>
      </c>
      <c r="O15" s="98" t="e" cm="1" vm="2">
        <f t="array" aca="1" ref="O15" ca="1">_FV(N15,"Similarity",TRUE)</f>
        <v>#VALUE!</v>
      </c>
      <c r="AG15" s="96"/>
      <c r="AH15" s="96"/>
      <c r="AI15" s="96"/>
      <c r="AJ15" s="96"/>
      <c r="AK15" s="96" t="str" cm="1">
        <f t="array" aca="1" ref="AK15" ca="1">IF(
   SUMPRODUCT(--ISNUMBER(SEARCH(_xlfn.TEXTSPLIT(D15," "), G15))) / COUNTA(_xlfn.TEXTSPLIT(D15," ")) = 1,
   "Full Match",
   IF(
      SUMPRODUCT(--ISNUMBER(SEARCH(_xlfn.TEXTSPLIT(D15," "), G15))) / COUNTA(_xlfn.TEXTSPLIT(D15," ")) &gt; 0.5,
      "Partial Match",
      "No Match"
   )
)</f>
        <v>No Match</v>
      </c>
    </row>
    <row r="16" spans="1:37" ht="14.25" hidden="1" customHeight="1">
      <c r="A16" s="110" t="s">
        <v>123</v>
      </c>
      <c r="B16" s="110"/>
      <c r="C16" s="110" t="s">
        <v>98</v>
      </c>
      <c r="D16" s="131" t="s">
        <v>99</v>
      </c>
      <c r="E16" s="107" t="s">
        <v>17</v>
      </c>
      <c r="F16" s="110" t="s">
        <v>124</v>
      </c>
      <c r="G16" s="106" t="s">
        <v>125</v>
      </c>
      <c r="H16" s="107"/>
      <c r="I16" s="107" t="e" cm="1">
        <f t="array" aca="1" ref="I16" ca="1">_xldudf_BOARDFLARE_FMATCH(G16,D16)</f>
        <v>#NAME?</v>
      </c>
      <c r="J16" s="111" t="e" vm="1">
        <f t="shared" ca="1" si="0"/>
        <v>#VALUE!</v>
      </c>
      <c r="K16" s="109"/>
      <c r="L16" s="97" t="e" cm="1">
        <f t="array" aca="1" ref="L16" ca="1">_xldudf_BOARDFLARE_FMATCH(G16,D16)</f>
        <v>#NAME?</v>
      </c>
      <c r="M16" s="98" t="e" cm="1" vm="2">
        <f t="array" aca="1" ref="M16" ca="1">_FV(L16,"Similarity",TRUE)</f>
        <v>#VALUE!</v>
      </c>
      <c r="N16" s="97" t="e" cm="1">
        <f t="array" aca="1" ref="N16" ca="1">_xldudf_BOARDFLARE_FMATCH(D16,G16)</f>
        <v>#NAME?</v>
      </c>
      <c r="O16" s="98" t="e" cm="1" vm="2">
        <f t="array" aca="1" ref="O16" ca="1">_FV(N16,"Similarity",TRUE)</f>
        <v>#VALUE!</v>
      </c>
      <c r="AG16" s="96"/>
      <c r="AH16" s="96"/>
      <c r="AI16" s="96"/>
      <c r="AJ16" s="96"/>
      <c r="AK16" s="96" t="str" cm="1">
        <f t="array" aca="1" ref="AK16" ca="1">IF(
   SUMPRODUCT(--ISNUMBER(SEARCH(_xlfn.TEXTSPLIT(D16," "), G16))) / COUNTA(_xlfn.TEXTSPLIT(D16," ")) = 1,
   "Full Match",
   IF(
      SUMPRODUCT(--ISNUMBER(SEARCH(_xlfn.TEXTSPLIT(D16," "), G16))) / COUNTA(_xlfn.TEXTSPLIT(D16," ")) &gt; 0.5,
      "Partial Match",
      "No Match"
   )
)</f>
        <v>No Match</v>
      </c>
    </row>
    <row r="17" spans="1:37" ht="141.44999999999999" hidden="1">
      <c r="A17" s="110" t="s">
        <v>126</v>
      </c>
      <c r="B17" s="110"/>
      <c r="C17" s="110" t="s">
        <v>70</v>
      </c>
      <c r="D17" s="121" t="s">
        <v>127</v>
      </c>
      <c r="E17" s="107" t="s">
        <v>17</v>
      </c>
      <c r="F17" s="110" t="s">
        <v>128</v>
      </c>
      <c r="G17" s="121" t="s">
        <v>129</v>
      </c>
      <c r="H17" s="107"/>
      <c r="I17" s="107" t="e" cm="1">
        <f t="array" aca="1" ref="I17" ca="1">_xldudf_BOARDFLARE_FMATCH(G17,D17)</f>
        <v>#NAME?</v>
      </c>
      <c r="J17" s="111" t="e" vm="1">
        <f t="shared" ca="1" si="0"/>
        <v>#VALUE!</v>
      </c>
      <c r="K17" s="109" t="str" cm="1">
        <f t="array" aca="1" ref="K17" ca="1">IF(
   SUMPRODUCT(--ISNUMBER(SEARCH(_xlfn.TEXTSPLIT(D17," "), G17))) / COUNTA(_xlfn.TEXTSPLIT(D17," ")) = 1,
   "Full Match",
   IF(
      SUMPRODUCT(--ISNUMBER(SEARCH(_xlfn.TEXTSPLIT(D17," "), G17))) / COUNTA(_xlfn.TEXTSPLIT(D17," ")) &gt; 0.5,
      "Partial Match",
      "No Match"
   )
)</f>
        <v>No Match</v>
      </c>
      <c r="L17" s="97" t="e" cm="1">
        <f t="array" aca="1" ref="L17" ca="1">_xldudf_BOARDFLARE_FMATCH(G17,D17)</f>
        <v>#NAME?</v>
      </c>
      <c r="M17" s="98" t="e" cm="1" vm="2">
        <f t="array" aca="1" ref="M17" ca="1">_FV(L17,"Similarity",TRUE)</f>
        <v>#VALUE!</v>
      </c>
      <c r="N17" s="97" t="e" cm="1">
        <f t="array" aca="1" ref="N17" ca="1">_xldudf_BOARDFLARE_FMATCH(D17,G17)</f>
        <v>#NAME?</v>
      </c>
      <c r="O17" s="98" t="e" cm="1" vm="2">
        <f t="array" aca="1" ref="O17" ca="1">_FV(N17,"Similarity",TRUE)</f>
        <v>#VALUE!</v>
      </c>
      <c r="S17" s="98"/>
      <c r="AE17" s="96" t="s">
        <v>130</v>
      </c>
      <c r="AF17" s="96" t="s">
        <v>131</v>
      </c>
      <c r="AG17" s="124" t="b">
        <f>AE17=AF17</f>
        <v>0</v>
      </c>
      <c r="AH17" s="124" cm="1">
        <f t="array" aca="1" ref="AH17" ca="1">SUMPRODUCT(--ISNUMBER(SEARCH(_xlfn.TEXTSPLIT(D17," "), G17))) / COUNTA(_xlfn.TEXTSPLIT(D17," "))</f>
        <v>0</v>
      </c>
      <c r="AI17" s="124" t="str" cm="1">
        <f t="array" aca="1" ref="AI17" ca="1">IF(
   SUMPRODUCT(--ISNUMBER(SEARCH(_xlfn.TEXTSPLIT(D17," "), G17))) / COUNTA(_xlfn.TEXTSPLIT(D17," ")) = 1,
   "Full Match",
   IF(
      SUMPRODUCT(--ISNUMBER(SEARCH(_xlfn.TEXTSPLIT(D17," "), G17))) / COUNTA(_xlfn.TEXTSPLIT(D17," ")) &gt; 0.5,
      "Partial Match",
      "No Match"
   )
)</f>
        <v>No Match</v>
      </c>
    </row>
    <row r="18" spans="1:37" ht="12.9" hidden="1">
      <c r="A18" s="110" t="s">
        <v>132</v>
      </c>
      <c r="B18" s="110"/>
      <c r="C18" s="110" t="s">
        <v>98</v>
      </c>
      <c r="D18" s="131"/>
      <c r="E18" s="107" t="s">
        <v>17</v>
      </c>
      <c r="F18" s="110" t="s">
        <v>133</v>
      </c>
      <c r="G18" s="112" t="s">
        <v>134</v>
      </c>
      <c r="H18" s="107"/>
      <c r="I18" s="107" t="e" cm="1">
        <f t="array" aca="1" ref="I18" ca="1">_xldudf_BOARDFLARE_FMATCH(G18,D18)</f>
        <v>#NAME?</v>
      </c>
      <c r="J18" s="111" t="e" vm="1">
        <f t="shared" ca="1" si="0"/>
        <v>#VALUE!</v>
      </c>
      <c r="K18" s="109"/>
      <c r="L18" s="97" t="e" cm="1">
        <f t="array" aca="1" ref="L18" ca="1">_xldudf_BOARDFLARE_FMATCH(G18,D18)</f>
        <v>#NAME?</v>
      </c>
      <c r="M18" s="98" t="e" cm="1" vm="2">
        <f t="array" aca="1" ref="M18" ca="1">_FV(L18,"Similarity",TRUE)</f>
        <v>#VALUE!</v>
      </c>
      <c r="N18" s="97" t="e" cm="1">
        <f t="array" aca="1" ref="N18" ca="1">_xldudf_BOARDFLARE_FMATCH(D18,G18)</f>
        <v>#NAME?</v>
      </c>
      <c r="O18" s="98" t="e" cm="1" vm="2">
        <f t="array" aca="1" ref="O18" ca="1">_FV(N18,"Similarity",TRUE)</f>
        <v>#VALUE!</v>
      </c>
      <c r="S18" s="98"/>
      <c r="AG18" s="96"/>
      <c r="AH18" s="96"/>
      <c r="AI18" s="96"/>
      <c r="AJ18" s="96"/>
      <c r="AK18" s="96" t="str" cm="1">
        <f t="array" aca="1" ref="AK18" ca="1">IF(
   SUMPRODUCT(--ISNUMBER(SEARCH(_xlfn.TEXTSPLIT(D18," "), G18))) / COUNTA(_xlfn.TEXTSPLIT(D18," ")) = 1,
   "Full Match",
   IF(
      SUMPRODUCT(--ISNUMBER(SEARCH(_xlfn.TEXTSPLIT(D18," "), G18))) / COUNTA(_xlfn.TEXTSPLIT(D18," ")) &gt; 0.5,
      "Partial Match",
      "No Match"
   )
)</f>
        <v>No Match</v>
      </c>
    </row>
    <row r="19" spans="1:37" ht="12.9" hidden="1">
      <c r="A19" s="110" t="s">
        <v>135</v>
      </c>
      <c r="B19" s="110"/>
      <c r="C19" s="110" t="s">
        <v>70</v>
      </c>
      <c r="D19" s="107" t="s">
        <v>99</v>
      </c>
      <c r="E19" s="107" t="s">
        <v>17</v>
      </c>
      <c r="F19" s="110" t="s">
        <v>136</v>
      </c>
      <c r="G19" s="106" t="s">
        <v>137</v>
      </c>
      <c r="H19" s="107"/>
      <c r="I19" s="107" t="e" cm="1">
        <f t="array" aca="1" ref="I19" ca="1">_xldudf_BOARDFLARE_FMATCH(G19,D19)</f>
        <v>#NAME?</v>
      </c>
      <c r="J19" s="111" t="e" vm="1">
        <f t="shared" ca="1" si="0"/>
        <v>#VALUE!</v>
      </c>
      <c r="K19" s="109" t="str" cm="1">
        <f t="array" aca="1" ref="K19" ca="1">IF(
   SUMPRODUCT(--ISNUMBER(SEARCH(_xlfn.TEXTSPLIT(D19," "), G19))) / COUNTA(_xlfn.TEXTSPLIT(D19," ")) = 1,
   "Full Match",
   IF(
      SUMPRODUCT(--ISNUMBER(SEARCH(_xlfn.TEXTSPLIT(D19," "), G19))) / COUNTA(_xlfn.TEXTSPLIT(D19," ")) &gt; 0.5,
      "Partial Match",
      "No Match"
   )
)</f>
        <v>No Match</v>
      </c>
      <c r="L19" s="97" t="e" cm="1">
        <f t="array" aca="1" ref="L19" ca="1">_xldudf_BOARDFLARE_FMATCH(G19,D19)</f>
        <v>#NAME?</v>
      </c>
      <c r="M19" s="98" t="e" cm="1" vm="2">
        <f t="array" aca="1" ref="M19" ca="1">_FV(L19,"Similarity",TRUE)</f>
        <v>#VALUE!</v>
      </c>
      <c r="N19" s="97" t="e" cm="1">
        <f t="array" aca="1" ref="N19" ca="1">_xldudf_BOARDFLARE_FMATCH(D19,G19)</f>
        <v>#NAME?</v>
      </c>
      <c r="O19" s="98" t="e" cm="1" vm="2">
        <f t="array" aca="1" ref="O19" ca="1">_FV(N19,"Similarity",TRUE)</f>
        <v>#VALUE!</v>
      </c>
      <c r="S19" s="98"/>
      <c r="AE19" s="96" t="s">
        <v>130</v>
      </c>
      <c r="AF19" s="96" t="s">
        <v>130</v>
      </c>
      <c r="AG19" s="124" t="b">
        <f>AE19=AF19</f>
        <v>1</v>
      </c>
      <c r="AH19" s="124" cm="1">
        <f t="array" aca="1" ref="AH19" ca="1">SUMPRODUCT(--ISNUMBER(SEARCH(_xlfn.TEXTSPLIT(D19," "), G19))) / COUNTA(_xlfn.TEXTSPLIT(D19," "))</f>
        <v>0</v>
      </c>
      <c r="AI19" s="124" t="str" cm="1">
        <f t="array" aca="1" ref="AI19" ca="1">IF(
   SUMPRODUCT(--ISNUMBER(SEARCH(_xlfn.TEXTSPLIT(D19," "), G19))) / COUNTA(_xlfn.TEXTSPLIT(D19," ")) = 1,
   "Full Match",
   IF(
      SUMPRODUCT(--ISNUMBER(SEARCH(_xlfn.TEXTSPLIT(D19," "), G19))) / COUNTA(_xlfn.TEXTSPLIT(D19," ")) &gt; 0.5,
      "Partial Match",
      "No Match"
   )
)</f>
        <v>No Match</v>
      </c>
    </row>
    <row r="20" spans="1:37" ht="12.9" hidden="1">
      <c r="A20" s="110" t="s">
        <v>138</v>
      </c>
      <c r="B20" s="110"/>
      <c r="C20" s="110" t="s">
        <v>105</v>
      </c>
      <c r="D20" s="107" t="s">
        <v>121</v>
      </c>
      <c r="E20" s="107" t="s">
        <v>17</v>
      </c>
      <c r="F20" s="110" t="s">
        <v>139</v>
      </c>
      <c r="G20" s="106" t="s">
        <v>140</v>
      </c>
      <c r="H20" s="107"/>
      <c r="I20" s="107" t="e" cm="1">
        <f t="array" aca="1" ref="I20" ca="1">_xldudf_BOARDFLARE_FMATCH(G20,D20)</f>
        <v>#NAME?</v>
      </c>
      <c r="J20" s="111" t="e" vm="1">
        <f t="shared" ca="1" si="0"/>
        <v>#VALUE!</v>
      </c>
      <c r="K20" s="109" t="str" cm="1">
        <f t="array" aca="1" ref="K20" ca="1">IF(
   SUMPRODUCT(--ISNUMBER(SEARCH(_xlfn.TEXTSPLIT(D20," "), G20))) / COUNTA(_xlfn.TEXTSPLIT(D20," ")) = 1,
   "Full Match",
   IF(
      SUMPRODUCT(--ISNUMBER(SEARCH(_xlfn.TEXTSPLIT(D20," "), G20))) / COUNTA(_xlfn.TEXTSPLIT(D20," ")) &gt; 0.5,
      "Partial Match",
      "No Match"
   )
)</f>
        <v>No Match</v>
      </c>
      <c r="L20" s="97" t="e" cm="1">
        <f t="array" aca="1" ref="L20" ca="1">_xldudf_BOARDFLARE_FMATCH(G20,D20)</f>
        <v>#NAME?</v>
      </c>
      <c r="M20" s="98" t="e" cm="1" vm="2">
        <f t="array" aca="1" ref="M20" ca="1">_FV(L20,"Similarity",TRUE)</f>
        <v>#VALUE!</v>
      </c>
      <c r="N20" s="97" t="e" cm="1">
        <f t="array" aca="1" ref="N20" ca="1">_xldudf_BOARDFLARE_FMATCH(D20,G20)</f>
        <v>#NAME?</v>
      </c>
      <c r="O20" s="98" t="e" cm="1" vm="2">
        <f t="array" aca="1" ref="O20" ca="1">_FV(N20,"Similarity",TRUE)</f>
        <v>#VALUE!</v>
      </c>
      <c r="S20" s="98"/>
      <c r="AG20" s="96"/>
      <c r="AH20" s="96"/>
      <c r="AI20" s="96"/>
      <c r="AJ20" s="96"/>
      <c r="AK20" s="96"/>
    </row>
    <row r="21" spans="1:37" ht="12.9" hidden="1">
      <c r="A21" s="110" t="s">
        <v>141</v>
      </c>
      <c r="B21" s="110"/>
      <c r="C21" s="110" t="s">
        <v>105</v>
      </c>
      <c r="D21" s="107" t="s">
        <v>142</v>
      </c>
      <c r="E21" s="107" t="s">
        <v>17</v>
      </c>
      <c r="F21" s="110" t="s">
        <v>143</v>
      </c>
      <c r="G21" s="106" t="s">
        <v>144</v>
      </c>
      <c r="H21" s="107"/>
      <c r="I21" s="107" t="e" cm="1">
        <f t="array" aca="1" ref="I21" ca="1">_xldudf_BOARDFLARE_FMATCH(G21,D21)</f>
        <v>#NAME?</v>
      </c>
      <c r="J21" s="111" t="e" vm="1">
        <f t="shared" ca="1" si="0"/>
        <v>#VALUE!</v>
      </c>
      <c r="K21" s="109" t="str" cm="1">
        <f t="array" aca="1" ref="K21" ca="1">IF(
   SUMPRODUCT(--ISNUMBER(SEARCH(_xlfn.TEXTSPLIT(D21," "), G21))) / COUNTA(_xlfn.TEXTSPLIT(D21," ")) = 1,
   "Full Match",
   IF(
      SUMPRODUCT(--ISNUMBER(SEARCH(_xlfn.TEXTSPLIT(D21," "), G21))) / COUNTA(_xlfn.TEXTSPLIT(D21," ")) &gt; 0.5,
      "Partial Match",
      "No Match"
   )
)</f>
        <v>No Match</v>
      </c>
      <c r="L21" s="97" t="e" cm="1">
        <f t="array" aca="1" ref="L21" ca="1">_xldudf_BOARDFLARE_FMATCH(G21,D21)</f>
        <v>#NAME?</v>
      </c>
      <c r="M21" s="98" t="e" cm="1" vm="2">
        <f t="array" aca="1" ref="M21" ca="1">_FV(L21,"Similarity",TRUE)</f>
        <v>#VALUE!</v>
      </c>
      <c r="N21" s="97" t="e" cm="1">
        <f t="array" aca="1" ref="N21" ca="1">_xldudf_BOARDFLARE_FMATCH(D21,G21)</f>
        <v>#NAME?</v>
      </c>
      <c r="O21" s="98" t="e" cm="1" vm="2">
        <f t="array" aca="1" ref="O21" ca="1">_FV(N21,"Similarity",TRUE)</f>
        <v>#VALUE!</v>
      </c>
      <c r="S21" s="98"/>
      <c r="AG21" s="96"/>
      <c r="AH21" s="96"/>
      <c r="AI21" s="96"/>
      <c r="AJ21" s="96"/>
      <c r="AK21" s="96"/>
    </row>
    <row r="22" spans="1:37" ht="409.6" hidden="1">
      <c r="A22" s="110" t="s">
        <v>145</v>
      </c>
      <c r="B22" s="110"/>
      <c r="C22" s="110" t="s">
        <v>70</v>
      </c>
      <c r="D22" s="126" t="s">
        <v>146</v>
      </c>
      <c r="E22" s="107" t="s">
        <v>17</v>
      </c>
      <c r="F22" s="110" t="s">
        <v>147</v>
      </c>
      <c r="G22" s="106" t="s">
        <v>148</v>
      </c>
      <c r="H22" s="107"/>
      <c r="I22" s="107" t="e" cm="1">
        <f t="array" aca="1" ref="I22" ca="1">_xldudf_BOARDFLARE_FMATCH(G22,D22)</f>
        <v>#NAME?</v>
      </c>
      <c r="J22" s="111" t="e" vm="1">
        <f t="shared" ca="1" si="0"/>
        <v>#VALUE!</v>
      </c>
      <c r="K22" s="109" t="str" cm="1">
        <f t="array" aca="1" ref="K22" ca="1">IF(
   SUMPRODUCT(--ISNUMBER(SEARCH(_xlfn.TEXTSPLIT(D22," "), G22))) / COUNTA(_xlfn.TEXTSPLIT(D22," ")) = 1,
   "Full Match",
   IF(
      SUMPRODUCT(--ISNUMBER(SEARCH(_xlfn.TEXTSPLIT(D22," "), G22))) / COUNTA(_xlfn.TEXTSPLIT(D22," ")) &gt; 0.5,
      "Partial Match",
      "No Match"
   )
)</f>
        <v>No Match</v>
      </c>
      <c r="L22" s="97" t="e" cm="1">
        <f t="array" aca="1" ref="L22" ca="1">_xldudf_BOARDFLARE_FMATCH(G22,D22)</f>
        <v>#NAME?</v>
      </c>
      <c r="M22" s="98" t="e" cm="1" vm="2">
        <f t="array" aca="1" ref="M22" ca="1">_FV(L22,"Similarity",TRUE)</f>
        <v>#VALUE!</v>
      </c>
      <c r="N22" s="97" t="e" cm="1">
        <f t="array" aca="1" ref="N22" ca="1">_xldudf_BOARDFLARE_FMATCH(D22,G22)</f>
        <v>#NAME?</v>
      </c>
      <c r="O22" s="98" t="e" cm="1" vm="2">
        <f t="array" aca="1" ref="O22" ca="1">_FV(N22,"Similarity",TRUE)</f>
        <v>#VALUE!</v>
      </c>
      <c r="S22" s="98"/>
      <c r="AE22" s="96" t="s">
        <v>130</v>
      </c>
      <c r="AF22" s="96" t="s">
        <v>130</v>
      </c>
      <c r="AG22" s="124" t="b">
        <f t="shared" ref="AG22:AG28" si="1">AE22=AF22</f>
        <v>1</v>
      </c>
      <c r="AH22" s="124" cm="1">
        <f t="array" aca="1" ref="AH22" ca="1">SUMPRODUCT(--ISNUMBER(SEARCH(_xlfn.TEXTSPLIT(D22," "), G22))) / COUNTA(_xlfn.TEXTSPLIT(D22," "))</f>
        <v>0</v>
      </c>
      <c r="AI22" s="124" t="str" cm="1">
        <f t="array" aca="1" ref="AI22" ca="1">IF(
   SUMPRODUCT(--ISNUMBER(SEARCH(_xlfn.TEXTSPLIT(D22," "), G22))) / COUNTA(_xlfn.TEXTSPLIT(D22," ")) = 1,
   "Full Match",
   IF(
      SUMPRODUCT(--ISNUMBER(SEARCH(_xlfn.TEXTSPLIT(D22," "), G22))) / COUNTA(_xlfn.TEXTSPLIT(D22," ")) &gt; 0.5,
      "Partial Match",
      "No Match"
   )
)</f>
        <v>No Match</v>
      </c>
    </row>
    <row r="23" spans="1:37" ht="205.75" hidden="1">
      <c r="A23" s="110" t="s">
        <v>149</v>
      </c>
      <c r="B23" s="110"/>
      <c r="C23" s="110" t="s">
        <v>70</v>
      </c>
      <c r="D23" s="127" t="s">
        <v>150</v>
      </c>
      <c r="E23" s="107" t="s">
        <v>17</v>
      </c>
      <c r="F23" s="110" t="s">
        <v>151</v>
      </c>
      <c r="G23" s="106" t="s">
        <v>152</v>
      </c>
      <c r="H23" s="107"/>
      <c r="I23" s="107" t="e" cm="1">
        <f t="array" aca="1" ref="I23" ca="1">_xldudf_BOARDFLARE_FMATCH(G23,D23)</f>
        <v>#NAME?</v>
      </c>
      <c r="J23" s="111" t="e" vm="1">
        <f t="shared" ca="1" si="0"/>
        <v>#VALUE!</v>
      </c>
      <c r="K23" s="109" t="str" cm="1">
        <f t="array" aca="1" ref="K23" ca="1">IF(
   SUMPRODUCT(--ISNUMBER(SEARCH(_xlfn.TEXTSPLIT(D23," "), G23))) / COUNTA(_xlfn.TEXTSPLIT(D23," ")) = 1,
   "Full Match",
   IF(
      SUMPRODUCT(--ISNUMBER(SEARCH(_xlfn.TEXTSPLIT(D23," "), G23))) / COUNTA(_xlfn.TEXTSPLIT(D23," ")) &gt; 0.5,
      "Partial Match",
      "No Match"
   )
)</f>
        <v>No Match</v>
      </c>
      <c r="L23" s="97" t="e" cm="1">
        <f t="array" aca="1" ref="L23" ca="1">_xldudf_BOARDFLARE_FMATCH(G23,D23)</f>
        <v>#NAME?</v>
      </c>
      <c r="M23" s="98" t="e" cm="1" vm="2">
        <f t="array" aca="1" ref="M23" ca="1">_FV(L23,"Similarity",TRUE)</f>
        <v>#VALUE!</v>
      </c>
      <c r="N23" s="97" t="e" cm="1">
        <f t="array" aca="1" ref="N23" ca="1">_xldudf_BOARDFLARE_FMATCH(D23,G23)</f>
        <v>#NAME?</v>
      </c>
      <c r="O23" s="98" t="e" cm="1" vm="2">
        <f t="array" aca="1" ref="O23" ca="1">_FV(N23,"Similarity",TRUE)</f>
        <v>#VALUE!</v>
      </c>
      <c r="S23" s="98"/>
      <c r="AE23" s="96" t="s">
        <v>130</v>
      </c>
      <c r="AF23" s="96" t="s">
        <v>130</v>
      </c>
      <c r="AG23" s="124" t="b">
        <f t="shared" si="1"/>
        <v>1</v>
      </c>
      <c r="AH23" s="124" cm="1">
        <f t="array" aca="1" ref="AH23" ca="1">SUMPRODUCT(--ISNUMBER(SEARCH(_xlfn.TEXTSPLIT(D23," "), G23))) / COUNTA(_xlfn.TEXTSPLIT(D23," "))</f>
        <v>0</v>
      </c>
      <c r="AI23" s="124" t="str" cm="1">
        <f t="array" aca="1" ref="AI23" ca="1">IF(
   SUMPRODUCT(--ISNUMBER(SEARCH(_xlfn.TEXTSPLIT(D23," "), G23))) / COUNTA(_xlfn.TEXTSPLIT(D23," ")) = 1,
   "Full Match",
   IF(
      SUMPRODUCT(--ISNUMBER(SEARCH(_xlfn.TEXTSPLIT(D23," "), G23))) / COUNTA(_xlfn.TEXTSPLIT(D23," ")) &gt; 0.5,
      "Partial Match",
      "No Match"
   )
)</f>
        <v>No Match</v>
      </c>
    </row>
    <row r="24" spans="1:37" ht="12.9" hidden="1">
      <c r="A24" s="110" t="s">
        <v>153</v>
      </c>
      <c r="B24" s="110"/>
      <c r="C24" s="110" t="s">
        <v>70</v>
      </c>
      <c r="D24" s="113" t="s">
        <v>154</v>
      </c>
      <c r="E24" s="107" t="s">
        <v>17</v>
      </c>
      <c r="F24" s="110" t="s">
        <v>155</v>
      </c>
      <c r="G24" s="106" t="s">
        <v>156</v>
      </c>
      <c r="H24" s="107"/>
      <c r="I24" s="107" t="e" cm="1">
        <f t="array" aca="1" ref="I24" ca="1">_xldudf_BOARDFLARE_FMATCH(G24,D24)</f>
        <v>#NAME?</v>
      </c>
      <c r="J24" s="111" t="e" vm="1">
        <f t="shared" ca="1" si="0"/>
        <v>#VALUE!</v>
      </c>
      <c r="K24" s="109" t="str" cm="1">
        <f t="array" aca="1" ref="K24" ca="1">IF(
   SUMPRODUCT(--ISNUMBER(SEARCH(_xlfn.TEXTSPLIT(D24," "), G24))) / COUNTA(_xlfn.TEXTSPLIT(D24," ")) = 1,
   "Full Match",
   IF(
      SUMPRODUCT(--ISNUMBER(SEARCH(_xlfn.TEXTSPLIT(D24," "), G24))) / COUNTA(_xlfn.TEXTSPLIT(D24," ")) &gt; 0.5,
      "Partial Match",
      "No Match"
   )
)</f>
        <v>No Match</v>
      </c>
      <c r="L24" s="97" t="e" cm="1">
        <f t="array" aca="1" ref="L24" ca="1">_xldudf_BOARDFLARE_FMATCH(G24,D24)</f>
        <v>#NAME?</v>
      </c>
      <c r="M24" s="98" t="e" cm="1" vm="2">
        <f t="array" aca="1" ref="M24" ca="1">_FV(L24,"Similarity",TRUE)</f>
        <v>#VALUE!</v>
      </c>
      <c r="N24" s="97" t="e" cm="1">
        <f t="array" aca="1" ref="N24" ca="1">_xldudf_BOARDFLARE_FMATCH(D24,G24)</f>
        <v>#NAME?</v>
      </c>
      <c r="O24" s="98" t="e" cm="1" vm="2">
        <f t="array" aca="1" ref="O24" ca="1">_FV(N24,"Similarity",TRUE)</f>
        <v>#VALUE!</v>
      </c>
      <c r="AE24" s="96" t="s">
        <v>130</v>
      </c>
      <c r="AF24" s="96" t="s">
        <v>130</v>
      </c>
      <c r="AG24" s="124" t="b">
        <f t="shared" si="1"/>
        <v>1</v>
      </c>
      <c r="AH24" s="124" cm="1">
        <f t="array" aca="1" ref="AH24" ca="1">SUMPRODUCT(--ISNUMBER(SEARCH(_xlfn.TEXTSPLIT(D24," "), G24))) / COUNTA(_xlfn.TEXTSPLIT(D24," "))</f>
        <v>0</v>
      </c>
      <c r="AI24" s="124" t="str" cm="1">
        <f t="array" aca="1" ref="AI24" ca="1">IF(
   SUMPRODUCT(--ISNUMBER(SEARCH(_xlfn.TEXTSPLIT(D24," "), G24))) / COUNTA(_xlfn.TEXTSPLIT(D24," ")) = 1,
   "Full Match",
   IF(
      SUMPRODUCT(--ISNUMBER(SEARCH(_xlfn.TEXTSPLIT(D24," "), G24))) / COUNTA(_xlfn.TEXTSPLIT(D24," ")) &gt; 0.5,
      "Partial Match",
      "No Match"
   )
)</f>
        <v>No Match</v>
      </c>
    </row>
    <row r="25" spans="1:37" ht="12.9" hidden="1">
      <c r="A25" s="110" t="s">
        <v>157</v>
      </c>
      <c r="B25" s="110"/>
      <c r="C25" s="110" t="s">
        <v>70</v>
      </c>
      <c r="D25" s="107" t="s">
        <v>158</v>
      </c>
      <c r="E25" s="107" t="s">
        <v>17</v>
      </c>
      <c r="F25" s="110" t="s">
        <v>159</v>
      </c>
      <c r="G25" s="106" t="s">
        <v>160</v>
      </c>
      <c r="H25" s="107"/>
      <c r="I25" s="107" t="e" cm="1">
        <f t="array" aca="1" ref="I25" ca="1">_xldudf_BOARDFLARE_FMATCH(G25,D25)</f>
        <v>#NAME?</v>
      </c>
      <c r="J25" s="111" t="e" vm="1">
        <f t="shared" ca="1" si="0"/>
        <v>#VALUE!</v>
      </c>
      <c r="K25" s="109" t="str" cm="1">
        <f t="array" aca="1" ref="K25" ca="1">IF(
   SUMPRODUCT(--ISNUMBER(SEARCH(_xlfn.TEXTSPLIT(D25," "), G25))) / COUNTA(_xlfn.TEXTSPLIT(D25," ")) = 1,
   "Full Match",
   IF(
      SUMPRODUCT(--ISNUMBER(SEARCH(_xlfn.TEXTSPLIT(D25," "), G25))) / COUNTA(_xlfn.TEXTSPLIT(D25," ")) &gt; 0.5,
      "Partial Match",
      "No Match"
   )
)</f>
        <v>No Match</v>
      </c>
      <c r="L25" s="97" t="e" cm="1">
        <f t="array" aca="1" ref="L25" ca="1">_xldudf_BOARDFLARE_FMATCH(G25,D25)</f>
        <v>#NAME?</v>
      </c>
      <c r="M25" s="98" t="e" cm="1" vm="2">
        <f t="array" aca="1" ref="M25" ca="1">_FV(L25,"Similarity",TRUE)</f>
        <v>#VALUE!</v>
      </c>
      <c r="N25" s="97" t="e" cm="1">
        <f t="array" aca="1" ref="N25" ca="1">_xldudf_BOARDFLARE_FMATCH(D25,G25)</f>
        <v>#NAME?</v>
      </c>
      <c r="O25" s="98" t="e" cm="1" vm="2">
        <f t="array" aca="1" ref="O25" ca="1">_FV(N25,"Similarity",TRUE)</f>
        <v>#VALUE!</v>
      </c>
      <c r="AE25" s="96" t="s">
        <v>130</v>
      </c>
      <c r="AF25" s="96" t="s">
        <v>130</v>
      </c>
      <c r="AG25" s="124" t="b">
        <f t="shared" si="1"/>
        <v>1</v>
      </c>
      <c r="AH25" s="124" cm="1">
        <f t="array" aca="1" ref="AH25" ca="1">SUMPRODUCT(--ISNUMBER(SEARCH(_xlfn.TEXTSPLIT(D25," "), G25))) / COUNTA(_xlfn.TEXTSPLIT(D25," "))</f>
        <v>0</v>
      </c>
      <c r="AI25" s="124" t="str" cm="1">
        <f t="array" aca="1" ref="AI25" ca="1">IF(
   SUMPRODUCT(--ISNUMBER(SEARCH(_xlfn.TEXTSPLIT(D25," "), G25))) / COUNTA(_xlfn.TEXTSPLIT(D25," ")) = 1,
   "Full Match",
   IF(
      SUMPRODUCT(--ISNUMBER(SEARCH(_xlfn.TEXTSPLIT(D25," "), G25))) / COUNTA(_xlfn.TEXTSPLIT(D25," ")) &gt; 0.5,
      "Partial Match",
      "No Match"
   )
)</f>
        <v>No Match</v>
      </c>
    </row>
    <row r="26" spans="1:37" ht="12.9" hidden="1">
      <c r="A26" s="110" t="s">
        <v>161</v>
      </c>
      <c r="B26" s="110"/>
      <c r="C26" s="110" t="s">
        <v>70</v>
      </c>
      <c r="D26" s="107" t="s">
        <v>162</v>
      </c>
      <c r="E26" s="107" t="s">
        <v>17</v>
      </c>
      <c r="F26" s="110" t="s">
        <v>163</v>
      </c>
      <c r="G26" s="106" t="s">
        <v>164</v>
      </c>
      <c r="H26" s="107"/>
      <c r="I26" s="107" t="e" cm="1">
        <f t="array" aca="1" ref="I26" ca="1">_xldudf_BOARDFLARE_FMATCH(G26,D26)</f>
        <v>#NAME?</v>
      </c>
      <c r="J26" s="111" t="e" vm="1">
        <f t="shared" ca="1" si="0"/>
        <v>#VALUE!</v>
      </c>
      <c r="K26" s="109" t="str" cm="1">
        <f t="array" aca="1" ref="K26" ca="1">IF(
   SUMPRODUCT(--ISNUMBER(SEARCH(_xlfn.TEXTSPLIT(D26," "), G26))) / COUNTA(_xlfn.TEXTSPLIT(D26," ")) = 1,
   "Full Match",
   IF(
      SUMPRODUCT(--ISNUMBER(SEARCH(_xlfn.TEXTSPLIT(D26," "), G26))) / COUNTA(_xlfn.TEXTSPLIT(D26," ")) &gt; 0.5,
      "Partial Match",
      "No Match"
   )
)</f>
        <v>No Match</v>
      </c>
      <c r="L26" s="97" t="e" cm="1">
        <f t="array" aca="1" ref="L26" ca="1">_xldudf_BOARDFLARE_FMATCH(G26,D26)</f>
        <v>#NAME?</v>
      </c>
      <c r="M26" s="98" t="e" cm="1" vm="2">
        <f t="array" aca="1" ref="M26" ca="1">_FV(L26,"Similarity",TRUE)</f>
        <v>#VALUE!</v>
      </c>
      <c r="N26" s="97" t="e" cm="1">
        <f t="array" aca="1" ref="N26" ca="1">_xldudf_BOARDFLARE_FMATCH(D26,G26)</f>
        <v>#NAME?</v>
      </c>
      <c r="O26" s="98" t="e" cm="1" vm="2">
        <f t="array" aca="1" ref="O26" ca="1">_FV(N26,"Similarity",TRUE)</f>
        <v>#VALUE!</v>
      </c>
      <c r="AE26" s="96" t="s">
        <v>130</v>
      </c>
      <c r="AF26" s="96" t="s">
        <v>130</v>
      </c>
      <c r="AG26" s="124" t="b">
        <f t="shared" si="1"/>
        <v>1</v>
      </c>
      <c r="AH26" s="124" cm="1">
        <f t="array" aca="1" ref="AH26" ca="1">SUMPRODUCT(--ISNUMBER(SEARCH(_xlfn.TEXTSPLIT(D26," "), G26))) / COUNTA(_xlfn.TEXTSPLIT(D26," "))</f>
        <v>0</v>
      </c>
      <c r="AI26" s="124" t="str" cm="1">
        <f t="array" aca="1" ref="AI26" ca="1">IF(
   SUMPRODUCT(--ISNUMBER(SEARCH(_xlfn.TEXTSPLIT(D26," "), G26))) / COUNTA(_xlfn.TEXTSPLIT(D26," ")) = 1,
   "Full Match",
   IF(
      SUMPRODUCT(--ISNUMBER(SEARCH(_xlfn.TEXTSPLIT(D26," "), G26))) / COUNTA(_xlfn.TEXTSPLIT(D26," ")) &gt; 0.5,
      "Partial Match",
      "No Match"
   )
)</f>
        <v>No Match</v>
      </c>
    </row>
    <row r="27" spans="1:37" ht="12.9" hidden="1">
      <c r="A27" s="110" t="s">
        <v>165</v>
      </c>
      <c r="B27" s="110"/>
      <c r="C27" s="110" t="s">
        <v>70</v>
      </c>
      <c r="D27" s="107" t="s">
        <v>166</v>
      </c>
      <c r="E27" s="107" t="s">
        <v>17</v>
      </c>
      <c r="F27" s="110" t="s">
        <v>167</v>
      </c>
      <c r="G27" s="106"/>
      <c r="H27" s="107"/>
      <c r="I27" s="107" t="e" cm="1">
        <f t="array" aca="1" ref="I27" ca="1">_xldudf_BOARDFLARE_FMATCH(G27,D27)</f>
        <v>#NAME?</v>
      </c>
      <c r="J27" s="111" t="e" vm="1">
        <f t="shared" ca="1" si="0"/>
        <v>#VALUE!</v>
      </c>
      <c r="K27" s="109" t="str" cm="1">
        <f t="array" aca="1" ref="K27" ca="1">IF(
   SUMPRODUCT(--ISNUMBER(SEARCH(_xlfn.TEXTSPLIT(D27," "), G27))) / COUNTA(_xlfn.TEXTSPLIT(D27," ")) = 1,
   "Full Match",
   IF(
      SUMPRODUCT(--ISNUMBER(SEARCH(_xlfn.TEXTSPLIT(D27," "), G27))) / COUNTA(_xlfn.TEXTSPLIT(D27," ")) &gt; 0.5,
      "Partial Match",
      "No Match"
   )
)</f>
        <v>No Match</v>
      </c>
      <c r="L27" s="97" t="e" cm="1">
        <f t="array" aca="1" ref="L27" ca="1">_xldudf_BOARDFLARE_FMATCH(G27,D27)</f>
        <v>#NAME?</v>
      </c>
      <c r="M27" s="98" t="e" cm="1" vm="2">
        <f t="array" aca="1" ref="M27" ca="1">_FV(L27,"Similarity",TRUE)</f>
        <v>#VALUE!</v>
      </c>
      <c r="N27" s="97" t="e" cm="1">
        <f t="array" aca="1" ref="N27" ca="1">_xldudf_BOARDFLARE_FMATCH(D27,G27)</f>
        <v>#NAME?</v>
      </c>
      <c r="O27" s="98" t="e" cm="1" vm="2">
        <f t="array" aca="1" ref="O27" ca="1">_FV(N27,"Similarity",TRUE)</f>
        <v>#VALUE!</v>
      </c>
      <c r="AE27" s="96" t="s">
        <v>130</v>
      </c>
      <c r="AF27" s="96" t="s">
        <v>168</v>
      </c>
      <c r="AG27" s="124" t="b">
        <f t="shared" si="1"/>
        <v>0</v>
      </c>
      <c r="AH27" s="124" cm="1">
        <f t="array" aca="1" ref="AH27" ca="1">SUMPRODUCT(--ISNUMBER(SEARCH(_xlfn.TEXTSPLIT(D27," "), G27))) / COUNTA(_xlfn.TEXTSPLIT(D27," "))</f>
        <v>0</v>
      </c>
      <c r="AI27" s="124" t="str" cm="1">
        <f t="array" aca="1" ref="AI27" ca="1">IF(
   SUMPRODUCT(--ISNUMBER(SEARCH(_xlfn.TEXTSPLIT(D27," "), G27))) / COUNTA(_xlfn.TEXTSPLIT(D27," ")) = 1,
   "Full Match",
   IF(
      SUMPRODUCT(--ISNUMBER(SEARCH(_xlfn.TEXTSPLIT(D27," "), G27))) / COUNTA(_xlfn.TEXTSPLIT(D27," ")) &gt; 0.5,
      "Partial Match",
      "No Match"
   )
)</f>
        <v>No Match</v>
      </c>
    </row>
    <row r="28" spans="1:37" ht="12.9" hidden="1">
      <c r="A28" s="110" t="s">
        <v>169</v>
      </c>
      <c r="B28" s="110"/>
      <c r="C28" s="110" t="s">
        <v>70</v>
      </c>
      <c r="D28" s="107" t="s">
        <v>170</v>
      </c>
      <c r="E28" s="107" t="s">
        <v>16</v>
      </c>
      <c r="F28" s="110" t="s">
        <v>171</v>
      </c>
      <c r="G28" s="106" t="s">
        <v>172</v>
      </c>
      <c r="H28" s="107"/>
      <c r="I28" s="107" t="e" cm="1">
        <f t="array" aca="1" ref="I28" ca="1">_xldudf_BOARDFLARE_FMATCH(G28,D28)</f>
        <v>#NAME?</v>
      </c>
      <c r="J28" s="111" t="e" vm="1">
        <f t="shared" ca="1" si="0"/>
        <v>#VALUE!</v>
      </c>
      <c r="K28" s="109" t="str" cm="1">
        <f t="array" aca="1" ref="K28" ca="1">IF(
   SUMPRODUCT(--ISNUMBER(SEARCH(_xlfn.TEXTSPLIT(D28," "), G28))) / COUNTA(_xlfn.TEXTSPLIT(D28," ")) = 1,
   "Full Match",
   IF(
      SUMPRODUCT(--ISNUMBER(SEARCH(_xlfn.TEXTSPLIT(D28," "), G28))) / COUNTA(_xlfn.TEXTSPLIT(D28," ")) &gt; 0.5,
      "Partial Match",
      "No Match"
   )
)</f>
        <v>No Match</v>
      </c>
      <c r="L28" s="97" t="e" cm="1">
        <f t="array" aca="1" ref="L28" ca="1">_xldudf_BOARDFLARE_FMATCH(G28,D28)</f>
        <v>#NAME?</v>
      </c>
      <c r="M28" s="98" t="e" cm="1" vm="2">
        <f t="array" aca="1" ref="M28" ca="1">_FV(L28,"Similarity",TRUE)</f>
        <v>#VALUE!</v>
      </c>
      <c r="N28" s="97" t="e" cm="1">
        <f t="array" aca="1" ref="N28" ca="1">_xldudf_BOARDFLARE_FMATCH(D28,G28)</f>
        <v>#NAME?</v>
      </c>
      <c r="O28" s="98" t="e" cm="1" vm="2">
        <f t="array" aca="1" ref="O28" ca="1">_FV(N28,"Similarity",TRUE)</f>
        <v>#VALUE!</v>
      </c>
      <c r="AE28" s="96" t="s">
        <v>130</v>
      </c>
      <c r="AF28" s="96" t="s">
        <v>130</v>
      </c>
      <c r="AG28" s="124" t="b">
        <f t="shared" si="1"/>
        <v>1</v>
      </c>
      <c r="AH28" s="124" cm="1">
        <f t="array" aca="1" ref="AH28" ca="1">SUMPRODUCT(--ISNUMBER(SEARCH(_xlfn.TEXTSPLIT(D28," "), G28))) / COUNTA(_xlfn.TEXTSPLIT(D28," "))</f>
        <v>0</v>
      </c>
      <c r="AI28" s="124" t="str" cm="1">
        <f t="array" aca="1" ref="AI28" ca="1">IF(
   SUMPRODUCT(--ISNUMBER(SEARCH(_xlfn.TEXTSPLIT(D28," "), G28))) / COUNTA(_xlfn.TEXTSPLIT(D28," ")) = 1,
   "Full Match",
   IF(
      SUMPRODUCT(--ISNUMBER(SEARCH(_xlfn.TEXTSPLIT(D28," "), G28))) / COUNTA(_xlfn.TEXTSPLIT(D28," ")) &gt; 0.5,
      "Partial Match",
      "No Match"
   )
)</f>
        <v>No Match</v>
      </c>
    </row>
    <row r="29" spans="1:37" ht="409.6">
      <c r="A29" s="110" t="s">
        <v>173</v>
      </c>
      <c r="B29" s="110"/>
      <c r="C29" s="110" t="s">
        <v>68</v>
      </c>
      <c r="D29" s="121" t="s">
        <v>174</v>
      </c>
      <c r="E29" s="107" t="s">
        <v>17</v>
      </c>
      <c r="F29" s="110" t="s">
        <v>175</v>
      </c>
      <c r="G29" s="122" t="s">
        <v>176</v>
      </c>
      <c r="H29" s="107"/>
      <c r="I29" s="107" t="e" cm="1">
        <f t="array" aca="1" ref="I29" ca="1">_xldudf_BOARDFLARE_FMATCH(G29,D29)</f>
        <v>#NAME?</v>
      </c>
      <c r="J29" s="111" t="e" vm="1">
        <f t="shared" ca="1" si="0"/>
        <v>#VALUE!</v>
      </c>
      <c r="K29" s="109" t="str" cm="1">
        <f t="array" aca="1" ref="K29" ca="1">IF(
   SUMPRODUCT(--ISNUMBER(SEARCH(_xlfn.TEXTSPLIT(D29," "), G29))) / COUNTA(_xlfn.TEXTSPLIT(D29," ")) = 1,
   "Full Match",
   IF(
      SUMPRODUCT(--ISNUMBER(SEARCH(_xlfn.TEXTSPLIT(D29," "), G29))) / COUNTA(_xlfn.TEXTSPLIT(D29," ")) &gt; 0.5,
      "Partial Match",
      "No Match"
   )
)</f>
        <v>No Match</v>
      </c>
      <c r="L29" s="97" t="e" cm="1">
        <f t="array" aca="1" ref="L29" ca="1">_xldudf_BOARDFLARE_FMATCH(G29,D29)</f>
        <v>#NAME?</v>
      </c>
      <c r="M29" s="98" t="e" cm="1" vm="2">
        <f t="array" aca="1" ref="M29" ca="1">_FV(L29,"Similarity",TRUE)</f>
        <v>#VALUE!</v>
      </c>
      <c r="N29" s="97" t="e" cm="1">
        <f t="array" aca="1" ref="N29" ca="1">_xldudf_BOARDFLARE_FMATCH(D29,G29)</f>
        <v>#NAME?</v>
      </c>
      <c r="O29" s="98" t="e" cm="1" vm="2">
        <f t="array" aca="1" ref="O29" ca="1">_FV(N29,"Similarity",TRUE)</f>
        <v>#VALUE!</v>
      </c>
      <c r="Q29" s="124">
        <v>16</v>
      </c>
      <c r="R29" s="124">
        <v>2</v>
      </c>
      <c r="S29" s="96" t="s">
        <v>177</v>
      </c>
      <c r="T29" s="124">
        <v>16</v>
      </c>
      <c r="U29" s="124">
        <v>2</v>
      </c>
      <c r="V29" s="96" t="s">
        <v>178</v>
      </c>
      <c r="W29" s="96" t="s">
        <v>130</v>
      </c>
      <c r="X29" s="96" t="str" cm="1">
        <f t="array" aca="1" ref="X29" ca="1">IF(
   SUMPRODUCT(--ISNUMBER(SEARCH(_xlfn.TEXTSPLIT(D29," "), G29))) / COUNTA(_xlfn.TEXTSPLIT(D29," ")) = 1,
   "Full Match",
   IF(
      SUMPRODUCT(--ISNUMBER(SEARCH(_xlfn.TEXTSPLIT(D29," "), G29))) / COUNTA(_xlfn.TEXTSPLIT(D29," ")) &gt; 0.5,
      "Partial Match",
      "No Match"
   )
)</f>
        <v>No Match</v>
      </c>
      <c r="AG29" s="96"/>
      <c r="AH29" s="96"/>
      <c r="AI29" s="96"/>
      <c r="AJ29" s="96"/>
      <c r="AK29" s="96"/>
    </row>
    <row r="30" spans="1:37" ht="12.9" hidden="1">
      <c r="A30" s="110" t="s">
        <v>179</v>
      </c>
      <c r="B30" s="110"/>
      <c r="C30" s="110" t="s">
        <v>70</v>
      </c>
      <c r="D30" s="107" t="s">
        <v>180</v>
      </c>
      <c r="E30" s="107" t="s">
        <v>17</v>
      </c>
      <c r="F30" s="110" t="s">
        <v>181</v>
      </c>
      <c r="G30" s="106" t="s">
        <v>182</v>
      </c>
      <c r="H30" s="107"/>
      <c r="I30" s="107" t="e" cm="1">
        <f t="array" aca="1" ref="I30" ca="1">_xldudf_BOARDFLARE_FMATCH(G30,D30)</f>
        <v>#NAME?</v>
      </c>
      <c r="J30" s="111" t="e" vm="1">
        <f t="shared" ca="1" si="0"/>
        <v>#VALUE!</v>
      </c>
      <c r="K30" s="109" t="str" cm="1">
        <f t="array" aca="1" ref="K30" ca="1">IF(
   SUMPRODUCT(--ISNUMBER(SEARCH(_xlfn.TEXTSPLIT(D30," "), G30))) / COUNTA(_xlfn.TEXTSPLIT(D30," ")) = 1,
   "Full Match",
   IF(
      SUMPRODUCT(--ISNUMBER(SEARCH(_xlfn.TEXTSPLIT(D30," "), G30))) / COUNTA(_xlfn.TEXTSPLIT(D30," ")) &gt; 0.5,
      "Partial Match",
      "No Match"
   )
)</f>
        <v>No Match</v>
      </c>
      <c r="L30" s="97" t="e" cm="1">
        <f t="array" aca="1" ref="L30" ca="1">_xldudf_BOARDFLARE_FMATCH(G30,D30)</f>
        <v>#NAME?</v>
      </c>
      <c r="M30" s="98" t="e" cm="1" vm="2">
        <f t="array" aca="1" ref="M30" ca="1">_FV(L30,"Similarity",TRUE)</f>
        <v>#VALUE!</v>
      </c>
      <c r="N30" s="97" t="e" cm="1">
        <f t="array" aca="1" ref="N30" ca="1">_xldudf_BOARDFLARE_FMATCH(D30,G30)</f>
        <v>#NAME?</v>
      </c>
      <c r="O30" s="98" t="e" cm="1" vm="2">
        <f t="array" aca="1" ref="O30" ca="1">_FV(N30,"Similarity",TRUE)</f>
        <v>#VALUE!</v>
      </c>
      <c r="AE30" s="96" t="s">
        <v>130</v>
      </c>
      <c r="AF30" s="96" t="s">
        <v>130</v>
      </c>
      <c r="AG30" s="124" t="b">
        <f>AE30=AF30</f>
        <v>1</v>
      </c>
      <c r="AH30" s="124" cm="1">
        <f t="array" aca="1" ref="AH30" ca="1">SUMPRODUCT(--ISNUMBER(SEARCH(_xlfn.TEXTSPLIT(D30," "), G30))) / COUNTA(_xlfn.TEXTSPLIT(D30," "))</f>
        <v>0</v>
      </c>
      <c r="AI30" s="124" t="str" cm="1">
        <f t="array" aca="1" ref="AI30" ca="1">IF(
   SUMPRODUCT(--ISNUMBER(SEARCH(_xlfn.TEXTSPLIT(D30," "), G30))) / COUNTA(_xlfn.TEXTSPLIT(D30," ")) = 1,
   "Full Match",
   IF(
      SUMPRODUCT(--ISNUMBER(SEARCH(_xlfn.TEXTSPLIT(D30," "), G30))) / COUNTA(_xlfn.TEXTSPLIT(D30," ")) &gt; 0.5,
      "Partial Match",
      "No Match"
   )
)</f>
        <v>No Match</v>
      </c>
    </row>
    <row r="31" spans="1:37" ht="12.9" hidden="1">
      <c r="A31" s="110" t="s">
        <v>183</v>
      </c>
      <c r="B31" s="110"/>
      <c r="C31" s="110" t="s">
        <v>98</v>
      </c>
      <c r="D31" s="131"/>
      <c r="E31" s="107"/>
      <c r="F31" s="110"/>
      <c r="G31" s="106"/>
      <c r="H31" s="107"/>
      <c r="I31" s="107" t="e" cm="1">
        <f t="array" aca="1" ref="I31" ca="1">_xldudf_BOARDFLARE_FMATCH(G31,D31)</f>
        <v>#NAME?</v>
      </c>
      <c r="J31" s="111" t="e" vm="1">
        <f t="shared" ca="1" si="0"/>
        <v>#VALUE!</v>
      </c>
      <c r="K31" s="109"/>
      <c r="L31" s="97" t="e" cm="1">
        <f t="array" aca="1" ref="L31" ca="1">_xldudf_BOARDFLARE_FMATCH(G31,D31)</f>
        <v>#NAME?</v>
      </c>
      <c r="M31" s="98" t="e" cm="1" vm="2">
        <f t="array" aca="1" ref="M31" ca="1">_FV(L31,"Similarity",TRUE)</f>
        <v>#VALUE!</v>
      </c>
      <c r="N31" s="97" t="e" cm="1">
        <f t="array" aca="1" ref="N31" ca="1">_xldudf_BOARDFLARE_FMATCH(D31,G31)</f>
        <v>#NAME?</v>
      </c>
      <c r="O31" s="98" t="e" cm="1" vm="2">
        <f t="array" aca="1" ref="O31" ca="1">_FV(N31,"Similarity",TRUE)</f>
        <v>#VALUE!</v>
      </c>
      <c r="AG31" s="96"/>
      <c r="AH31" s="96"/>
      <c r="AI31" s="96"/>
      <c r="AJ31" s="96"/>
      <c r="AK31" s="96" t="str" cm="1">
        <f t="array" aca="1" ref="AK31" ca="1">IF(
   SUMPRODUCT(--ISNUMBER(SEARCH(_xlfn.TEXTSPLIT(D31," "), G31))) / COUNTA(_xlfn.TEXTSPLIT(D31," ")) = 1,
   "Full Match",
   IF(
      SUMPRODUCT(--ISNUMBER(SEARCH(_xlfn.TEXTSPLIT(D31," "), G31))) / COUNTA(_xlfn.TEXTSPLIT(D31," ")) &gt; 0.5,
      "Partial Match",
      "No Match"
   )
)</f>
        <v>No Match</v>
      </c>
    </row>
    <row r="32" spans="1:37" ht="12.9" hidden="1">
      <c r="A32" s="110" t="s">
        <v>184</v>
      </c>
      <c r="B32" s="110"/>
      <c r="C32" s="110" t="s">
        <v>98</v>
      </c>
      <c r="D32" s="131">
        <v>46082</v>
      </c>
      <c r="E32" s="107"/>
      <c r="F32" s="110" t="s">
        <v>185</v>
      </c>
      <c r="G32" s="106"/>
      <c r="H32" s="107"/>
      <c r="I32" s="107" t="e" cm="1">
        <f t="array" aca="1" ref="I32" ca="1">_xldudf_BOARDFLARE_FMATCH(G32,D32)</f>
        <v>#NAME?</v>
      </c>
      <c r="J32" s="111" t="e" vm="1">
        <f t="shared" ca="1" si="0"/>
        <v>#VALUE!</v>
      </c>
      <c r="K32" s="109"/>
      <c r="L32" s="97" t="e" cm="1">
        <f t="array" aca="1" ref="L32" ca="1">_xldudf_BOARDFLARE_FMATCH(G32,D32)</f>
        <v>#NAME?</v>
      </c>
      <c r="M32" s="98" t="e" cm="1" vm="2">
        <f t="array" aca="1" ref="M32" ca="1">_FV(L32,"Similarity",TRUE)</f>
        <v>#VALUE!</v>
      </c>
      <c r="N32" s="97" t="e" cm="1">
        <f t="array" aca="1" ref="N32" ca="1">_xldudf_BOARDFLARE_FMATCH(D32,G32)</f>
        <v>#NAME?</v>
      </c>
      <c r="O32" s="98" t="e" cm="1" vm="2">
        <f t="array" aca="1" ref="O32" ca="1">_FV(N32,"Similarity",TRUE)</f>
        <v>#VALUE!</v>
      </c>
      <c r="AG32" s="96"/>
      <c r="AH32" s="96"/>
      <c r="AI32" s="96"/>
      <c r="AJ32" s="96"/>
      <c r="AK32" s="96" t="str" cm="1">
        <f t="array" aca="1" ref="AK32" ca="1">IF(
   SUMPRODUCT(--ISNUMBER(SEARCH(_xlfn.TEXTSPLIT(D32," "), G32))) / COUNTA(_xlfn.TEXTSPLIT(D32," ")) = 1,
   "Full Match",
   IF(
      SUMPRODUCT(--ISNUMBER(SEARCH(_xlfn.TEXTSPLIT(D32," "), G32))) / COUNTA(_xlfn.TEXTSPLIT(D32," ")) &gt; 0.5,
      "Partial Match",
      "No Match"
   )
)</f>
        <v>No Match</v>
      </c>
    </row>
    <row r="33" spans="1:37" ht="409.6">
      <c r="A33" s="110" t="s">
        <v>186</v>
      </c>
      <c r="B33" s="110"/>
      <c r="C33" s="110" t="s">
        <v>68</v>
      </c>
      <c r="D33" s="107"/>
      <c r="E33" s="107"/>
      <c r="F33" s="110" t="s">
        <v>187</v>
      </c>
      <c r="G33" s="122" t="s">
        <v>188</v>
      </c>
      <c r="H33" s="107"/>
      <c r="I33" s="107" t="e" cm="1">
        <f t="array" aca="1" ref="I33" ca="1">_xldudf_BOARDFLARE_FMATCH(G33,D33)</f>
        <v>#NAME?</v>
      </c>
      <c r="J33" s="111" t="e" vm="1">
        <f t="shared" ca="1" si="0"/>
        <v>#VALUE!</v>
      </c>
      <c r="K33" s="109" t="str" cm="1">
        <f t="array" aca="1" ref="K33" ca="1">IF(
   SUMPRODUCT(--ISNUMBER(SEARCH(_xlfn.TEXTSPLIT(D33," "), G33))) / COUNTA(_xlfn.TEXTSPLIT(D33," ")) = 1,
   "Full Match",
   IF(
      SUMPRODUCT(--ISNUMBER(SEARCH(_xlfn.TEXTSPLIT(D33," "), G33))) / COUNTA(_xlfn.TEXTSPLIT(D33," ")) &gt; 0.5,
      "Partial Match",
      "No Match"
   )
)</f>
        <v>No Match</v>
      </c>
      <c r="L33" s="97" t="e" cm="1">
        <f t="array" aca="1" ref="L33" ca="1">_xldudf_BOARDFLARE_FMATCH(G33,D33)</f>
        <v>#NAME?</v>
      </c>
      <c r="M33" s="98" t="e" cm="1" vm="2">
        <f t="array" aca="1" ref="M33" ca="1">_FV(L33,"Similarity",TRUE)</f>
        <v>#VALUE!</v>
      </c>
      <c r="N33" s="97" t="e" cm="1">
        <f t="array" aca="1" ref="N33" ca="1">_xldudf_BOARDFLARE_FMATCH(D33,G33)</f>
        <v>#NAME?</v>
      </c>
      <c r="O33" s="98" t="e" cm="1" vm="2">
        <f t="array" aca="1" ref="O33" ca="1">_FV(N33,"Similarity",TRUE)</f>
        <v>#VALUE!</v>
      </c>
      <c r="Q33" s="96" t="s">
        <v>168</v>
      </c>
      <c r="R33" s="96" t="s">
        <v>168</v>
      </c>
      <c r="S33" s="96" t="s">
        <v>168</v>
      </c>
      <c r="T33" s="124">
        <v>13</v>
      </c>
      <c r="U33" s="124">
        <v>31</v>
      </c>
      <c r="V33" s="96" t="s">
        <v>168</v>
      </c>
      <c r="W33" s="96" t="s">
        <v>131</v>
      </c>
      <c r="X33" s="96" t="str" cm="1">
        <f t="array" aca="1" ref="X33" ca="1">IF(
   SUMPRODUCT(--ISNUMBER(SEARCH(_xlfn.TEXTSPLIT(D33," "), G33))) / COUNTA(_xlfn.TEXTSPLIT(D33," ")) = 1,
   "Full Match",
   IF(
      SUMPRODUCT(--ISNUMBER(SEARCH(_xlfn.TEXTSPLIT(D33," "), G33))) / COUNTA(_xlfn.TEXTSPLIT(D33," ")) &gt; 0.5,
      "Partial Match",
      "No Match"
   )
)</f>
        <v>No Match</v>
      </c>
      <c r="AG33" s="96"/>
      <c r="AH33" s="96"/>
      <c r="AI33" s="96"/>
      <c r="AJ33" s="96"/>
      <c r="AK33" s="96"/>
    </row>
    <row r="34" spans="1:37" ht="12.9" hidden="1">
      <c r="A34" s="110" t="s">
        <v>189</v>
      </c>
      <c r="B34" s="110"/>
      <c r="C34" s="110" t="s">
        <v>70</v>
      </c>
      <c r="D34" s="107" t="s">
        <v>190</v>
      </c>
      <c r="E34" s="107" t="s">
        <v>16</v>
      </c>
      <c r="F34" s="110" t="s">
        <v>191</v>
      </c>
      <c r="G34" s="106"/>
      <c r="H34" s="107"/>
      <c r="I34" s="107" t="e" cm="1">
        <f t="array" aca="1" ref="I34" ca="1">_xldudf_BOARDFLARE_FMATCH(G34,D34)</f>
        <v>#NAME?</v>
      </c>
      <c r="J34" s="111" t="e" vm="1">
        <f t="shared" ca="1" si="0"/>
        <v>#VALUE!</v>
      </c>
      <c r="K34" s="109" t="str" cm="1">
        <f t="array" aca="1" ref="K34" ca="1">IF(
   SUMPRODUCT(--ISNUMBER(SEARCH(_xlfn.TEXTSPLIT(D34," "), G34))) / COUNTA(_xlfn.TEXTSPLIT(D34," ")) = 1,
   "Full Match",
   IF(
      SUMPRODUCT(--ISNUMBER(SEARCH(_xlfn.TEXTSPLIT(D34," "), G34))) / COUNTA(_xlfn.TEXTSPLIT(D34," ")) &gt; 0.5,
      "Partial Match",
      "No Match"
   )
)</f>
        <v>No Match</v>
      </c>
      <c r="L34" s="97" t="e" cm="1">
        <f t="array" aca="1" ref="L34" ca="1">_xldudf_BOARDFLARE_FMATCH(G34,D34)</f>
        <v>#NAME?</v>
      </c>
      <c r="M34" s="98" t="e" cm="1" vm="2">
        <f t="array" aca="1" ref="M34" ca="1">_FV(L34,"Similarity",TRUE)</f>
        <v>#VALUE!</v>
      </c>
      <c r="N34" s="97" t="e" cm="1">
        <f t="array" aca="1" ref="N34" ca="1">_xldudf_BOARDFLARE_FMATCH(D34,G34)</f>
        <v>#NAME?</v>
      </c>
      <c r="O34" s="98" t="e" cm="1" vm="2">
        <f t="array" aca="1" ref="O34" ca="1">_FV(N34,"Similarity",TRUE)</f>
        <v>#VALUE!</v>
      </c>
      <c r="AE34" s="96" t="s">
        <v>130</v>
      </c>
      <c r="AF34" s="96" t="s">
        <v>168</v>
      </c>
      <c r="AG34" s="124" t="b">
        <f t="shared" ref="AG34:AG35" si="2">AE34=AF34</f>
        <v>0</v>
      </c>
      <c r="AH34" s="124" cm="1">
        <f t="array" aca="1" ref="AH34" ca="1">SUMPRODUCT(--ISNUMBER(SEARCH(_xlfn.TEXTSPLIT(D34," "), G34))) / COUNTA(_xlfn.TEXTSPLIT(D34," "))</f>
        <v>0</v>
      </c>
      <c r="AI34" s="124" t="str" cm="1">
        <f t="array" aca="1" ref="AI34" ca="1">IF(
   SUMPRODUCT(--ISNUMBER(SEARCH(_xlfn.TEXTSPLIT(D34," "), G34))) / COUNTA(_xlfn.TEXTSPLIT(D34," ")) = 1,
   "Full Match",
   IF(
      SUMPRODUCT(--ISNUMBER(SEARCH(_xlfn.TEXTSPLIT(D34," "), G34))) / COUNTA(_xlfn.TEXTSPLIT(D34," ")) &gt; 0.5,
      "Partial Match",
      "No Match"
   )
)</f>
        <v>No Match</v>
      </c>
    </row>
    <row r="35" spans="1:37" ht="12.9" hidden="1">
      <c r="A35" s="110" t="s">
        <v>192</v>
      </c>
      <c r="B35" s="110"/>
      <c r="C35" s="110" t="s">
        <v>70</v>
      </c>
      <c r="D35" s="107" t="s">
        <v>193</v>
      </c>
      <c r="E35" s="107" t="s">
        <v>17</v>
      </c>
      <c r="F35" s="110" t="s">
        <v>194</v>
      </c>
      <c r="G35" s="106" t="s">
        <v>195</v>
      </c>
      <c r="H35" s="107"/>
      <c r="I35" s="107" t="e" cm="1">
        <f t="array" aca="1" ref="I35" ca="1">_xldudf_BOARDFLARE_FMATCH(G35,D35)</f>
        <v>#NAME?</v>
      </c>
      <c r="J35" s="111" t="e" vm="1">
        <f t="shared" ref="J35:J66" ca="1" si="3">IF(M35&gt;O35, M35,O35)</f>
        <v>#VALUE!</v>
      </c>
      <c r="K35" s="109" t="str" cm="1">
        <f t="array" aca="1" ref="K35" ca="1">IF(
   SUMPRODUCT(--ISNUMBER(SEARCH(_xlfn.TEXTSPLIT(D35," "), G35))) / COUNTA(_xlfn.TEXTSPLIT(D35," ")) = 1,
   "Full Match",
   IF(
      SUMPRODUCT(--ISNUMBER(SEARCH(_xlfn.TEXTSPLIT(D35," "), G35))) / COUNTA(_xlfn.TEXTSPLIT(D35," ")) &gt; 0.5,
      "Partial Match",
      "No Match"
   )
)</f>
        <v>No Match</v>
      </c>
      <c r="L35" s="97" t="e" cm="1">
        <f t="array" aca="1" ref="L35" ca="1">_xldudf_BOARDFLARE_FMATCH(G35,D35)</f>
        <v>#NAME?</v>
      </c>
      <c r="M35" s="98" t="e" cm="1" vm="2">
        <f t="array" aca="1" ref="M35" ca="1">_FV(L35,"Similarity",TRUE)</f>
        <v>#VALUE!</v>
      </c>
      <c r="N35" s="97" t="e" cm="1">
        <f t="array" aca="1" ref="N35" ca="1">_xldudf_BOARDFLARE_FMATCH(D35,G35)</f>
        <v>#NAME?</v>
      </c>
      <c r="O35" s="98" t="e" cm="1" vm="2">
        <f t="array" aca="1" ref="O35" ca="1">_FV(N35,"Similarity",TRUE)</f>
        <v>#VALUE!</v>
      </c>
      <c r="AE35" s="96" t="s">
        <v>130</v>
      </c>
      <c r="AF35" s="96" t="s">
        <v>130</v>
      </c>
      <c r="AG35" s="124" t="b">
        <f t="shared" si="2"/>
        <v>1</v>
      </c>
      <c r="AH35" s="124" cm="1">
        <f t="array" aca="1" ref="AH35" ca="1">SUMPRODUCT(--ISNUMBER(SEARCH(_xlfn.TEXTSPLIT(D35," "), G35))) / COUNTA(_xlfn.TEXTSPLIT(D35," "))</f>
        <v>0</v>
      </c>
      <c r="AI35" s="124" t="str" cm="1">
        <f t="array" aca="1" ref="AI35" ca="1">IF(
   SUMPRODUCT(--ISNUMBER(SEARCH(_xlfn.TEXTSPLIT(D35," "), G35))) / COUNTA(_xlfn.TEXTSPLIT(D35," ")) = 1,
   "Full Match",
   IF(
      SUMPRODUCT(--ISNUMBER(SEARCH(_xlfn.TEXTSPLIT(D35," "), G35))) / COUNTA(_xlfn.TEXTSPLIT(D35," ")) &gt; 0.5,
      "Partial Match",
      "No Match"
   )
)</f>
        <v>No Match</v>
      </c>
    </row>
    <row r="36" spans="1:37" ht="409.6" hidden="1">
      <c r="A36" s="110" t="s">
        <v>196</v>
      </c>
      <c r="B36" s="110"/>
      <c r="C36" s="110" t="s">
        <v>69</v>
      </c>
      <c r="D36" s="121" t="s">
        <v>197</v>
      </c>
      <c r="E36" s="107"/>
      <c r="F36" s="110" t="s">
        <v>198</v>
      </c>
      <c r="G36" s="122" t="s">
        <v>199</v>
      </c>
      <c r="H36" s="107"/>
      <c r="I36" s="107" t="e" cm="1">
        <f t="array" aca="1" ref="I36" ca="1">_xldudf_BOARDFLARE_FMATCH(G36,D36)</f>
        <v>#NAME?</v>
      </c>
      <c r="J36" s="111" t="e" vm="1">
        <f t="shared" ca="1" si="3"/>
        <v>#VALUE!</v>
      </c>
      <c r="K36" s="109" t="str" cm="1">
        <f t="array" aca="1" ref="K36" ca="1">IF(
   SUMPRODUCT(--ISNUMBER(SEARCH(_xlfn.TEXTSPLIT(D36," "), G36))) / COUNTA(_xlfn.TEXTSPLIT(D36," ")) = 1,
   "Full Match",
   IF(
      SUMPRODUCT(--ISNUMBER(SEARCH(_xlfn.TEXTSPLIT(D36," "), G36))) / COUNTA(_xlfn.TEXTSPLIT(D36," ")) &gt; 0.5,
      "Partial Match",
      "No Match"
   )
)</f>
        <v>No Match</v>
      </c>
      <c r="L36" s="97" t="e" cm="1">
        <f t="array" aca="1" ref="L36" ca="1">_xldudf_BOARDFLARE_FMATCH(G36,D36)</f>
        <v>#NAME?</v>
      </c>
      <c r="M36" s="98" t="e" cm="1" vm="2">
        <f t="array" aca="1" ref="M36" ca="1">_FV(L36,"Similarity",TRUE)</f>
        <v>#VALUE!</v>
      </c>
      <c r="N36" s="97" t="e" cm="1">
        <f t="array" aca="1" ref="N36" ca="1">_xldudf_BOARDFLARE_FMATCH(D36,G36)</f>
        <v>#NAME?</v>
      </c>
      <c r="O36" s="98" t="e" cm="1" vm="2">
        <f t="array" aca="1" ref="O36" ca="1">_FV(N36,"Similarity",TRUE)</f>
        <v>#VALUE!</v>
      </c>
      <c r="Z36" s="124">
        <v>9</v>
      </c>
      <c r="AA36" s="124">
        <v>9</v>
      </c>
      <c r="AB36" s="124" t="s">
        <v>200</v>
      </c>
      <c r="AC36" s="96" t="str">
        <f>IF(EXACT(Table11[[#This Row],[Expected Value]],Table11[[#This Row],[AI Replaced Text]]),"Match","Not Match")</f>
        <v>Not Match</v>
      </c>
      <c r="AG36" s="96"/>
      <c r="AH36" s="96"/>
      <c r="AI36" s="96"/>
      <c r="AJ36" s="96"/>
      <c r="AK36" s="96"/>
    </row>
    <row r="37" spans="1:37" ht="12.9" hidden="1">
      <c r="A37" s="110" t="s">
        <v>201</v>
      </c>
      <c r="B37" s="110"/>
      <c r="C37" s="110" t="s">
        <v>70</v>
      </c>
      <c r="D37" s="107"/>
      <c r="E37" s="107"/>
      <c r="F37" s="110" t="s">
        <v>202</v>
      </c>
      <c r="G37" s="106"/>
      <c r="H37" s="107"/>
      <c r="I37" s="107" t="e" cm="1">
        <f t="array" aca="1" ref="I37" ca="1">_xldudf_BOARDFLARE_FMATCH(G37,D37)</f>
        <v>#NAME?</v>
      </c>
      <c r="J37" s="111" t="e" vm="1">
        <f t="shared" ca="1" si="3"/>
        <v>#VALUE!</v>
      </c>
      <c r="K37" s="109" t="str" cm="1">
        <f t="array" aca="1" ref="K37" ca="1">IF(
   SUMPRODUCT(--ISNUMBER(SEARCH(_xlfn.TEXTSPLIT(D37," "), G37))) / COUNTA(_xlfn.TEXTSPLIT(D37," ")) = 1,
   "Full Match",
   IF(
      SUMPRODUCT(--ISNUMBER(SEARCH(_xlfn.TEXTSPLIT(D37," "), G37))) / COUNTA(_xlfn.TEXTSPLIT(D37," ")) &gt; 0.5,
      "Partial Match",
      "No Match"
   )
)</f>
        <v>No Match</v>
      </c>
      <c r="L37" s="97" t="e" cm="1">
        <f t="array" aca="1" ref="L37" ca="1">_xldudf_BOARDFLARE_FMATCH(G37,D37)</f>
        <v>#NAME?</v>
      </c>
      <c r="M37" s="98" t="e" cm="1" vm="2">
        <f t="array" aca="1" ref="M37" ca="1">_FV(L37,"Similarity",TRUE)</f>
        <v>#VALUE!</v>
      </c>
      <c r="N37" s="97" t="e" cm="1">
        <f t="array" aca="1" ref="N37" ca="1">_xldudf_BOARDFLARE_FMATCH(D37,G37)</f>
        <v>#NAME?</v>
      </c>
      <c r="O37" s="98" t="e" cm="1" vm="2">
        <f t="array" aca="1" ref="O37" ca="1">_FV(N37,"Similarity",TRUE)</f>
        <v>#VALUE!</v>
      </c>
      <c r="AF37" s="96" t="s">
        <v>168</v>
      </c>
      <c r="AG37" s="124" t="b">
        <f t="shared" ref="AG37:AG40" si="4">AE37=AF37</f>
        <v>0</v>
      </c>
      <c r="AH37" s="124" cm="1">
        <f t="array" aca="1" ref="AH37" ca="1">SUMPRODUCT(--ISNUMBER(SEARCH(_xlfn.TEXTSPLIT(D37," "), G37))) / COUNTA(_xlfn.TEXTSPLIT(D37," "))</f>
        <v>0</v>
      </c>
      <c r="AI37" s="124" t="str" cm="1">
        <f t="array" aca="1" ref="AI37" ca="1">IF(
   SUMPRODUCT(--ISNUMBER(SEARCH(_xlfn.TEXTSPLIT(D37," "), G37))) / COUNTA(_xlfn.TEXTSPLIT(D37," ")) = 1,
   "Full Match",
   IF(
      SUMPRODUCT(--ISNUMBER(SEARCH(_xlfn.TEXTSPLIT(D37," "), G37))) / COUNTA(_xlfn.TEXTSPLIT(D37," ")) &gt; 0.5,
      "Partial Match",
      "No Match"
   )
)</f>
        <v>No Match</v>
      </c>
    </row>
    <row r="38" spans="1:37" ht="12.9" hidden="1">
      <c r="A38" s="110" t="s">
        <v>203</v>
      </c>
      <c r="B38" s="110"/>
      <c r="C38" s="110" t="s">
        <v>70</v>
      </c>
      <c r="D38" s="107"/>
      <c r="E38" s="107"/>
      <c r="F38" s="110" t="s">
        <v>204</v>
      </c>
      <c r="G38" s="106"/>
      <c r="H38" s="107"/>
      <c r="I38" s="107" t="e" cm="1">
        <f t="array" aca="1" ref="I38" ca="1">_xldudf_BOARDFLARE_FMATCH(G38,D38)</f>
        <v>#NAME?</v>
      </c>
      <c r="J38" s="111" t="e" vm="1">
        <f t="shared" ca="1" si="3"/>
        <v>#VALUE!</v>
      </c>
      <c r="K38" s="109" t="str" cm="1">
        <f t="array" aca="1" ref="K38" ca="1">IF(
   SUMPRODUCT(--ISNUMBER(SEARCH(_xlfn.TEXTSPLIT(D38," "), G38))) / COUNTA(_xlfn.TEXTSPLIT(D38," ")) = 1,
   "Full Match",
   IF(
      SUMPRODUCT(--ISNUMBER(SEARCH(_xlfn.TEXTSPLIT(D38," "), G38))) / COUNTA(_xlfn.TEXTSPLIT(D38," ")) &gt; 0.5,
      "Partial Match",
      "No Match"
   )
)</f>
        <v>No Match</v>
      </c>
      <c r="L38" s="97" t="e" cm="1">
        <f t="array" aca="1" ref="L38" ca="1">_xldudf_BOARDFLARE_FMATCH(G38,D38)</f>
        <v>#NAME?</v>
      </c>
      <c r="M38" s="98" t="e" cm="1" vm="2">
        <f t="array" aca="1" ref="M38" ca="1">_FV(L38,"Similarity",TRUE)</f>
        <v>#VALUE!</v>
      </c>
      <c r="N38" s="97" t="e" cm="1">
        <f t="array" aca="1" ref="N38" ca="1">_xldudf_BOARDFLARE_FMATCH(D38,G38)</f>
        <v>#NAME?</v>
      </c>
      <c r="O38" s="98" t="e" cm="1" vm="2">
        <f t="array" aca="1" ref="O38" ca="1">_FV(N38,"Similarity",TRUE)</f>
        <v>#VALUE!</v>
      </c>
      <c r="AF38" s="96" t="s">
        <v>168</v>
      </c>
      <c r="AG38" s="124" t="b">
        <f t="shared" si="4"/>
        <v>0</v>
      </c>
      <c r="AH38" s="124" cm="1">
        <f t="array" aca="1" ref="AH38" ca="1">SUMPRODUCT(--ISNUMBER(SEARCH(_xlfn.TEXTSPLIT(D38," "), G38))) / COUNTA(_xlfn.TEXTSPLIT(D38," "))</f>
        <v>0</v>
      </c>
      <c r="AI38" s="124" t="str" cm="1">
        <f t="array" aca="1" ref="AI38" ca="1">IF(
   SUMPRODUCT(--ISNUMBER(SEARCH(_xlfn.TEXTSPLIT(D38," "), G38))) / COUNTA(_xlfn.TEXTSPLIT(D38," ")) = 1,
   "Full Match",
   IF(
      SUMPRODUCT(--ISNUMBER(SEARCH(_xlfn.TEXTSPLIT(D38," "), G38))) / COUNTA(_xlfn.TEXTSPLIT(D38," ")) &gt; 0.5,
      "Partial Match",
      "No Match"
   )
)</f>
        <v>No Match</v>
      </c>
    </row>
    <row r="39" spans="1:37" ht="12.9" hidden="1">
      <c r="A39" s="110" t="s">
        <v>205</v>
      </c>
      <c r="B39" s="110"/>
      <c r="C39" s="110" t="s">
        <v>70</v>
      </c>
      <c r="D39" s="107" t="s">
        <v>206</v>
      </c>
      <c r="E39" s="107" t="s">
        <v>17</v>
      </c>
      <c r="F39" s="110" t="s">
        <v>207</v>
      </c>
      <c r="G39" s="106" t="s">
        <v>208</v>
      </c>
      <c r="H39" s="107"/>
      <c r="I39" s="107" t="e" cm="1">
        <f t="array" aca="1" ref="I39" ca="1">_xldudf_BOARDFLARE_FMATCH(G39,D39)</f>
        <v>#NAME?</v>
      </c>
      <c r="J39" s="111" t="e" vm="1">
        <f t="shared" ca="1" si="3"/>
        <v>#VALUE!</v>
      </c>
      <c r="K39" s="109" t="str" cm="1">
        <f t="array" aca="1" ref="K39" ca="1">IF(
   SUMPRODUCT(--ISNUMBER(SEARCH(_xlfn.TEXTSPLIT(D39," "), G39))) / COUNTA(_xlfn.TEXTSPLIT(D39," ")) = 1,
   "Full Match",
   IF(
      SUMPRODUCT(--ISNUMBER(SEARCH(_xlfn.TEXTSPLIT(D39," "), G39))) / COUNTA(_xlfn.TEXTSPLIT(D39," ")) &gt; 0.5,
      "Partial Match",
      "No Match"
   )
)</f>
        <v>No Match</v>
      </c>
      <c r="L39" s="97" t="e" cm="1">
        <f t="array" aca="1" ref="L39" ca="1">_xldudf_BOARDFLARE_FMATCH(G39,D39)</f>
        <v>#NAME?</v>
      </c>
      <c r="M39" s="98" t="e" cm="1" vm="2">
        <f t="array" aca="1" ref="M39" ca="1">_FV(L39,"Similarity",TRUE)</f>
        <v>#VALUE!</v>
      </c>
      <c r="N39" s="97" t="e" cm="1">
        <f t="array" aca="1" ref="N39" ca="1">_xldudf_BOARDFLARE_FMATCH(D39,G39)</f>
        <v>#NAME?</v>
      </c>
      <c r="O39" s="98" t="e" cm="1" vm="2">
        <f t="array" aca="1" ref="O39" ca="1">_FV(N39,"Similarity",TRUE)</f>
        <v>#VALUE!</v>
      </c>
      <c r="AE39" s="96" t="s">
        <v>130</v>
      </c>
      <c r="AF39" s="96" t="s">
        <v>130</v>
      </c>
      <c r="AG39" s="124" t="b">
        <f t="shared" si="4"/>
        <v>1</v>
      </c>
      <c r="AH39" s="124" cm="1">
        <f t="array" aca="1" ref="AH39" ca="1">SUMPRODUCT(--ISNUMBER(SEARCH(_xlfn.TEXTSPLIT(D39," "), G39))) / COUNTA(_xlfn.TEXTSPLIT(D39," "))</f>
        <v>0</v>
      </c>
      <c r="AI39" s="124" t="str" cm="1">
        <f t="array" aca="1" ref="AI39" ca="1">IF(
   SUMPRODUCT(--ISNUMBER(SEARCH(_xlfn.TEXTSPLIT(D39," "), G39))) / COUNTA(_xlfn.TEXTSPLIT(D39," ")) = 1,
   "Full Match",
   IF(
      SUMPRODUCT(--ISNUMBER(SEARCH(_xlfn.TEXTSPLIT(D39," "), G39))) / COUNTA(_xlfn.TEXTSPLIT(D39," ")) &gt; 0.5,
      "Partial Match",
      "No Match"
   )
)</f>
        <v>No Match</v>
      </c>
    </row>
    <row r="40" spans="1:37" ht="12.9" hidden="1">
      <c r="A40" s="110" t="s">
        <v>209</v>
      </c>
      <c r="B40" s="110"/>
      <c r="C40" s="110" t="s">
        <v>70</v>
      </c>
      <c r="D40" s="107"/>
      <c r="E40" s="107"/>
      <c r="F40" s="110" t="s">
        <v>210</v>
      </c>
      <c r="G40" s="106" t="s">
        <v>211</v>
      </c>
      <c r="H40" s="107"/>
      <c r="I40" s="107" t="e" cm="1">
        <f t="array" aca="1" ref="I40" ca="1">_xldudf_BOARDFLARE_FMATCH(G40,D40)</f>
        <v>#NAME?</v>
      </c>
      <c r="J40" s="111" t="e" vm="1">
        <f t="shared" ca="1" si="3"/>
        <v>#VALUE!</v>
      </c>
      <c r="K40" s="109" t="str" cm="1">
        <f t="array" aca="1" ref="K40" ca="1">IF(
   SUMPRODUCT(--ISNUMBER(SEARCH(_xlfn.TEXTSPLIT(D40," "), G40))) / COUNTA(_xlfn.TEXTSPLIT(D40," ")) = 1,
   "Full Match",
   IF(
      SUMPRODUCT(--ISNUMBER(SEARCH(_xlfn.TEXTSPLIT(D40," "), G40))) / COUNTA(_xlfn.TEXTSPLIT(D40," ")) &gt; 0.5,
      "Partial Match",
      "No Match"
   )
)</f>
        <v>No Match</v>
      </c>
      <c r="L40" s="97" t="e" cm="1">
        <f t="array" aca="1" ref="L40" ca="1">_xldudf_BOARDFLARE_FMATCH(G40,D40)</f>
        <v>#NAME?</v>
      </c>
      <c r="M40" s="98" t="e" cm="1" vm="2">
        <f t="array" aca="1" ref="M40" ca="1">_FV(L40,"Similarity",TRUE)</f>
        <v>#VALUE!</v>
      </c>
      <c r="N40" s="97" t="e" cm="1">
        <f t="array" aca="1" ref="N40" ca="1">_xldudf_BOARDFLARE_FMATCH(D40,G40)</f>
        <v>#NAME?</v>
      </c>
      <c r="O40" s="98" t="e" cm="1" vm="2">
        <f t="array" aca="1" ref="O40" ca="1">_FV(N40,"Similarity",TRUE)</f>
        <v>#VALUE!</v>
      </c>
      <c r="AF40" s="96" t="s">
        <v>130</v>
      </c>
      <c r="AG40" s="124" t="b">
        <f t="shared" si="4"/>
        <v>0</v>
      </c>
      <c r="AH40" s="124" cm="1">
        <f t="array" aca="1" ref="AH40" ca="1">SUMPRODUCT(--ISNUMBER(SEARCH(_xlfn.TEXTSPLIT(D40," "), G40))) / COUNTA(_xlfn.TEXTSPLIT(D40," "))</f>
        <v>0</v>
      </c>
      <c r="AI40" s="124" t="str" cm="1">
        <f t="array" aca="1" ref="AI40" ca="1">IF(
   SUMPRODUCT(--ISNUMBER(SEARCH(_xlfn.TEXTSPLIT(D40," "), G40))) / COUNTA(_xlfn.TEXTSPLIT(D40," ")) = 1,
   "Full Match",
   IF(
      SUMPRODUCT(--ISNUMBER(SEARCH(_xlfn.TEXTSPLIT(D40," "), G40))) / COUNTA(_xlfn.TEXTSPLIT(D40," ")) &gt; 0.5,
      "Partial Match",
      "No Match"
   )
)</f>
        <v>No Match</v>
      </c>
    </row>
    <row r="41" spans="1:37" ht="12.9" hidden="1">
      <c r="A41" s="110" t="s">
        <v>212</v>
      </c>
      <c r="B41" s="110"/>
      <c r="C41" s="110" t="s">
        <v>98</v>
      </c>
      <c r="D41" s="131" t="s">
        <v>106</v>
      </c>
      <c r="E41" s="107" t="s">
        <v>17</v>
      </c>
      <c r="F41" s="110" t="s">
        <v>213</v>
      </c>
      <c r="G41" s="106" t="s">
        <v>106</v>
      </c>
      <c r="H41" s="107"/>
      <c r="I41" s="107" t="e" cm="1">
        <f t="array" aca="1" ref="I41" ca="1">_xldudf_BOARDFLARE_FMATCH(G41,D41)</f>
        <v>#NAME?</v>
      </c>
      <c r="J41" s="111" t="e" vm="1">
        <f t="shared" ca="1" si="3"/>
        <v>#VALUE!</v>
      </c>
      <c r="K41" s="109"/>
      <c r="L41" s="97" t="e" cm="1">
        <f t="array" aca="1" ref="L41" ca="1">_xldudf_BOARDFLARE_FMATCH(G41,D41)</f>
        <v>#NAME?</v>
      </c>
      <c r="M41" s="98" t="e" cm="1" vm="2">
        <f t="array" aca="1" ref="M41" ca="1">_FV(L41,"Similarity",TRUE)</f>
        <v>#VALUE!</v>
      </c>
      <c r="N41" s="97" t="e" cm="1">
        <f t="array" aca="1" ref="N41" ca="1">_xldudf_BOARDFLARE_FMATCH(D41,G41)</f>
        <v>#NAME?</v>
      </c>
      <c r="O41" s="98" t="e" cm="1" vm="2">
        <f t="array" aca="1" ref="O41" ca="1">_FV(N41,"Similarity",TRUE)</f>
        <v>#VALUE!</v>
      </c>
      <c r="AG41" s="96"/>
      <c r="AH41" s="96"/>
      <c r="AI41" s="96"/>
      <c r="AJ41" s="96"/>
      <c r="AK41" s="96" t="str" cm="1">
        <f t="array" aca="1" ref="AK41" ca="1">IF(
   SUMPRODUCT(--ISNUMBER(SEARCH(_xlfn.TEXTSPLIT(D41," "), G41))) / COUNTA(_xlfn.TEXTSPLIT(D41," ")) = 1,
   "Full Match",
   IF(
      SUMPRODUCT(--ISNUMBER(SEARCH(_xlfn.TEXTSPLIT(D41," "), G41))) / COUNTA(_xlfn.TEXTSPLIT(D41," ")) &gt; 0.5,
      "Partial Match",
      "No Match"
   )
)</f>
        <v>No Match</v>
      </c>
    </row>
    <row r="42" spans="1:37" ht="12.9" hidden="1">
      <c r="A42" s="110" t="s">
        <v>214</v>
      </c>
      <c r="B42" s="110"/>
      <c r="C42" s="110" t="s">
        <v>105</v>
      </c>
      <c r="D42" s="107" t="s">
        <v>106</v>
      </c>
      <c r="E42" s="107" t="s">
        <v>17</v>
      </c>
      <c r="F42" s="110" t="s">
        <v>215</v>
      </c>
      <c r="G42" s="106"/>
      <c r="H42" s="107"/>
      <c r="I42" s="107" t="e" cm="1">
        <f t="array" aca="1" ref="I42" ca="1">_xldudf_BOARDFLARE_FMATCH(G42,D42)</f>
        <v>#NAME?</v>
      </c>
      <c r="J42" s="111" t="e" vm="1">
        <f t="shared" ca="1" si="3"/>
        <v>#VALUE!</v>
      </c>
      <c r="K42" s="109" t="str" cm="1">
        <f t="array" aca="1" ref="K42" ca="1">IF(
   SUMPRODUCT(--ISNUMBER(SEARCH(_xlfn.TEXTSPLIT(D42," "), G42))) / COUNTA(_xlfn.TEXTSPLIT(D42," ")) = 1,
   "Full Match",
   IF(
      SUMPRODUCT(--ISNUMBER(SEARCH(_xlfn.TEXTSPLIT(D42," "), G42))) / COUNTA(_xlfn.TEXTSPLIT(D42," ")) &gt; 0.5,
      "Partial Match",
      "No Match"
   )
)</f>
        <v>No Match</v>
      </c>
      <c r="L42" s="97" t="e" cm="1">
        <f t="array" aca="1" ref="L42" ca="1">_xldudf_BOARDFLARE_FMATCH(G42,D42)</f>
        <v>#NAME?</v>
      </c>
      <c r="M42" s="98" t="e" cm="1" vm="2">
        <f t="array" aca="1" ref="M42" ca="1">_FV(L42,"Similarity",TRUE)</f>
        <v>#VALUE!</v>
      </c>
      <c r="N42" s="97" t="e" cm="1">
        <f t="array" aca="1" ref="N42" ca="1">_xldudf_BOARDFLARE_FMATCH(D42,G42)</f>
        <v>#NAME?</v>
      </c>
      <c r="O42" s="98" t="e" cm="1" vm="2">
        <f t="array" aca="1" ref="O42" ca="1">_FV(N42,"Similarity",TRUE)</f>
        <v>#VALUE!</v>
      </c>
      <c r="AG42" s="96"/>
      <c r="AH42" s="96"/>
      <c r="AI42" s="96"/>
      <c r="AJ42" s="96"/>
      <c r="AK42" s="96"/>
    </row>
    <row r="43" spans="1:37" ht="12.9" hidden="1">
      <c r="A43" s="110" t="s">
        <v>216</v>
      </c>
      <c r="B43" s="110"/>
      <c r="C43" s="110" t="s">
        <v>105</v>
      </c>
      <c r="D43" s="110" t="s">
        <v>217</v>
      </c>
      <c r="E43" s="107" t="s">
        <v>17</v>
      </c>
      <c r="F43" s="110"/>
      <c r="G43" s="106"/>
      <c r="H43" s="107"/>
      <c r="I43" s="107" t="e" cm="1">
        <f t="array" aca="1" ref="I43" ca="1">_xldudf_BOARDFLARE_FMATCH(G43,D43)</f>
        <v>#NAME?</v>
      </c>
      <c r="J43" s="111" t="e" vm="1">
        <f t="shared" ca="1" si="3"/>
        <v>#VALUE!</v>
      </c>
      <c r="K43" s="109" t="str" cm="1">
        <f t="array" aca="1" ref="K43" ca="1">IF(
   SUMPRODUCT(--ISNUMBER(SEARCH(_xlfn.TEXTSPLIT(D43," "), G43))) / COUNTA(_xlfn.TEXTSPLIT(D43," ")) = 1,
   "Full Match",
   IF(
      SUMPRODUCT(--ISNUMBER(SEARCH(_xlfn.TEXTSPLIT(D43," "), G43))) / COUNTA(_xlfn.TEXTSPLIT(D43," ")) &gt; 0.5,
      "Partial Match",
      "No Match"
   )
)</f>
        <v>No Match</v>
      </c>
      <c r="L43" s="97" t="e" cm="1">
        <f t="array" aca="1" ref="L43" ca="1">_xldudf_BOARDFLARE_FMATCH(G43,D43)</f>
        <v>#NAME?</v>
      </c>
      <c r="M43" s="98" t="e" cm="1" vm="2">
        <f t="array" aca="1" ref="M43" ca="1">_FV(L43,"Similarity",TRUE)</f>
        <v>#VALUE!</v>
      </c>
      <c r="N43" s="97" t="e" cm="1">
        <f t="array" aca="1" ref="N43" ca="1">_xldudf_BOARDFLARE_FMATCH(D43,G43)</f>
        <v>#NAME?</v>
      </c>
      <c r="O43" s="98" t="e" cm="1" vm="2">
        <f t="array" aca="1" ref="O43" ca="1">_FV(N43,"Similarity",TRUE)</f>
        <v>#VALUE!</v>
      </c>
      <c r="AG43" s="96"/>
      <c r="AH43" s="96"/>
      <c r="AI43" s="96"/>
      <c r="AJ43" s="96"/>
      <c r="AK43" s="96"/>
    </row>
    <row r="44" spans="1:37" ht="12.9" hidden="1">
      <c r="A44" s="110" t="s">
        <v>218</v>
      </c>
      <c r="B44" s="110"/>
      <c r="C44" s="110" t="s">
        <v>105</v>
      </c>
      <c r="D44" s="110" t="s">
        <v>219</v>
      </c>
      <c r="E44" s="107" t="s">
        <v>17</v>
      </c>
      <c r="F44" s="110"/>
      <c r="G44" s="106"/>
      <c r="H44" s="107"/>
      <c r="I44" s="107" t="e" cm="1">
        <f t="array" aca="1" ref="I44" ca="1">_xldudf_BOARDFLARE_FMATCH(G44,D44)</f>
        <v>#NAME?</v>
      </c>
      <c r="J44" s="111" t="e" vm="1">
        <f t="shared" ca="1" si="3"/>
        <v>#VALUE!</v>
      </c>
      <c r="K44" s="109" t="str" cm="1">
        <f t="array" aca="1" ref="K44" ca="1">IF(
   SUMPRODUCT(--ISNUMBER(SEARCH(_xlfn.TEXTSPLIT(D44," "), G44))) / COUNTA(_xlfn.TEXTSPLIT(D44," ")) = 1,
   "Full Match",
   IF(
      SUMPRODUCT(--ISNUMBER(SEARCH(_xlfn.TEXTSPLIT(D44," "), G44))) / COUNTA(_xlfn.TEXTSPLIT(D44," ")) &gt; 0.5,
      "Partial Match",
      "No Match"
   )
)</f>
        <v>No Match</v>
      </c>
      <c r="L44" s="97" t="e" cm="1">
        <f t="array" aca="1" ref="L44" ca="1">_xldudf_BOARDFLARE_FMATCH(G44,D44)</f>
        <v>#NAME?</v>
      </c>
      <c r="M44" s="98" t="e" cm="1" vm="2">
        <f t="array" aca="1" ref="M44" ca="1">_FV(L44,"Similarity",TRUE)</f>
        <v>#VALUE!</v>
      </c>
      <c r="N44" s="97" t="e" cm="1">
        <f t="array" aca="1" ref="N44" ca="1">_xldudf_BOARDFLARE_FMATCH(D44,G44)</f>
        <v>#NAME?</v>
      </c>
      <c r="O44" s="98" t="e" cm="1" vm="2">
        <f t="array" aca="1" ref="O44" ca="1">_FV(N44,"Similarity",TRUE)</f>
        <v>#VALUE!</v>
      </c>
      <c r="AG44" s="96"/>
      <c r="AH44" s="96"/>
      <c r="AI44" s="96"/>
      <c r="AJ44" s="96"/>
      <c r="AK44" s="96"/>
    </row>
    <row r="45" spans="1:37" ht="12.9" hidden="1">
      <c r="A45" s="110" t="s">
        <v>220</v>
      </c>
      <c r="B45" s="110"/>
      <c r="C45" s="110"/>
      <c r="D45" s="107"/>
      <c r="E45" s="107"/>
      <c r="F45" s="110" t="s">
        <v>221</v>
      </c>
      <c r="G45" s="106" t="s">
        <v>222</v>
      </c>
      <c r="H45" s="107"/>
      <c r="I45" s="107" t="e" cm="1">
        <f t="array" aca="1" ref="I45" ca="1">_xldudf_BOARDFLARE_FMATCH(G45,D45)</f>
        <v>#NAME?</v>
      </c>
      <c r="J45" s="111" t="e" vm="1">
        <f t="shared" ca="1" si="3"/>
        <v>#VALUE!</v>
      </c>
      <c r="K45" s="109" t="str" cm="1">
        <f t="array" aca="1" ref="K45" ca="1">IF(
   SUMPRODUCT(--ISNUMBER(SEARCH(_xlfn.TEXTSPLIT(D45," "), G45))) / COUNTA(_xlfn.TEXTSPLIT(D45," ")) = 1,
   "Full Match",
   IF(
      SUMPRODUCT(--ISNUMBER(SEARCH(_xlfn.TEXTSPLIT(D45," "), G45))) / COUNTA(_xlfn.TEXTSPLIT(D45," ")) &gt; 0.5,
      "Partial Match",
      "No Match"
   )
)</f>
        <v>No Match</v>
      </c>
      <c r="L45" s="97" t="e" cm="1">
        <f t="array" aca="1" ref="L45" ca="1">_xldudf_BOARDFLARE_FMATCH(G45,D45)</f>
        <v>#NAME?</v>
      </c>
      <c r="M45" s="98" t="e" cm="1" vm="2">
        <f t="array" aca="1" ref="M45" ca="1">_FV(L45,"Similarity",TRUE)</f>
        <v>#VALUE!</v>
      </c>
      <c r="N45" s="97" t="e" cm="1">
        <f t="array" aca="1" ref="N45" ca="1">_xldudf_BOARDFLARE_FMATCH(D45,G45)</f>
        <v>#NAME?</v>
      </c>
      <c r="O45" s="98" t="e" cm="1" vm="2">
        <f t="array" aca="1" ref="O45" ca="1">_FV(N45,"Similarity",TRUE)</f>
        <v>#VALUE!</v>
      </c>
      <c r="AG45" s="96"/>
      <c r="AH45" s="96"/>
      <c r="AI45" s="96"/>
      <c r="AJ45" s="96"/>
      <c r="AK45" s="96"/>
    </row>
    <row r="46" spans="1:37" ht="15" hidden="1">
      <c r="A46" s="110" t="s">
        <v>223</v>
      </c>
      <c r="B46" s="110"/>
      <c r="C46" s="110" t="s">
        <v>105</v>
      </c>
      <c r="D46" s="110" t="s">
        <v>224</v>
      </c>
      <c r="E46" s="107" t="s">
        <v>17</v>
      </c>
      <c r="F46" s="110"/>
      <c r="G46" s="114" t="s">
        <v>225</v>
      </c>
      <c r="H46" s="107"/>
      <c r="I46" s="107" t="e" cm="1">
        <f t="array" aca="1" ref="I46" ca="1">_xldudf_BOARDFLARE_FMATCH(G46,D46)</f>
        <v>#NAME?</v>
      </c>
      <c r="J46" s="111" t="e" vm="1">
        <f t="shared" ca="1" si="3"/>
        <v>#VALUE!</v>
      </c>
      <c r="K46" s="109" t="str" cm="1">
        <f t="array" aca="1" ref="K46" ca="1">IF(
   SUMPRODUCT(--ISNUMBER(SEARCH(_xlfn.TEXTSPLIT(D46," "), G46))) / COUNTA(_xlfn.TEXTSPLIT(D46," ")) = 1,
   "Full Match",
   IF(
      SUMPRODUCT(--ISNUMBER(SEARCH(_xlfn.TEXTSPLIT(D46," "), G46))) / COUNTA(_xlfn.TEXTSPLIT(D46," ")) &gt; 0.5,
      "Partial Match",
      "No Match"
   )
)</f>
        <v>No Match</v>
      </c>
      <c r="L46" s="97" t="e" cm="1">
        <f t="array" aca="1" ref="L46" ca="1">_xldudf_BOARDFLARE_FMATCH(G46,D46)</f>
        <v>#NAME?</v>
      </c>
      <c r="M46" s="98" t="e" cm="1" vm="2">
        <f t="array" aca="1" ref="M46" ca="1">_FV(L46,"Similarity",TRUE)</f>
        <v>#VALUE!</v>
      </c>
      <c r="N46" s="97" t="e" cm="1">
        <f t="array" aca="1" ref="N46" ca="1">_xldudf_BOARDFLARE_FMATCH(D46,G46)</f>
        <v>#NAME?</v>
      </c>
      <c r="O46" s="98" t="e" cm="1" vm="2">
        <f t="array" aca="1" ref="O46" ca="1">_FV(N46,"Similarity",TRUE)</f>
        <v>#VALUE!</v>
      </c>
      <c r="AG46" s="96"/>
      <c r="AH46" s="96"/>
      <c r="AI46" s="96"/>
      <c r="AJ46" s="96"/>
      <c r="AK46" s="96"/>
    </row>
    <row r="47" spans="1:37" ht="12.9" hidden="1">
      <c r="A47" s="110" t="s">
        <v>226</v>
      </c>
      <c r="B47" s="110"/>
      <c r="C47" s="110" t="s">
        <v>105</v>
      </c>
      <c r="D47" s="110" t="s">
        <v>227</v>
      </c>
      <c r="E47" s="107" t="s">
        <v>17</v>
      </c>
      <c r="F47" s="110"/>
      <c r="G47" s="106"/>
      <c r="H47" s="107"/>
      <c r="I47" s="107" t="e" cm="1">
        <f t="array" aca="1" ref="I47" ca="1">_xldudf_BOARDFLARE_FMATCH(G47,D47)</f>
        <v>#NAME?</v>
      </c>
      <c r="J47" s="111" t="e" vm="1">
        <f t="shared" ca="1" si="3"/>
        <v>#VALUE!</v>
      </c>
      <c r="K47" s="109" t="str" cm="1">
        <f t="array" aca="1" ref="K47" ca="1">IF(
   SUMPRODUCT(--ISNUMBER(SEARCH(_xlfn.TEXTSPLIT(D47," "), G47))) / COUNTA(_xlfn.TEXTSPLIT(D47," ")) = 1,
   "Full Match",
   IF(
      SUMPRODUCT(--ISNUMBER(SEARCH(_xlfn.TEXTSPLIT(D47," "), G47))) / COUNTA(_xlfn.TEXTSPLIT(D47," ")) &gt; 0.5,
      "Partial Match",
      "No Match"
   )
)</f>
        <v>No Match</v>
      </c>
      <c r="L47" s="97" t="e" cm="1">
        <f t="array" aca="1" ref="L47" ca="1">_xldudf_BOARDFLARE_FMATCH(G47,D47)</f>
        <v>#NAME?</v>
      </c>
      <c r="M47" s="98" t="e" cm="1" vm="2">
        <f t="array" aca="1" ref="M47" ca="1">_FV(L47,"Similarity",TRUE)</f>
        <v>#VALUE!</v>
      </c>
      <c r="N47" s="97" t="e" cm="1">
        <f t="array" aca="1" ref="N47" ca="1">_xldudf_BOARDFLARE_FMATCH(D47,G47)</f>
        <v>#NAME?</v>
      </c>
      <c r="O47" s="98" t="e" cm="1" vm="2">
        <f t="array" aca="1" ref="O47" ca="1">_FV(N47,"Similarity",TRUE)</f>
        <v>#VALUE!</v>
      </c>
      <c r="AG47" s="96"/>
      <c r="AH47" s="96"/>
      <c r="AI47" s="96"/>
      <c r="AJ47" s="96"/>
      <c r="AK47" s="96"/>
    </row>
    <row r="48" spans="1:37" ht="12.9" hidden="1">
      <c r="A48" s="110" t="s">
        <v>228</v>
      </c>
      <c r="B48" s="110"/>
      <c r="C48" s="110" t="s">
        <v>105</v>
      </c>
      <c r="D48" s="110" t="s">
        <v>229</v>
      </c>
      <c r="E48" s="107" t="s">
        <v>17</v>
      </c>
      <c r="F48" s="110"/>
      <c r="G48" s="106"/>
      <c r="H48" s="107"/>
      <c r="I48" s="107" t="e" cm="1">
        <f t="array" aca="1" ref="I48" ca="1">_xldudf_BOARDFLARE_FMATCH(G48,D48)</f>
        <v>#NAME?</v>
      </c>
      <c r="J48" s="111" t="e" vm="1">
        <f t="shared" ca="1" si="3"/>
        <v>#VALUE!</v>
      </c>
      <c r="K48" s="109" t="str" cm="1">
        <f t="array" aca="1" ref="K48" ca="1">IF(
   SUMPRODUCT(--ISNUMBER(SEARCH(_xlfn.TEXTSPLIT(D48," "), G48))) / COUNTA(_xlfn.TEXTSPLIT(D48," ")) = 1,
   "Full Match",
   IF(
      SUMPRODUCT(--ISNUMBER(SEARCH(_xlfn.TEXTSPLIT(D48," "), G48))) / COUNTA(_xlfn.TEXTSPLIT(D48," ")) &gt; 0.5,
      "Partial Match",
      "No Match"
   )
)</f>
        <v>No Match</v>
      </c>
      <c r="L48" s="97" t="e" cm="1">
        <f t="array" aca="1" ref="L48" ca="1">_xldudf_BOARDFLARE_FMATCH(G48,D48)</f>
        <v>#NAME?</v>
      </c>
      <c r="M48" s="98" t="e" cm="1" vm="2">
        <f t="array" aca="1" ref="M48" ca="1">_FV(L48,"Similarity",TRUE)</f>
        <v>#VALUE!</v>
      </c>
      <c r="N48" s="97" t="e" cm="1">
        <f t="array" aca="1" ref="N48" ca="1">_xldudf_BOARDFLARE_FMATCH(D48,G48)</f>
        <v>#NAME?</v>
      </c>
      <c r="O48" s="98" t="e" cm="1" vm="2">
        <f t="array" aca="1" ref="O48" ca="1">_FV(N48,"Similarity",TRUE)</f>
        <v>#VALUE!</v>
      </c>
      <c r="AG48" s="96"/>
      <c r="AH48" s="96"/>
      <c r="AI48" s="96"/>
      <c r="AJ48" s="96"/>
      <c r="AK48" s="96"/>
    </row>
    <row r="49" spans="1:37" ht="12.9" hidden="1">
      <c r="A49" s="110" t="s">
        <v>230</v>
      </c>
      <c r="B49" s="110"/>
      <c r="C49" s="110" t="s">
        <v>105</v>
      </c>
      <c r="D49" s="107"/>
      <c r="E49" s="107"/>
      <c r="F49" s="110" t="s">
        <v>231</v>
      </c>
      <c r="G49" s="106"/>
      <c r="H49" s="107"/>
      <c r="I49" s="107" t="e" cm="1">
        <f t="array" aca="1" ref="I49" ca="1">_xldudf_BOARDFLARE_FMATCH(G49,D49)</f>
        <v>#NAME?</v>
      </c>
      <c r="J49" s="111" t="e" vm="1">
        <f t="shared" ca="1" si="3"/>
        <v>#VALUE!</v>
      </c>
      <c r="K49" s="109" t="str" cm="1">
        <f t="array" aca="1" ref="K49" ca="1">IF(
   SUMPRODUCT(--ISNUMBER(SEARCH(_xlfn.TEXTSPLIT(D49," "), G49))) / COUNTA(_xlfn.TEXTSPLIT(D49," ")) = 1,
   "Full Match",
   IF(
      SUMPRODUCT(--ISNUMBER(SEARCH(_xlfn.TEXTSPLIT(D49," "), G49))) / COUNTA(_xlfn.TEXTSPLIT(D49," ")) &gt; 0.5,
      "Partial Match",
      "No Match"
   )
)</f>
        <v>No Match</v>
      </c>
      <c r="L49" s="97" t="e" cm="1">
        <f t="array" aca="1" ref="L49" ca="1">_xldudf_BOARDFLARE_FMATCH(G49,D49)</f>
        <v>#NAME?</v>
      </c>
      <c r="M49" s="98" t="e" cm="1" vm="2">
        <f t="array" aca="1" ref="M49" ca="1">_FV(L49,"Similarity",TRUE)</f>
        <v>#VALUE!</v>
      </c>
      <c r="N49" s="97" t="e" cm="1">
        <f t="array" aca="1" ref="N49" ca="1">_xldudf_BOARDFLARE_FMATCH(D49,G49)</f>
        <v>#NAME?</v>
      </c>
      <c r="O49" s="98" t="e" cm="1" vm="2">
        <f t="array" aca="1" ref="O49" ca="1">_FV(N49,"Similarity",TRUE)</f>
        <v>#VALUE!</v>
      </c>
      <c r="AG49" s="96"/>
      <c r="AH49" s="96"/>
      <c r="AI49" s="96"/>
      <c r="AJ49" s="96"/>
      <c r="AK49" s="96"/>
    </row>
    <row r="50" spans="1:37" ht="12.9" hidden="1">
      <c r="A50" s="110" t="s">
        <v>232</v>
      </c>
      <c r="B50" s="110"/>
      <c r="C50" s="110" t="s">
        <v>105</v>
      </c>
      <c r="D50" s="107"/>
      <c r="E50" s="107"/>
      <c r="F50" s="110" t="s">
        <v>233</v>
      </c>
      <c r="G50" s="106"/>
      <c r="H50" s="107"/>
      <c r="I50" s="107" t="e" cm="1">
        <f t="array" aca="1" ref="I50" ca="1">_xldudf_BOARDFLARE_FMATCH(G50,D50)</f>
        <v>#NAME?</v>
      </c>
      <c r="J50" s="111" t="e" vm="1">
        <f t="shared" ca="1" si="3"/>
        <v>#VALUE!</v>
      </c>
      <c r="K50" s="109" t="str" cm="1">
        <f t="array" aca="1" ref="K50" ca="1">IF(
   SUMPRODUCT(--ISNUMBER(SEARCH(_xlfn.TEXTSPLIT(D50," "), G50))) / COUNTA(_xlfn.TEXTSPLIT(D50," ")) = 1,
   "Full Match",
   IF(
      SUMPRODUCT(--ISNUMBER(SEARCH(_xlfn.TEXTSPLIT(D50," "), G50))) / COUNTA(_xlfn.TEXTSPLIT(D50," ")) &gt; 0.5,
      "Partial Match",
      "No Match"
   )
)</f>
        <v>No Match</v>
      </c>
      <c r="L50" s="97" t="e" cm="1">
        <f t="array" aca="1" ref="L50" ca="1">_xldudf_BOARDFLARE_FMATCH(G50,D50)</f>
        <v>#NAME?</v>
      </c>
      <c r="M50" s="98" t="e" cm="1" vm="2">
        <f t="array" aca="1" ref="M50" ca="1">_FV(L50,"Similarity",TRUE)</f>
        <v>#VALUE!</v>
      </c>
      <c r="N50" s="97" t="e" cm="1">
        <f t="array" aca="1" ref="N50" ca="1">_xldudf_BOARDFLARE_FMATCH(D50,G50)</f>
        <v>#NAME?</v>
      </c>
      <c r="O50" s="98" t="e" cm="1" vm="2">
        <f t="array" aca="1" ref="O50" ca="1">_FV(N50,"Similarity",TRUE)</f>
        <v>#VALUE!</v>
      </c>
      <c r="AG50" s="96"/>
      <c r="AH50" s="96"/>
      <c r="AI50" s="96"/>
      <c r="AJ50" s="96"/>
      <c r="AK50" s="96"/>
    </row>
    <row r="51" spans="1:37" ht="12.9" hidden="1">
      <c r="A51" s="110" t="s">
        <v>234</v>
      </c>
      <c r="B51" s="110"/>
      <c r="C51" s="110" t="s">
        <v>70</v>
      </c>
      <c r="D51" s="110" t="s">
        <v>235</v>
      </c>
      <c r="E51" s="107" t="s">
        <v>17</v>
      </c>
      <c r="F51" s="110" t="s">
        <v>236</v>
      </c>
      <c r="G51" s="106"/>
      <c r="H51" s="107"/>
      <c r="I51" s="107" t="e" cm="1">
        <f t="array" aca="1" ref="I51" ca="1">_xldudf_BOARDFLARE_FMATCH(G51,D51)</f>
        <v>#NAME?</v>
      </c>
      <c r="J51" s="111" t="e" vm="1">
        <f t="shared" ca="1" si="3"/>
        <v>#VALUE!</v>
      </c>
      <c r="K51" s="109" t="str" cm="1">
        <f t="array" aca="1" ref="K51" ca="1">IF(
   SUMPRODUCT(--ISNUMBER(SEARCH(_xlfn.TEXTSPLIT(D51," "), G51))) / COUNTA(_xlfn.TEXTSPLIT(D51," ")) = 1,
   "Full Match",
   IF(
      SUMPRODUCT(--ISNUMBER(SEARCH(_xlfn.TEXTSPLIT(D51," "), G51))) / COUNTA(_xlfn.TEXTSPLIT(D51," ")) &gt; 0.5,
      "Partial Match",
      "No Match"
   )
)</f>
        <v>No Match</v>
      </c>
      <c r="L51" s="97" t="e" cm="1">
        <f t="array" aca="1" ref="L51" ca="1">_xldudf_BOARDFLARE_FMATCH(G51,D51)</f>
        <v>#NAME?</v>
      </c>
      <c r="M51" s="98" t="e" cm="1" vm="2">
        <f t="array" aca="1" ref="M51" ca="1">_FV(L51,"Similarity",TRUE)</f>
        <v>#VALUE!</v>
      </c>
      <c r="N51" s="97" t="e" cm="1">
        <f t="array" aca="1" ref="N51" ca="1">_xldudf_BOARDFLARE_FMATCH(D51,G51)</f>
        <v>#NAME?</v>
      </c>
      <c r="O51" s="98" t="e" cm="1" vm="2">
        <f t="array" aca="1" ref="O51" ca="1">_FV(N51,"Similarity",TRUE)</f>
        <v>#VALUE!</v>
      </c>
      <c r="AE51" s="96" t="s">
        <v>130</v>
      </c>
      <c r="AF51" s="96" t="s">
        <v>168</v>
      </c>
      <c r="AG51" s="124" t="b">
        <f>AE51=AF51</f>
        <v>0</v>
      </c>
      <c r="AH51" s="124" cm="1">
        <f t="array" aca="1" ref="AH51" ca="1">SUMPRODUCT(--ISNUMBER(SEARCH(_xlfn.TEXTSPLIT(D51," "), G51))) / COUNTA(_xlfn.TEXTSPLIT(D51," "))</f>
        <v>0</v>
      </c>
      <c r="AI51" s="124" t="str" cm="1">
        <f t="array" aca="1" ref="AI51" ca="1">IF(
   SUMPRODUCT(--ISNUMBER(SEARCH(_xlfn.TEXTSPLIT(D51," "), G51))) / COUNTA(_xlfn.TEXTSPLIT(D51," ")) = 1,
   "Full Match",
   IF(
      SUMPRODUCT(--ISNUMBER(SEARCH(_xlfn.TEXTSPLIT(D51," "), G51))) / COUNTA(_xlfn.TEXTSPLIT(D51," ")) &gt; 0.5,
      "Partial Match",
      "No Match"
   )
)</f>
        <v>No Match</v>
      </c>
    </row>
    <row r="52" spans="1:37" ht="12.9" hidden="1">
      <c r="A52" s="110" t="s">
        <v>237</v>
      </c>
      <c r="B52" s="110"/>
      <c r="C52" s="110" t="s">
        <v>98</v>
      </c>
      <c r="D52" s="131" t="s">
        <v>112</v>
      </c>
      <c r="E52" s="107" t="s">
        <v>17</v>
      </c>
      <c r="F52" s="110" t="s">
        <v>238</v>
      </c>
      <c r="G52" s="106" t="s">
        <v>112</v>
      </c>
      <c r="H52" s="107"/>
      <c r="I52" s="107" t="e" cm="1">
        <f t="array" aca="1" ref="I52" ca="1">_xldudf_BOARDFLARE_FMATCH(G52,D52)</f>
        <v>#NAME?</v>
      </c>
      <c r="J52" s="111" t="e" vm="1">
        <f t="shared" ca="1" si="3"/>
        <v>#VALUE!</v>
      </c>
      <c r="K52" s="109"/>
      <c r="L52" s="97" t="e" cm="1">
        <f t="array" aca="1" ref="L52" ca="1">_xldudf_BOARDFLARE_FMATCH(G52,D52)</f>
        <v>#NAME?</v>
      </c>
      <c r="M52" s="98" t="e" cm="1" vm="2">
        <f t="array" aca="1" ref="M52" ca="1">_FV(L52,"Similarity",TRUE)</f>
        <v>#VALUE!</v>
      </c>
      <c r="N52" s="97" t="e" cm="1">
        <f t="array" aca="1" ref="N52" ca="1">_xldudf_BOARDFLARE_FMATCH(D52,G52)</f>
        <v>#NAME?</v>
      </c>
      <c r="O52" s="98" t="e" cm="1" vm="2">
        <f t="array" aca="1" ref="O52" ca="1">_FV(N52,"Similarity",TRUE)</f>
        <v>#VALUE!</v>
      </c>
      <c r="AG52" s="96"/>
      <c r="AH52" s="96"/>
      <c r="AI52" s="96"/>
      <c r="AJ52" s="96"/>
      <c r="AK52" s="96" t="str" cm="1">
        <f t="array" aca="1" ref="AK52" ca="1">IF(
   SUMPRODUCT(--ISNUMBER(SEARCH(_xlfn.TEXTSPLIT(D52," "), G52))) / COUNTA(_xlfn.TEXTSPLIT(D52," ")) = 1,
   "Full Match",
   IF(
      SUMPRODUCT(--ISNUMBER(SEARCH(_xlfn.TEXTSPLIT(D52," "), G52))) / COUNTA(_xlfn.TEXTSPLIT(D52," ")) &gt; 0.5,
      "Partial Match",
      "No Match"
   )
)</f>
        <v>No Match</v>
      </c>
    </row>
    <row r="53" spans="1:37" ht="12.9" hidden="1">
      <c r="A53" s="110" t="s">
        <v>239</v>
      </c>
      <c r="B53" s="110"/>
      <c r="C53" s="110" t="s">
        <v>98</v>
      </c>
      <c r="D53" s="131"/>
      <c r="E53" s="107"/>
      <c r="F53" s="110" t="s">
        <v>240</v>
      </c>
      <c r="G53" s="106" t="s">
        <v>241</v>
      </c>
      <c r="H53" s="107"/>
      <c r="I53" s="107" t="e" cm="1">
        <f t="array" aca="1" ref="I53" ca="1">_xldudf_BOARDFLARE_FMATCH(G53,D53)</f>
        <v>#NAME?</v>
      </c>
      <c r="J53" s="111" t="e" vm="1">
        <f t="shared" ca="1" si="3"/>
        <v>#VALUE!</v>
      </c>
      <c r="K53" s="109"/>
      <c r="L53" s="97" t="e" cm="1">
        <f t="array" aca="1" ref="L53" ca="1">_xldudf_BOARDFLARE_FMATCH(G53,D53)</f>
        <v>#NAME?</v>
      </c>
      <c r="M53" s="98" t="e" cm="1" vm="2">
        <f t="array" aca="1" ref="M53" ca="1">_FV(L53,"Similarity",TRUE)</f>
        <v>#VALUE!</v>
      </c>
      <c r="N53" s="97" t="e" cm="1">
        <f t="array" aca="1" ref="N53" ca="1">_xldudf_BOARDFLARE_FMATCH(D53,G53)</f>
        <v>#NAME?</v>
      </c>
      <c r="O53" s="98" t="e" cm="1" vm="2">
        <f t="array" aca="1" ref="O53" ca="1">_FV(N53,"Similarity",TRUE)</f>
        <v>#VALUE!</v>
      </c>
      <c r="AG53" s="96"/>
      <c r="AH53" s="96"/>
      <c r="AI53" s="96"/>
      <c r="AJ53" s="96"/>
      <c r="AK53" s="96" t="str" cm="1">
        <f t="array" aca="1" ref="AK53" ca="1">IF(
   SUMPRODUCT(--ISNUMBER(SEARCH(_xlfn.TEXTSPLIT(D53," "), G53))) / COUNTA(_xlfn.TEXTSPLIT(D53," ")) = 1,
   "Full Match",
   IF(
      SUMPRODUCT(--ISNUMBER(SEARCH(_xlfn.TEXTSPLIT(D53," "), G53))) / COUNTA(_xlfn.TEXTSPLIT(D53," ")) &gt; 0.5,
      "Partial Match",
      "No Match"
   )
)</f>
        <v>No Match</v>
      </c>
    </row>
    <row r="54" spans="1:37" ht="12.9" hidden="1">
      <c r="A54" s="110" t="s">
        <v>242</v>
      </c>
      <c r="B54" s="110"/>
      <c r="C54" s="110" t="s">
        <v>70</v>
      </c>
      <c r="D54" s="107" t="s">
        <v>243</v>
      </c>
      <c r="E54" s="107" t="s">
        <v>16</v>
      </c>
      <c r="F54" s="110"/>
      <c r="G54" s="106" t="s">
        <v>244</v>
      </c>
      <c r="H54" s="107"/>
      <c r="I54" s="107" t="e" cm="1">
        <f t="array" aca="1" ref="I54" ca="1">_xldudf_BOARDFLARE_FMATCH(G54,D54)</f>
        <v>#NAME?</v>
      </c>
      <c r="J54" s="111" t="e" vm="1">
        <f t="shared" ca="1" si="3"/>
        <v>#VALUE!</v>
      </c>
      <c r="K54" s="109" t="str" cm="1">
        <f t="array" aca="1" ref="K54" ca="1">IF(
   SUMPRODUCT(--ISNUMBER(SEARCH(_xlfn.TEXTSPLIT(D54," "), G54))) / COUNTA(_xlfn.TEXTSPLIT(D54," ")) = 1,
   "Full Match",
   IF(
      SUMPRODUCT(--ISNUMBER(SEARCH(_xlfn.TEXTSPLIT(D54," "), G54))) / COUNTA(_xlfn.TEXTSPLIT(D54," ")) &gt; 0.5,
      "Partial Match",
      "No Match"
   )
)</f>
        <v>No Match</v>
      </c>
      <c r="L54" s="97" t="e" cm="1">
        <f t="array" aca="1" ref="L54" ca="1">_xldudf_BOARDFLARE_FMATCH(G54,D54)</f>
        <v>#NAME?</v>
      </c>
      <c r="M54" s="98" t="e" cm="1" vm="2">
        <f t="array" aca="1" ref="M54" ca="1">_FV(L54,"Similarity",TRUE)</f>
        <v>#VALUE!</v>
      </c>
      <c r="N54" s="97" t="e" cm="1">
        <f t="array" aca="1" ref="N54" ca="1">_xldudf_BOARDFLARE_FMATCH(D54,G54)</f>
        <v>#NAME?</v>
      </c>
      <c r="O54" s="98" t="e" cm="1" vm="2">
        <f t="array" aca="1" ref="O54" ca="1">_FV(N54,"Similarity",TRUE)</f>
        <v>#VALUE!</v>
      </c>
      <c r="AE54" s="96" t="s">
        <v>130</v>
      </c>
      <c r="AF54" s="96" t="s">
        <v>130</v>
      </c>
      <c r="AG54" s="124" t="b">
        <f t="shared" ref="AG54:AG62" si="5">AE54=AF54</f>
        <v>1</v>
      </c>
      <c r="AH54" s="124" cm="1">
        <f t="array" aca="1" ref="AH54" ca="1">SUMPRODUCT(--ISNUMBER(SEARCH(_xlfn.TEXTSPLIT(D54," "), G54))) / COUNTA(_xlfn.TEXTSPLIT(D54," "))</f>
        <v>0</v>
      </c>
      <c r="AI54" s="124" t="str" cm="1">
        <f t="array" aca="1" ref="AI54" ca="1">IF(
   SUMPRODUCT(--ISNUMBER(SEARCH(_xlfn.TEXTSPLIT(D54," "), G54))) / COUNTA(_xlfn.TEXTSPLIT(D54," ")) = 1,
   "Full Match",
   IF(
      SUMPRODUCT(--ISNUMBER(SEARCH(_xlfn.TEXTSPLIT(D54," "), G54))) / COUNTA(_xlfn.TEXTSPLIT(D54," ")) &gt; 0.5,
      "Partial Match",
      "No Match"
   )
)</f>
        <v>No Match</v>
      </c>
    </row>
    <row r="55" spans="1:37" ht="12.9" hidden="1">
      <c r="A55" s="110" t="s">
        <v>245</v>
      </c>
      <c r="B55" s="110"/>
      <c r="C55" s="110" t="s">
        <v>70</v>
      </c>
      <c r="D55" s="107"/>
      <c r="E55" s="107"/>
      <c r="F55" s="110"/>
      <c r="G55" s="106" t="s">
        <v>246</v>
      </c>
      <c r="H55" s="107"/>
      <c r="I55" s="107" t="e" cm="1">
        <f t="array" aca="1" ref="I55" ca="1">_xldudf_BOARDFLARE_FMATCH(G55,D55)</f>
        <v>#NAME?</v>
      </c>
      <c r="J55" s="111" t="e" vm="1">
        <f t="shared" ca="1" si="3"/>
        <v>#VALUE!</v>
      </c>
      <c r="K55" s="109" t="str" cm="1">
        <f t="array" aca="1" ref="K55" ca="1">IF(
   SUMPRODUCT(--ISNUMBER(SEARCH(_xlfn.TEXTSPLIT(D55," "), G55))) / COUNTA(_xlfn.TEXTSPLIT(D55," ")) = 1,
   "Full Match",
   IF(
      SUMPRODUCT(--ISNUMBER(SEARCH(_xlfn.TEXTSPLIT(D55," "), G55))) / COUNTA(_xlfn.TEXTSPLIT(D55," ")) &gt; 0.5,
      "Partial Match",
      "No Match"
   )
)</f>
        <v>No Match</v>
      </c>
      <c r="L55" s="97" t="e" cm="1">
        <f t="array" aca="1" ref="L55" ca="1">_xldudf_BOARDFLARE_FMATCH(G55,D55)</f>
        <v>#NAME?</v>
      </c>
      <c r="M55" s="98" t="e" cm="1" vm="2">
        <f t="array" aca="1" ref="M55" ca="1">_FV(L55,"Similarity",TRUE)</f>
        <v>#VALUE!</v>
      </c>
      <c r="N55" s="97" t="e" cm="1">
        <f t="array" aca="1" ref="N55" ca="1">_xldudf_BOARDFLARE_FMATCH(D55,G55)</f>
        <v>#NAME?</v>
      </c>
      <c r="O55" s="98" t="e" cm="1" vm="2">
        <f t="array" aca="1" ref="O55" ca="1">_FV(N55,"Similarity",TRUE)</f>
        <v>#VALUE!</v>
      </c>
      <c r="AF55" s="96" t="s">
        <v>130</v>
      </c>
      <c r="AG55" s="124" t="b">
        <f t="shared" si="5"/>
        <v>0</v>
      </c>
      <c r="AH55" s="124" cm="1">
        <f t="array" aca="1" ref="AH55" ca="1">SUMPRODUCT(--ISNUMBER(SEARCH(_xlfn.TEXTSPLIT(D55," "), G55))) / COUNTA(_xlfn.TEXTSPLIT(D55," "))</f>
        <v>0</v>
      </c>
      <c r="AI55" s="124" t="str" cm="1">
        <f t="array" aca="1" ref="AI55" ca="1">IF(
   SUMPRODUCT(--ISNUMBER(SEARCH(_xlfn.TEXTSPLIT(D55," "), G55))) / COUNTA(_xlfn.TEXTSPLIT(D55," ")) = 1,
   "Full Match",
   IF(
      SUMPRODUCT(--ISNUMBER(SEARCH(_xlfn.TEXTSPLIT(D55," "), G55))) / COUNTA(_xlfn.TEXTSPLIT(D55," ")) &gt; 0.5,
      "Partial Match",
      "No Match"
   )
)</f>
        <v>No Match</v>
      </c>
    </row>
    <row r="56" spans="1:37" ht="12.9" hidden="1">
      <c r="A56" s="110" t="s">
        <v>247</v>
      </c>
      <c r="B56" s="110"/>
      <c r="C56" s="110" t="s">
        <v>70</v>
      </c>
      <c r="D56" s="107"/>
      <c r="E56" s="107"/>
      <c r="F56" s="110" t="s">
        <v>248</v>
      </c>
      <c r="G56" s="106" t="s">
        <v>249</v>
      </c>
      <c r="H56" s="107"/>
      <c r="I56" s="107" t="e" cm="1">
        <f t="array" aca="1" ref="I56" ca="1">_xldudf_BOARDFLARE_FMATCH(G56,D56)</f>
        <v>#NAME?</v>
      </c>
      <c r="J56" s="111" t="e" vm="1">
        <f t="shared" ca="1" si="3"/>
        <v>#VALUE!</v>
      </c>
      <c r="K56" s="109" t="str" cm="1">
        <f t="array" aca="1" ref="K56" ca="1">IF(
   SUMPRODUCT(--ISNUMBER(SEARCH(_xlfn.TEXTSPLIT(D56," "), G56))) / COUNTA(_xlfn.TEXTSPLIT(D56," ")) = 1,
   "Full Match",
   IF(
      SUMPRODUCT(--ISNUMBER(SEARCH(_xlfn.TEXTSPLIT(D56," "), G56))) / COUNTA(_xlfn.TEXTSPLIT(D56," ")) &gt; 0.5,
      "Partial Match",
      "No Match"
   )
)</f>
        <v>No Match</v>
      </c>
      <c r="L56" s="97" t="e" cm="1">
        <f t="array" aca="1" ref="L56" ca="1">_xldudf_BOARDFLARE_FMATCH(G56,D56)</f>
        <v>#NAME?</v>
      </c>
      <c r="M56" s="98" t="e" cm="1" vm="2">
        <f t="array" aca="1" ref="M56" ca="1">_FV(L56,"Similarity",TRUE)</f>
        <v>#VALUE!</v>
      </c>
      <c r="N56" s="97" t="e" cm="1">
        <f t="array" aca="1" ref="N56" ca="1">_xldudf_BOARDFLARE_FMATCH(D56,G56)</f>
        <v>#NAME?</v>
      </c>
      <c r="O56" s="98" t="e" cm="1" vm="2">
        <f t="array" aca="1" ref="O56" ca="1">_FV(N56,"Similarity",TRUE)</f>
        <v>#VALUE!</v>
      </c>
      <c r="AF56" s="96" t="s">
        <v>130</v>
      </c>
      <c r="AG56" s="124" t="b">
        <f t="shared" si="5"/>
        <v>0</v>
      </c>
      <c r="AH56" s="124" cm="1">
        <f t="array" aca="1" ref="AH56" ca="1">SUMPRODUCT(--ISNUMBER(SEARCH(_xlfn.TEXTSPLIT(D56," "), G56))) / COUNTA(_xlfn.TEXTSPLIT(D56," "))</f>
        <v>0</v>
      </c>
      <c r="AI56" s="124" t="str" cm="1">
        <f t="array" aca="1" ref="AI56" ca="1">IF(
   SUMPRODUCT(--ISNUMBER(SEARCH(_xlfn.TEXTSPLIT(D56," "), G56))) / COUNTA(_xlfn.TEXTSPLIT(D56," ")) = 1,
   "Full Match",
   IF(
      SUMPRODUCT(--ISNUMBER(SEARCH(_xlfn.TEXTSPLIT(D56," "), G56))) / COUNTA(_xlfn.TEXTSPLIT(D56," ")) &gt; 0.5,
      "Partial Match",
      "No Match"
   )
)</f>
        <v>No Match</v>
      </c>
    </row>
    <row r="57" spans="1:37" ht="12.9" hidden="1">
      <c r="A57" s="110" t="s">
        <v>250</v>
      </c>
      <c r="B57" s="110"/>
      <c r="C57" s="110" t="s">
        <v>70</v>
      </c>
      <c r="D57" s="115" t="s">
        <v>251</v>
      </c>
      <c r="E57" s="107" t="s">
        <v>17</v>
      </c>
      <c r="F57" s="110" t="s">
        <v>252</v>
      </c>
      <c r="G57" s="106" t="s">
        <v>253</v>
      </c>
      <c r="H57" s="107"/>
      <c r="I57" s="107" t="e" cm="1">
        <f t="array" aca="1" ref="I57" ca="1">_xldudf_BOARDFLARE_FMATCH(G57,D57)</f>
        <v>#NAME?</v>
      </c>
      <c r="J57" s="111" t="e" vm="1">
        <f t="shared" ca="1" si="3"/>
        <v>#VALUE!</v>
      </c>
      <c r="K57" s="109" t="str" cm="1">
        <f t="array" aca="1" ref="K57" ca="1">IF(
   SUMPRODUCT(--ISNUMBER(SEARCH(_xlfn.TEXTSPLIT(D57," "), G57))) / COUNTA(_xlfn.TEXTSPLIT(D57," ")) = 1,
   "Full Match",
   IF(
      SUMPRODUCT(--ISNUMBER(SEARCH(_xlfn.TEXTSPLIT(D57," "), G57))) / COUNTA(_xlfn.TEXTSPLIT(D57," ")) &gt; 0.5,
      "Partial Match",
      "No Match"
   )
)</f>
        <v>No Match</v>
      </c>
      <c r="L57" s="97" t="e" cm="1">
        <f t="array" aca="1" ref="L57" ca="1">_xldudf_BOARDFLARE_FMATCH(G57,D57)</f>
        <v>#NAME?</v>
      </c>
      <c r="M57" s="98" t="e" cm="1" vm="2">
        <f t="array" aca="1" ref="M57" ca="1">_FV(L57,"Similarity",TRUE)</f>
        <v>#VALUE!</v>
      </c>
      <c r="N57" s="97" t="e" cm="1">
        <f t="array" aca="1" ref="N57" ca="1">_xldudf_BOARDFLARE_FMATCH(D57,G57)</f>
        <v>#NAME?</v>
      </c>
      <c r="O57" s="98" t="e" cm="1" vm="2">
        <f t="array" aca="1" ref="O57" ca="1">_FV(N57,"Similarity",TRUE)</f>
        <v>#VALUE!</v>
      </c>
      <c r="AE57" s="96" t="s">
        <v>130</v>
      </c>
      <c r="AF57" s="96" t="s">
        <v>130</v>
      </c>
      <c r="AG57" s="124" t="b">
        <f t="shared" si="5"/>
        <v>1</v>
      </c>
      <c r="AH57" s="124" cm="1">
        <f t="array" aca="1" ref="AH57" ca="1">SUMPRODUCT(--ISNUMBER(SEARCH(_xlfn.TEXTSPLIT(D57," "), G57))) / COUNTA(_xlfn.TEXTSPLIT(D57," "))</f>
        <v>0</v>
      </c>
      <c r="AI57" s="124" t="str" cm="1">
        <f t="array" aca="1" ref="AI57" ca="1">IF(
   SUMPRODUCT(--ISNUMBER(SEARCH(_xlfn.TEXTSPLIT(D57," "), G57))) / COUNTA(_xlfn.TEXTSPLIT(D57," ")) = 1,
   "Full Match",
   IF(
      SUMPRODUCT(--ISNUMBER(SEARCH(_xlfn.TEXTSPLIT(D57," "), G57))) / COUNTA(_xlfn.TEXTSPLIT(D57," ")) &gt; 0.5,
      "Partial Match",
      "No Match"
   )
)</f>
        <v>No Match</v>
      </c>
    </row>
    <row r="58" spans="1:37" ht="12.9" hidden="1">
      <c r="A58" s="110" t="s">
        <v>254</v>
      </c>
      <c r="B58" s="110"/>
      <c r="C58" s="110" t="s">
        <v>70</v>
      </c>
      <c r="D58" s="115" t="s">
        <v>255</v>
      </c>
      <c r="E58" s="107" t="s">
        <v>17</v>
      </c>
      <c r="F58" s="110" t="s">
        <v>256</v>
      </c>
      <c r="G58" s="106" t="s">
        <v>257</v>
      </c>
      <c r="H58" s="107"/>
      <c r="I58" s="107" t="e" cm="1">
        <f t="array" aca="1" ref="I58" ca="1">_xldudf_BOARDFLARE_FMATCH(G58,D58)</f>
        <v>#NAME?</v>
      </c>
      <c r="J58" s="111" t="e" vm="1">
        <f t="shared" ca="1" si="3"/>
        <v>#VALUE!</v>
      </c>
      <c r="K58" s="109" t="str" cm="1">
        <f t="array" aca="1" ref="K58" ca="1">IF(
   SUMPRODUCT(--ISNUMBER(SEARCH(_xlfn.TEXTSPLIT(D58," "), G58))) / COUNTA(_xlfn.TEXTSPLIT(D58," ")) = 1,
   "Full Match",
   IF(
      SUMPRODUCT(--ISNUMBER(SEARCH(_xlfn.TEXTSPLIT(D58," "), G58))) / COUNTA(_xlfn.TEXTSPLIT(D58," ")) &gt; 0.5,
      "Partial Match",
      "No Match"
   )
)</f>
        <v>No Match</v>
      </c>
      <c r="L58" s="97" t="e" cm="1">
        <f t="array" aca="1" ref="L58" ca="1">_xldudf_BOARDFLARE_FMATCH(G58,D58)</f>
        <v>#NAME?</v>
      </c>
      <c r="M58" s="98" t="e" cm="1" vm="2">
        <f t="array" aca="1" ref="M58" ca="1">_FV(L58,"Similarity",TRUE)</f>
        <v>#VALUE!</v>
      </c>
      <c r="N58" s="97" t="e" cm="1">
        <f t="array" aca="1" ref="N58" ca="1">_xldudf_BOARDFLARE_FMATCH(D58,G58)</f>
        <v>#NAME?</v>
      </c>
      <c r="O58" s="98" t="e" cm="1" vm="2">
        <f t="array" aca="1" ref="O58" ca="1">_FV(N58,"Similarity",TRUE)</f>
        <v>#VALUE!</v>
      </c>
      <c r="AE58" s="96" t="s">
        <v>130</v>
      </c>
      <c r="AF58" s="96" t="s">
        <v>130</v>
      </c>
      <c r="AG58" s="124" t="b">
        <f t="shared" si="5"/>
        <v>1</v>
      </c>
      <c r="AH58" s="124" cm="1">
        <f t="array" aca="1" ref="AH58" ca="1">SUMPRODUCT(--ISNUMBER(SEARCH(_xlfn.TEXTSPLIT(D58," "), G58))) / COUNTA(_xlfn.TEXTSPLIT(D58," "))</f>
        <v>0</v>
      </c>
      <c r="AI58" s="124" t="str" cm="1">
        <f t="array" aca="1" ref="AI58" ca="1">IF(
   SUMPRODUCT(--ISNUMBER(SEARCH(_xlfn.TEXTSPLIT(D58," "), G58))) / COUNTA(_xlfn.TEXTSPLIT(D58," ")) = 1,
   "Full Match",
   IF(
      SUMPRODUCT(--ISNUMBER(SEARCH(_xlfn.TEXTSPLIT(D58," "), G58))) / COUNTA(_xlfn.TEXTSPLIT(D58," ")) &gt; 0.5,
      "Partial Match",
      "No Match"
   )
)</f>
        <v>No Match</v>
      </c>
    </row>
    <row r="59" spans="1:37" ht="12.9" hidden="1">
      <c r="A59" s="110" t="s">
        <v>258</v>
      </c>
      <c r="B59" s="110"/>
      <c r="C59" s="110" t="s">
        <v>70</v>
      </c>
      <c r="D59" s="110" t="s">
        <v>259</v>
      </c>
      <c r="E59" s="107" t="s">
        <v>17</v>
      </c>
      <c r="F59" s="110" t="s">
        <v>260</v>
      </c>
      <c r="G59" s="106" t="s">
        <v>261</v>
      </c>
      <c r="H59" s="107"/>
      <c r="I59" s="107" t="e" cm="1">
        <f t="array" aca="1" ref="I59" ca="1">_xldudf_BOARDFLARE_FMATCH(G59,D59)</f>
        <v>#NAME?</v>
      </c>
      <c r="J59" s="111" t="e" vm="1">
        <f t="shared" ca="1" si="3"/>
        <v>#VALUE!</v>
      </c>
      <c r="K59" s="109" t="str" cm="1">
        <f t="array" aca="1" ref="K59" ca="1">IF(
   SUMPRODUCT(--ISNUMBER(SEARCH(_xlfn.TEXTSPLIT(D59," "), G59))) / COUNTA(_xlfn.TEXTSPLIT(D59," ")) = 1,
   "Full Match",
   IF(
      SUMPRODUCT(--ISNUMBER(SEARCH(_xlfn.TEXTSPLIT(D59," "), G59))) / COUNTA(_xlfn.TEXTSPLIT(D59," ")) &gt; 0.5,
      "Partial Match",
      "No Match"
   )
)</f>
        <v>No Match</v>
      </c>
      <c r="L59" s="97" t="e" cm="1">
        <f t="array" aca="1" ref="L59" ca="1">_xldudf_BOARDFLARE_FMATCH(G59,D59)</f>
        <v>#NAME?</v>
      </c>
      <c r="M59" s="98" t="e" cm="1" vm="2">
        <f t="array" aca="1" ref="M59" ca="1">_FV(L59,"Similarity",TRUE)</f>
        <v>#VALUE!</v>
      </c>
      <c r="N59" s="97" t="e" cm="1">
        <f t="array" aca="1" ref="N59" ca="1">_xldudf_BOARDFLARE_FMATCH(D59,G59)</f>
        <v>#NAME?</v>
      </c>
      <c r="O59" s="98" t="e" cm="1" vm="2">
        <f t="array" aca="1" ref="O59" ca="1">_FV(N59,"Similarity",TRUE)</f>
        <v>#VALUE!</v>
      </c>
      <c r="AE59" s="96" t="s">
        <v>130</v>
      </c>
      <c r="AF59" s="96" t="s">
        <v>130</v>
      </c>
      <c r="AG59" s="124" t="b">
        <f t="shared" si="5"/>
        <v>1</v>
      </c>
      <c r="AH59" s="124" cm="1">
        <f t="array" aca="1" ref="AH59" ca="1">SUMPRODUCT(--ISNUMBER(SEARCH(_xlfn.TEXTSPLIT(D59," "), G59))) / COUNTA(_xlfn.TEXTSPLIT(D59," "))</f>
        <v>0</v>
      </c>
      <c r="AI59" s="124" t="str" cm="1">
        <f t="array" aca="1" ref="AI59" ca="1">IF(
   SUMPRODUCT(--ISNUMBER(SEARCH(_xlfn.TEXTSPLIT(D59," "), G59))) / COUNTA(_xlfn.TEXTSPLIT(D59," ")) = 1,
   "Full Match",
   IF(
      SUMPRODUCT(--ISNUMBER(SEARCH(_xlfn.TEXTSPLIT(D59," "), G59))) / COUNTA(_xlfn.TEXTSPLIT(D59," ")) &gt; 0.5,
      "Partial Match",
      "No Match"
   )
)</f>
        <v>No Match</v>
      </c>
    </row>
    <row r="60" spans="1:37" ht="12.9" hidden="1">
      <c r="A60" s="110" t="s">
        <v>262</v>
      </c>
      <c r="B60" s="110"/>
      <c r="C60" s="110" t="s">
        <v>70</v>
      </c>
      <c r="D60" s="110" t="s">
        <v>263</v>
      </c>
      <c r="E60" s="107"/>
      <c r="F60" s="110" t="s">
        <v>264</v>
      </c>
      <c r="G60" s="106" t="s">
        <v>265</v>
      </c>
      <c r="H60" s="107"/>
      <c r="I60" s="107" t="e" cm="1">
        <f t="array" aca="1" ref="I60" ca="1">_xldudf_BOARDFLARE_FMATCH(G60,D60)</f>
        <v>#NAME?</v>
      </c>
      <c r="J60" s="111" t="e" vm="1">
        <f t="shared" ca="1" si="3"/>
        <v>#VALUE!</v>
      </c>
      <c r="K60" s="109" t="str" cm="1">
        <f t="array" aca="1" ref="K60" ca="1">IF(
   SUMPRODUCT(--ISNUMBER(SEARCH(_xlfn.TEXTSPLIT(D60," "), G60))) / COUNTA(_xlfn.TEXTSPLIT(D60," ")) = 1,
   "Full Match",
   IF(
      SUMPRODUCT(--ISNUMBER(SEARCH(_xlfn.TEXTSPLIT(D60," "), G60))) / COUNTA(_xlfn.TEXTSPLIT(D60," ")) &gt; 0.5,
      "Partial Match",
      "No Match"
   )
)</f>
        <v>No Match</v>
      </c>
      <c r="L60" s="97" t="e" cm="1">
        <f t="array" aca="1" ref="L60" ca="1">_xldudf_BOARDFLARE_FMATCH(G60,D60)</f>
        <v>#NAME?</v>
      </c>
      <c r="M60" s="98" t="e" cm="1" vm="2">
        <f t="array" aca="1" ref="M60" ca="1">_FV(L60,"Similarity",TRUE)</f>
        <v>#VALUE!</v>
      </c>
      <c r="N60" s="97" t="e" cm="1">
        <f t="array" aca="1" ref="N60" ca="1">_xldudf_BOARDFLARE_FMATCH(D60,G60)</f>
        <v>#NAME?</v>
      </c>
      <c r="O60" s="98" t="e" cm="1" vm="2">
        <f t="array" aca="1" ref="O60" ca="1">_FV(N60,"Similarity",TRUE)</f>
        <v>#VALUE!</v>
      </c>
      <c r="AE60" s="96" t="s">
        <v>131</v>
      </c>
      <c r="AF60" s="96" t="s">
        <v>130</v>
      </c>
      <c r="AG60" s="124" t="b">
        <f t="shared" si="5"/>
        <v>0</v>
      </c>
      <c r="AH60" s="124" cm="1">
        <f t="array" aca="1" ref="AH60" ca="1">SUMPRODUCT(--ISNUMBER(SEARCH(_xlfn.TEXTSPLIT(D60," "), G60))) / COUNTA(_xlfn.TEXTSPLIT(D60," "))</f>
        <v>0</v>
      </c>
      <c r="AI60" s="124" t="str" cm="1">
        <f t="array" aca="1" ref="AI60" ca="1">IF(
   SUMPRODUCT(--ISNUMBER(SEARCH(_xlfn.TEXTSPLIT(D60," "), G60))) / COUNTA(_xlfn.TEXTSPLIT(D60," ")) = 1,
   "Full Match",
   IF(
      SUMPRODUCT(--ISNUMBER(SEARCH(_xlfn.TEXTSPLIT(D60," "), G60))) / COUNTA(_xlfn.TEXTSPLIT(D60," ")) &gt; 0.5,
      "Partial Match",
      "No Match"
   )
)</f>
        <v>No Match</v>
      </c>
    </row>
    <row r="61" spans="1:37" ht="12.9" hidden="1">
      <c r="A61" s="110" t="s">
        <v>266</v>
      </c>
      <c r="B61" s="110"/>
      <c r="C61" s="110" t="s">
        <v>70</v>
      </c>
      <c r="D61" s="107" t="s">
        <v>267</v>
      </c>
      <c r="E61" s="107" t="s">
        <v>17</v>
      </c>
      <c r="F61" s="110" t="s">
        <v>268</v>
      </c>
      <c r="G61" s="106" t="s">
        <v>269</v>
      </c>
      <c r="H61" s="107"/>
      <c r="I61" s="107" t="e" cm="1">
        <f t="array" aca="1" ref="I61" ca="1">_xldudf_BOARDFLARE_FMATCH(G61,D61)</f>
        <v>#NAME?</v>
      </c>
      <c r="J61" s="111" t="e" vm="1">
        <f t="shared" ca="1" si="3"/>
        <v>#VALUE!</v>
      </c>
      <c r="K61" s="109" t="str" cm="1">
        <f t="array" aca="1" ref="K61" ca="1">IF(
   SUMPRODUCT(--ISNUMBER(SEARCH(_xlfn.TEXTSPLIT(D61," "), G61))) / COUNTA(_xlfn.TEXTSPLIT(D61," ")) = 1,
   "Full Match",
   IF(
      SUMPRODUCT(--ISNUMBER(SEARCH(_xlfn.TEXTSPLIT(D61," "), G61))) / COUNTA(_xlfn.TEXTSPLIT(D61," ")) &gt; 0.5,
      "Partial Match",
      "No Match"
   )
)</f>
        <v>No Match</v>
      </c>
      <c r="L61" s="97" t="e" cm="1">
        <f t="array" aca="1" ref="L61" ca="1">_xldudf_BOARDFLARE_FMATCH(G61,D61)</f>
        <v>#NAME?</v>
      </c>
      <c r="M61" s="98" t="e" cm="1" vm="2">
        <f t="array" aca="1" ref="M61" ca="1">_FV(L61,"Similarity",TRUE)</f>
        <v>#VALUE!</v>
      </c>
      <c r="N61" s="97" t="e" cm="1">
        <f t="array" aca="1" ref="N61" ca="1">_xldudf_BOARDFLARE_FMATCH(D61,G61)</f>
        <v>#NAME?</v>
      </c>
      <c r="O61" s="98" t="e" cm="1" vm="2">
        <f t="array" aca="1" ref="O61" ca="1">_FV(N61,"Similarity",TRUE)</f>
        <v>#VALUE!</v>
      </c>
      <c r="AE61" s="96" t="s">
        <v>130</v>
      </c>
      <c r="AF61" s="96" t="s">
        <v>130</v>
      </c>
      <c r="AG61" s="124" t="b">
        <f t="shared" si="5"/>
        <v>1</v>
      </c>
      <c r="AH61" s="124" cm="1">
        <f t="array" aca="1" ref="AH61" ca="1">SUMPRODUCT(--ISNUMBER(SEARCH(_xlfn.TEXTSPLIT(D61," "), G61))) / COUNTA(_xlfn.TEXTSPLIT(D61," "))</f>
        <v>0</v>
      </c>
      <c r="AI61" s="124" t="str" cm="1">
        <f t="array" aca="1" ref="AI61" ca="1">IF(
   SUMPRODUCT(--ISNUMBER(SEARCH(_xlfn.TEXTSPLIT(D61," "), G61))) / COUNTA(_xlfn.TEXTSPLIT(D61," ")) = 1,
   "Full Match",
   IF(
      SUMPRODUCT(--ISNUMBER(SEARCH(_xlfn.TEXTSPLIT(D61," "), G61))) / COUNTA(_xlfn.TEXTSPLIT(D61," ")) &gt; 0.5,
      "Partial Match",
      "No Match"
   )
)</f>
        <v>No Match</v>
      </c>
    </row>
    <row r="62" spans="1:37" ht="15" hidden="1">
      <c r="A62" s="110" t="s">
        <v>270</v>
      </c>
      <c r="B62" s="110"/>
      <c r="C62" s="110" t="s">
        <v>70</v>
      </c>
      <c r="D62" s="107"/>
      <c r="E62" s="107"/>
      <c r="F62" s="110" t="s">
        <v>271</v>
      </c>
      <c r="G62" s="128" t="s">
        <v>272</v>
      </c>
      <c r="H62" s="107"/>
      <c r="I62" s="107" t="e" cm="1">
        <f t="array" aca="1" ref="I62" ca="1">_xldudf_BOARDFLARE_FMATCH(G62,D62)</f>
        <v>#NAME?</v>
      </c>
      <c r="J62" s="111" t="e" vm="1">
        <f t="shared" ca="1" si="3"/>
        <v>#VALUE!</v>
      </c>
      <c r="K62" s="109" t="str" cm="1">
        <f t="array" aca="1" ref="K62" ca="1">IF(
   SUMPRODUCT(--ISNUMBER(SEARCH(_xlfn.TEXTSPLIT(D62," "), G62))) / COUNTA(_xlfn.TEXTSPLIT(D62," ")) = 1,
   "Full Match",
   IF(
      SUMPRODUCT(--ISNUMBER(SEARCH(_xlfn.TEXTSPLIT(D62," "), G62))) / COUNTA(_xlfn.TEXTSPLIT(D62," ")) &gt; 0.5,
      "Partial Match",
      "No Match"
   )
)</f>
        <v>No Match</v>
      </c>
      <c r="L62" s="97" t="e" cm="1">
        <f t="array" aca="1" ref="L62" ca="1">_xldudf_BOARDFLARE_FMATCH(G62,D62)</f>
        <v>#NAME?</v>
      </c>
      <c r="M62" s="98" t="e" cm="1" vm="2">
        <f t="array" aca="1" ref="M62" ca="1">_FV(L62,"Similarity",TRUE)</f>
        <v>#VALUE!</v>
      </c>
      <c r="N62" s="97" t="e" cm="1">
        <f t="array" aca="1" ref="N62" ca="1">_xldudf_BOARDFLARE_FMATCH(D62,G62)</f>
        <v>#NAME?</v>
      </c>
      <c r="O62" s="98" t="e" cm="1" vm="2">
        <f t="array" aca="1" ref="O62" ca="1">_FV(N62,"Similarity",TRUE)</f>
        <v>#VALUE!</v>
      </c>
      <c r="AF62" s="96" t="s">
        <v>130</v>
      </c>
      <c r="AG62" s="124" t="b">
        <f t="shared" si="5"/>
        <v>0</v>
      </c>
      <c r="AH62" s="124" cm="1">
        <f t="array" aca="1" ref="AH62" ca="1">SUMPRODUCT(--ISNUMBER(SEARCH(_xlfn.TEXTSPLIT(D62," "), G62))) / COUNTA(_xlfn.TEXTSPLIT(D62," "))</f>
        <v>0</v>
      </c>
      <c r="AI62" s="124" t="str" cm="1">
        <f t="array" aca="1" ref="AI62" ca="1">IF(
   SUMPRODUCT(--ISNUMBER(SEARCH(_xlfn.TEXTSPLIT(D62," "), G62))) / COUNTA(_xlfn.TEXTSPLIT(D62," ")) = 1,
   "Full Match",
   IF(
      SUMPRODUCT(--ISNUMBER(SEARCH(_xlfn.TEXTSPLIT(D62," "), G62))) / COUNTA(_xlfn.TEXTSPLIT(D62," ")) &gt; 0.5,
      "Partial Match",
      "No Match"
   )
)</f>
        <v>No Match</v>
      </c>
    </row>
    <row r="63" spans="1:37" ht="12.9" hidden="1">
      <c r="A63" s="110" t="s">
        <v>273</v>
      </c>
      <c r="B63" s="110"/>
      <c r="C63" s="110" t="s">
        <v>98</v>
      </c>
      <c r="D63" s="131" t="s">
        <v>274</v>
      </c>
      <c r="E63" s="107" t="s">
        <v>17</v>
      </c>
      <c r="F63" s="110" t="s">
        <v>275</v>
      </c>
      <c r="G63" s="106" t="s">
        <v>276</v>
      </c>
      <c r="H63" s="107"/>
      <c r="I63" s="107" t="e" cm="1">
        <f t="array" aca="1" ref="I63" ca="1">_xldudf_BOARDFLARE_FMATCH(G63,D63)</f>
        <v>#NAME?</v>
      </c>
      <c r="J63" s="111" t="e" vm="1">
        <f t="shared" ca="1" si="3"/>
        <v>#VALUE!</v>
      </c>
      <c r="K63" s="109"/>
      <c r="L63" s="97" t="e" cm="1">
        <f t="array" aca="1" ref="L63" ca="1">_xldudf_BOARDFLARE_FMATCH(G63,D63)</f>
        <v>#NAME?</v>
      </c>
      <c r="M63" s="98" t="e" cm="1" vm="2">
        <f t="array" aca="1" ref="M63" ca="1">_FV(L63,"Similarity",TRUE)</f>
        <v>#VALUE!</v>
      </c>
      <c r="N63" s="97" t="e" cm="1">
        <f t="array" aca="1" ref="N63" ca="1">_xldudf_BOARDFLARE_FMATCH(D63,G63)</f>
        <v>#NAME?</v>
      </c>
      <c r="O63" s="98" t="e" cm="1" vm="2">
        <f t="array" aca="1" ref="O63" ca="1">_FV(N63,"Similarity",TRUE)</f>
        <v>#VALUE!</v>
      </c>
      <c r="AG63" s="96"/>
      <c r="AH63" s="96"/>
      <c r="AI63" s="96"/>
      <c r="AJ63" s="96"/>
      <c r="AK63" s="96" t="str" cm="1">
        <f t="array" aca="1" ref="AK63" ca="1">IF(
   SUMPRODUCT(--ISNUMBER(SEARCH(_xlfn.TEXTSPLIT(D63," "), G63))) / COUNTA(_xlfn.TEXTSPLIT(D63," ")) = 1,
   "Full Match",
   IF(
      SUMPRODUCT(--ISNUMBER(SEARCH(_xlfn.TEXTSPLIT(D63," "), G63))) / COUNTA(_xlfn.TEXTSPLIT(D63," ")) &gt; 0.5,
      "Partial Match",
      "No Match"
   )
)</f>
        <v>No Match</v>
      </c>
    </row>
    <row r="64" spans="1:37" ht="398.6" hidden="1">
      <c r="A64" s="110" t="s">
        <v>277</v>
      </c>
      <c r="B64" s="110"/>
      <c r="C64" s="110" t="s">
        <v>69</v>
      </c>
      <c r="D64" s="121" t="s">
        <v>278</v>
      </c>
      <c r="E64" s="107" t="s">
        <v>17</v>
      </c>
      <c r="F64" s="110" t="s">
        <v>279</v>
      </c>
      <c r="G64" s="106" t="s">
        <v>280</v>
      </c>
      <c r="H64" s="107"/>
      <c r="I64" s="107" t="e" cm="1">
        <f t="array" aca="1" ref="I64" ca="1">_xldudf_BOARDFLARE_FMATCH(G64,D64)</f>
        <v>#NAME?</v>
      </c>
      <c r="J64" s="111" t="e" vm="1">
        <f t="shared" ca="1" si="3"/>
        <v>#VALUE!</v>
      </c>
      <c r="K64" s="109" t="str" cm="1">
        <f t="array" aca="1" ref="K64" ca="1">IF(
   SUMPRODUCT(--ISNUMBER(SEARCH(_xlfn.TEXTSPLIT(D64," "), G64))) / COUNTA(_xlfn.TEXTSPLIT(D64," ")) = 1,
   "Full Match",
   IF(
      SUMPRODUCT(--ISNUMBER(SEARCH(_xlfn.TEXTSPLIT(D64," "), G64))) / COUNTA(_xlfn.TEXTSPLIT(D64," ")) &gt; 0.5,
      "Partial Match",
      "No Match"
   )
)</f>
        <v>No Match</v>
      </c>
      <c r="L64" s="97" t="e" cm="1">
        <f t="array" aca="1" ref="L64" ca="1">_xldudf_BOARDFLARE_FMATCH(G64,D64)</f>
        <v>#NAME?</v>
      </c>
      <c r="M64" s="98" t="e" cm="1" vm="2">
        <f t="array" aca="1" ref="M64" ca="1">_FV(L64,"Similarity",TRUE)</f>
        <v>#VALUE!</v>
      </c>
      <c r="N64" s="97" t="e" cm="1">
        <f t="array" aca="1" ref="N64" ca="1">_xldudf_BOARDFLARE_FMATCH(D64,G64)</f>
        <v>#NAME?</v>
      </c>
      <c r="O64" s="98" t="e" cm="1" vm="2">
        <f t="array" aca="1" ref="O64" ca="1">_FV(N64,"Similarity",TRUE)</f>
        <v>#VALUE!</v>
      </c>
      <c r="Z64" s="124">
        <v>5</v>
      </c>
      <c r="AA64" s="124">
        <v>5</v>
      </c>
      <c r="AB64" s="124"/>
      <c r="AC64" s="96" t="str">
        <f>IF(EXACT(Table11[[#This Row],[Expected Value]],Table11[[#This Row],[AI Replaced Text]]),"Match","Not Match")</f>
        <v>Not Match</v>
      </c>
      <c r="AG64" s="96"/>
      <c r="AH64" s="96"/>
      <c r="AI64" s="96"/>
      <c r="AJ64" s="96"/>
      <c r="AK64" s="96"/>
    </row>
    <row r="65" spans="1:37" ht="385.75">
      <c r="A65" s="110" t="s">
        <v>281</v>
      </c>
      <c r="B65" s="110"/>
      <c r="C65" s="110" t="s">
        <v>68</v>
      </c>
      <c r="D65" s="121" t="s">
        <v>282</v>
      </c>
      <c r="E65" s="107" t="s">
        <v>18</v>
      </c>
      <c r="F65" s="110" t="s">
        <v>283</v>
      </c>
      <c r="G65" s="106" t="s">
        <v>284</v>
      </c>
      <c r="H65" s="107"/>
      <c r="I65" s="107" t="e" cm="1">
        <f t="array" aca="1" ref="I65" ca="1">_xldudf_BOARDFLARE_FMATCH(G65,D65)</f>
        <v>#NAME?</v>
      </c>
      <c r="J65" s="111" t="e" vm="1">
        <f t="shared" ca="1" si="3"/>
        <v>#VALUE!</v>
      </c>
      <c r="K65" s="109" t="str" cm="1">
        <f t="array" aca="1" ref="K65" ca="1">IF(
   SUMPRODUCT(--ISNUMBER(SEARCH(_xlfn.TEXTSPLIT(D65," "), G65))) / COUNTA(_xlfn.TEXTSPLIT(D65," ")) = 1,
   "Full Match",
   IF(
      SUMPRODUCT(--ISNUMBER(SEARCH(_xlfn.TEXTSPLIT(D65," "), G65))) / COUNTA(_xlfn.TEXTSPLIT(D65," ")) &gt; 0.5,
      "Partial Match",
      "No Match"
   )
)</f>
        <v>No Match</v>
      </c>
      <c r="L65" s="97" t="e" cm="1">
        <f t="array" aca="1" ref="L65" ca="1">_xldudf_BOARDFLARE_FMATCH(G65,D65)</f>
        <v>#NAME?</v>
      </c>
      <c r="M65" s="98" t="e" cm="1" vm="2">
        <f t="array" aca="1" ref="M65" ca="1">_FV(L65,"Similarity",TRUE)</f>
        <v>#VALUE!</v>
      </c>
      <c r="N65" s="97" t="e" cm="1">
        <f t="array" aca="1" ref="N65" ca="1">_xldudf_BOARDFLARE_FMATCH(D65,G65)</f>
        <v>#NAME?</v>
      </c>
      <c r="O65" s="98" t="e" cm="1" vm="2">
        <f t="array" aca="1" ref="O65" ca="1">_FV(N65,"Similarity",TRUE)</f>
        <v>#VALUE!</v>
      </c>
      <c r="Q65" s="124">
        <v>20</v>
      </c>
      <c r="R65" s="124">
        <v>5</v>
      </c>
      <c r="S65" s="96" t="s">
        <v>285</v>
      </c>
      <c r="T65" s="96" t="s">
        <v>168</v>
      </c>
      <c r="U65" s="96" t="s">
        <v>168</v>
      </c>
      <c r="V65" s="96" t="s">
        <v>168</v>
      </c>
      <c r="W65" s="96" t="s">
        <v>131</v>
      </c>
      <c r="X65" s="96" t="str" cm="1">
        <f t="array" aca="1" ref="X65" ca="1">IF(
   SUMPRODUCT(--ISNUMBER(SEARCH(_xlfn.TEXTSPLIT(D65," "), G65))) / COUNTA(_xlfn.TEXTSPLIT(D65," ")) = 1,
   "Full Match",
   IF(
      SUMPRODUCT(--ISNUMBER(SEARCH(_xlfn.TEXTSPLIT(D65," "), G65))) / COUNTA(_xlfn.TEXTSPLIT(D65," ")) &gt; 0.5,
      "Partial Match",
      "No Match"
   )
)</f>
        <v>No Match</v>
      </c>
      <c r="AG65" s="96"/>
      <c r="AH65" s="96"/>
      <c r="AI65" s="96"/>
      <c r="AJ65" s="96"/>
      <c r="AK65" s="96"/>
    </row>
    <row r="66" spans="1:37" ht="12.9" hidden="1">
      <c r="A66" s="110" t="s">
        <v>286</v>
      </c>
      <c r="B66" s="110"/>
      <c r="C66" s="110" t="s">
        <v>70</v>
      </c>
      <c r="D66" s="107" t="s">
        <v>287</v>
      </c>
      <c r="E66" s="107" t="s">
        <v>17</v>
      </c>
      <c r="F66" s="110" t="s">
        <v>288</v>
      </c>
      <c r="G66" s="106"/>
      <c r="H66" s="107"/>
      <c r="I66" s="107" t="e" cm="1">
        <f t="array" aca="1" ref="I66" ca="1">_xldudf_BOARDFLARE_FMATCH(G66,D66)</f>
        <v>#NAME?</v>
      </c>
      <c r="J66" s="111" t="e" vm="1">
        <f t="shared" ca="1" si="3"/>
        <v>#VALUE!</v>
      </c>
      <c r="K66" s="109" t="str" cm="1">
        <f t="array" aca="1" ref="K66" ca="1">IF(
   SUMPRODUCT(--ISNUMBER(SEARCH(_xlfn.TEXTSPLIT(D66," "), G66))) / COUNTA(_xlfn.TEXTSPLIT(D66," ")) = 1,
   "Full Match",
   IF(
      SUMPRODUCT(--ISNUMBER(SEARCH(_xlfn.TEXTSPLIT(D66," "), G66))) / COUNTA(_xlfn.TEXTSPLIT(D66," ")) &gt; 0.5,
      "Partial Match",
      "No Match"
   )
)</f>
        <v>No Match</v>
      </c>
      <c r="L66" s="97" t="e" cm="1">
        <f t="array" aca="1" ref="L66" ca="1">_xldudf_BOARDFLARE_FMATCH(G66,D66)</f>
        <v>#NAME?</v>
      </c>
      <c r="M66" s="98" t="e" cm="1" vm="2">
        <f t="array" aca="1" ref="M66" ca="1">_FV(L66,"Similarity",TRUE)</f>
        <v>#VALUE!</v>
      </c>
      <c r="N66" s="97" t="e" cm="1">
        <f t="array" aca="1" ref="N66" ca="1">_xldudf_BOARDFLARE_FMATCH(D66,G66)</f>
        <v>#NAME?</v>
      </c>
      <c r="O66" s="98" t="e" cm="1" vm="2">
        <f t="array" aca="1" ref="O66" ca="1">_FV(N66,"Similarity",TRUE)</f>
        <v>#VALUE!</v>
      </c>
      <c r="AE66" s="96" t="s">
        <v>130</v>
      </c>
      <c r="AF66" s="96" t="s">
        <v>168</v>
      </c>
      <c r="AG66" s="124" t="b">
        <f t="shared" ref="AG66:AG79" si="6">AE66=AF66</f>
        <v>0</v>
      </c>
      <c r="AH66" s="124" cm="1">
        <f t="array" aca="1" ref="AH66" ca="1">SUMPRODUCT(--ISNUMBER(SEARCH(_xlfn.TEXTSPLIT(D66," "), G66))) / COUNTA(_xlfn.TEXTSPLIT(D66," "))</f>
        <v>0</v>
      </c>
      <c r="AI66" s="124" t="str" cm="1">
        <f t="array" aca="1" ref="AI66" ca="1">IF(
   SUMPRODUCT(--ISNUMBER(SEARCH(_xlfn.TEXTSPLIT(D66," "), G66))) / COUNTA(_xlfn.TEXTSPLIT(D66," ")) = 1,
   "Full Match",
   IF(
      SUMPRODUCT(--ISNUMBER(SEARCH(_xlfn.TEXTSPLIT(D66," "), G66))) / COUNTA(_xlfn.TEXTSPLIT(D66," ")) &gt; 0.5,
      "Partial Match",
      "No Match"
   )
)</f>
        <v>No Match</v>
      </c>
    </row>
    <row r="67" spans="1:37" ht="12.9" hidden="1">
      <c r="A67" s="110" t="s">
        <v>289</v>
      </c>
      <c r="B67" s="110"/>
      <c r="C67" s="110" t="s">
        <v>70</v>
      </c>
      <c r="D67" s="107" t="s">
        <v>290</v>
      </c>
      <c r="E67" s="107" t="s">
        <v>17</v>
      </c>
      <c r="F67" s="110" t="s">
        <v>291</v>
      </c>
      <c r="G67" s="106" t="s">
        <v>292</v>
      </c>
      <c r="H67" s="107"/>
      <c r="I67" s="107" t="e" cm="1">
        <f t="array" aca="1" ref="I67" ca="1">_xldudf_BOARDFLARE_FMATCH(G67,D67)</f>
        <v>#NAME?</v>
      </c>
      <c r="J67" s="111" t="e" vm="1">
        <f t="shared" ref="J67:J98" ca="1" si="7">IF(M67&gt;O67, M67,O67)</f>
        <v>#VALUE!</v>
      </c>
      <c r="K67" s="109" t="str" cm="1">
        <f t="array" aca="1" ref="K67" ca="1">IF(
   SUMPRODUCT(--ISNUMBER(SEARCH(_xlfn.TEXTSPLIT(D67," "), G67))) / COUNTA(_xlfn.TEXTSPLIT(D67," ")) = 1,
   "Full Match",
   IF(
      SUMPRODUCT(--ISNUMBER(SEARCH(_xlfn.TEXTSPLIT(D67," "), G67))) / COUNTA(_xlfn.TEXTSPLIT(D67," ")) &gt; 0.5,
      "Partial Match",
      "No Match"
   )
)</f>
        <v>No Match</v>
      </c>
      <c r="L67" s="97" t="e" cm="1">
        <f t="array" aca="1" ref="L67" ca="1">_xldudf_BOARDFLARE_FMATCH(G67,D67)</f>
        <v>#NAME?</v>
      </c>
      <c r="M67" s="98" t="e" cm="1" vm="2">
        <f t="array" aca="1" ref="M67" ca="1">_FV(L67,"Similarity",TRUE)</f>
        <v>#VALUE!</v>
      </c>
      <c r="N67" s="97" t="e" cm="1">
        <f t="array" aca="1" ref="N67" ca="1">_xldudf_BOARDFLARE_FMATCH(D67,G67)</f>
        <v>#NAME?</v>
      </c>
      <c r="O67" s="98" t="e" cm="1" vm="2">
        <f t="array" aca="1" ref="O67" ca="1">_FV(N67,"Similarity",TRUE)</f>
        <v>#VALUE!</v>
      </c>
      <c r="AE67" s="96" t="s">
        <v>130</v>
      </c>
      <c r="AF67" s="96" t="s">
        <v>130</v>
      </c>
      <c r="AG67" s="124" t="b">
        <f t="shared" si="6"/>
        <v>1</v>
      </c>
      <c r="AH67" s="124" cm="1">
        <f t="array" aca="1" ref="AH67" ca="1">SUMPRODUCT(--ISNUMBER(SEARCH(_xlfn.TEXTSPLIT(D67," "), G67))) / COUNTA(_xlfn.TEXTSPLIT(D67," "))</f>
        <v>0</v>
      </c>
      <c r="AI67" s="124" t="str" cm="1">
        <f t="array" aca="1" ref="AI67" ca="1">IF(
   SUMPRODUCT(--ISNUMBER(SEARCH(_xlfn.TEXTSPLIT(D67," "), G67))) / COUNTA(_xlfn.TEXTSPLIT(D67," ")) = 1,
   "Full Match",
   IF(
      SUMPRODUCT(--ISNUMBER(SEARCH(_xlfn.TEXTSPLIT(D67," "), G67))) / COUNTA(_xlfn.TEXTSPLIT(D67," ")) &gt; 0.5,
      "Partial Match",
      "No Match"
   )
)</f>
        <v>No Match</v>
      </c>
    </row>
    <row r="68" spans="1:37" ht="12.9" hidden="1">
      <c r="A68" s="110" t="s">
        <v>293</v>
      </c>
      <c r="B68" s="110"/>
      <c r="C68" s="110" t="s">
        <v>70</v>
      </c>
      <c r="D68" s="110" t="s">
        <v>294</v>
      </c>
      <c r="E68" s="107" t="s">
        <v>17</v>
      </c>
      <c r="F68" s="110" t="s">
        <v>295</v>
      </c>
      <c r="G68" s="106" t="s">
        <v>294</v>
      </c>
      <c r="H68" s="107"/>
      <c r="I68" s="107" t="e" cm="1">
        <f t="array" aca="1" ref="I68" ca="1">_xldudf_BOARDFLARE_FMATCH(G68,D68)</f>
        <v>#NAME?</v>
      </c>
      <c r="J68" s="111" t="e" vm="1">
        <f t="shared" ca="1" si="7"/>
        <v>#VALUE!</v>
      </c>
      <c r="K68" s="109" t="str" cm="1">
        <f t="array" aca="1" ref="K68" ca="1">IF(
   SUMPRODUCT(--ISNUMBER(SEARCH(_xlfn.TEXTSPLIT(D68," "), G68))) / COUNTA(_xlfn.TEXTSPLIT(D68," ")) = 1,
   "Full Match",
   IF(
      SUMPRODUCT(--ISNUMBER(SEARCH(_xlfn.TEXTSPLIT(D68," "), G68))) / COUNTA(_xlfn.TEXTSPLIT(D68," ")) &gt; 0.5,
      "Partial Match",
      "No Match"
   )
)</f>
        <v>No Match</v>
      </c>
      <c r="L68" s="97" t="e" cm="1">
        <f t="array" aca="1" ref="L68" ca="1">_xldudf_BOARDFLARE_FMATCH(G68,D68)</f>
        <v>#NAME?</v>
      </c>
      <c r="M68" s="98" t="e" cm="1" vm="2">
        <f t="array" aca="1" ref="M68" ca="1">_FV(L68,"Similarity",TRUE)</f>
        <v>#VALUE!</v>
      </c>
      <c r="N68" s="97" t="e" cm="1">
        <f t="array" aca="1" ref="N68" ca="1">_xldudf_BOARDFLARE_FMATCH(D68,G68)</f>
        <v>#NAME?</v>
      </c>
      <c r="O68" s="98" t="e" cm="1" vm="2">
        <f t="array" aca="1" ref="O68" ca="1">_FV(N68,"Similarity",TRUE)</f>
        <v>#VALUE!</v>
      </c>
      <c r="AE68" s="96" t="s">
        <v>130</v>
      </c>
      <c r="AF68" s="96" t="s">
        <v>130</v>
      </c>
      <c r="AG68" s="124" t="b">
        <f t="shared" si="6"/>
        <v>1</v>
      </c>
      <c r="AH68" s="124" cm="1">
        <f t="array" aca="1" ref="AH68" ca="1">SUMPRODUCT(--ISNUMBER(SEARCH(_xlfn.TEXTSPLIT(D68," "), G68))) / COUNTA(_xlfn.TEXTSPLIT(D68," "))</f>
        <v>0</v>
      </c>
      <c r="AI68" s="124" t="str" cm="1">
        <f t="array" aca="1" ref="AI68" ca="1">IF(
   SUMPRODUCT(--ISNUMBER(SEARCH(_xlfn.TEXTSPLIT(D68," "), G68))) / COUNTA(_xlfn.TEXTSPLIT(D68," ")) = 1,
   "Full Match",
   IF(
      SUMPRODUCT(--ISNUMBER(SEARCH(_xlfn.TEXTSPLIT(D68," "), G68))) / COUNTA(_xlfn.TEXTSPLIT(D68," ")) &gt; 0.5,
      "Partial Match",
      "No Match"
   )
)</f>
        <v>No Match</v>
      </c>
    </row>
    <row r="69" spans="1:37" ht="12.9" hidden="1">
      <c r="A69" s="110" t="s">
        <v>296</v>
      </c>
      <c r="B69" s="110"/>
      <c r="C69" s="110" t="s">
        <v>70</v>
      </c>
      <c r="D69" s="107" t="s">
        <v>297</v>
      </c>
      <c r="E69" s="107" t="s">
        <v>17</v>
      </c>
      <c r="F69" s="110" t="s">
        <v>298</v>
      </c>
      <c r="G69" s="106" t="s">
        <v>299</v>
      </c>
      <c r="H69" s="107"/>
      <c r="I69" s="107" t="e" cm="1">
        <f t="array" aca="1" ref="I69" ca="1">_xldudf_BOARDFLARE_FMATCH(G69,D69)</f>
        <v>#NAME?</v>
      </c>
      <c r="J69" s="111" t="e" vm="1">
        <f t="shared" ca="1" si="7"/>
        <v>#VALUE!</v>
      </c>
      <c r="K69" s="109" t="str" cm="1">
        <f t="array" aca="1" ref="K69" ca="1">IF(
   SUMPRODUCT(--ISNUMBER(SEARCH(_xlfn.TEXTSPLIT(D69," "), G69))) / COUNTA(_xlfn.TEXTSPLIT(D69," ")) = 1,
   "Full Match",
   IF(
      SUMPRODUCT(--ISNUMBER(SEARCH(_xlfn.TEXTSPLIT(D69," "), G69))) / COUNTA(_xlfn.TEXTSPLIT(D69," ")) &gt; 0.5,
      "Partial Match",
      "No Match"
   )
)</f>
        <v>No Match</v>
      </c>
      <c r="L69" s="97" t="e" cm="1">
        <f t="array" aca="1" ref="L69" ca="1">_xldudf_BOARDFLARE_FMATCH(G69,D69)</f>
        <v>#NAME?</v>
      </c>
      <c r="M69" s="98" t="e" cm="1" vm="2">
        <f t="array" aca="1" ref="M69" ca="1">_FV(L69,"Similarity",TRUE)</f>
        <v>#VALUE!</v>
      </c>
      <c r="N69" s="97" t="e" cm="1">
        <f t="array" aca="1" ref="N69" ca="1">_xldudf_BOARDFLARE_FMATCH(D69,G69)</f>
        <v>#NAME?</v>
      </c>
      <c r="O69" s="98" t="e" cm="1" vm="2">
        <f t="array" aca="1" ref="O69" ca="1">_FV(N69,"Similarity",TRUE)</f>
        <v>#VALUE!</v>
      </c>
      <c r="AE69" s="96" t="s">
        <v>130</v>
      </c>
      <c r="AF69" s="96" t="s">
        <v>130</v>
      </c>
      <c r="AG69" s="124" t="b">
        <f t="shared" si="6"/>
        <v>1</v>
      </c>
      <c r="AH69" s="124" cm="1">
        <f t="array" aca="1" ref="AH69" ca="1">SUMPRODUCT(--ISNUMBER(SEARCH(_xlfn.TEXTSPLIT(D69," "), G69))) / COUNTA(_xlfn.TEXTSPLIT(D69," "))</f>
        <v>0</v>
      </c>
      <c r="AI69" s="124" t="str" cm="1">
        <f t="array" aca="1" ref="AI69" ca="1">IF(
   SUMPRODUCT(--ISNUMBER(SEARCH(_xlfn.TEXTSPLIT(D69," "), G69))) / COUNTA(_xlfn.TEXTSPLIT(D69," ")) = 1,
   "Full Match",
   IF(
      SUMPRODUCT(--ISNUMBER(SEARCH(_xlfn.TEXTSPLIT(D69," "), G69))) / COUNTA(_xlfn.TEXTSPLIT(D69," ")) &gt; 0.5,
      "Partial Match",
      "No Match"
   )
)</f>
        <v>No Match</v>
      </c>
    </row>
    <row r="70" spans="1:37" ht="12.9" hidden="1">
      <c r="A70" s="110" t="s">
        <v>300</v>
      </c>
      <c r="B70" s="110"/>
      <c r="C70" s="110" t="s">
        <v>70</v>
      </c>
      <c r="D70" s="115" t="s">
        <v>301</v>
      </c>
      <c r="E70" s="107" t="s">
        <v>17</v>
      </c>
      <c r="F70" s="110" t="s">
        <v>302</v>
      </c>
      <c r="G70" s="106" t="s">
        <v>303</v>
      </c>
      <c r="H70" s="107"/>
      <c r="I70" s="107" t="e" cm="1">
        <f t="array" aca="1" ref="I70" ca="1">_xldudf_BOARDFLARE_FMATCH(G70,D70)</f>
        <v>#NAME?</v>
      </c>
      <c r="J70" s="111" t="e" vm="1">
        <f t="shared" ca="1" si="7"/>
        <v>#VALUE!</v>
      </c>
      <c r="K70" s="109" t="str" cm="1">
        <f t="array" aca="1" ref="K70" ca="1">IF(
   SUMPRODUCT(--ISNUMBER(SEARCH(_xlfn.TEXTSPLIT(D70," "), G70))) / COUNTA(_xlfn.TEXTSPLIT(D70," ")) = 1,
   "Full Match",
   IF(
      SUMPRODUCT(--ISNUMBER(SEARCH(_xlfn.TEXTSPLIT(D70," "), G70))) / COUNTA(_xlfn.TEXTSPLIT(D70," ")) &gt; 0.5,
      "Partial Match",
      "No Match"
   )
)</f>
        <v>No Match</v>
      </c>
      <c r="L70" s="97" t="e" cm="1">
        <f t="array" aca="1" ref="L70" ca="1">_xldudf_BOARDFLARE_FMATCH(G70,D70)</f>
        <v>#NAME?</v>
      </c>
      <c r="M70" s="98" t="e" cm="1" vm="2">
        <f t="array" aca="1" ref="M70" ca="1">_FV(L70,"Similarity",TRUE)</f>
        <v>#VALUE!</v>
      </c>
      <c r="N70" s="97" t="e" cm="1">
        <f t="array" aca="1" ref="N70" ca="1">_xldudf_BOARDFLARE_FMATCH(D70,G70)</f>
        <v>#NAME?</v>
      </c>
      <c r="O70" s="98" t="e" cm="1" vm="2">
        <f t="array" aca="1" ref="O70" ca="1">_FV(N70,"Similarity",TRUE)</f>
        <v>#VALUE!</v>
      </c>
      <c r="AE70" s="96" t="s">
        <v>130</v>
      </c>
      <c r="AF70" s="96" t="s">
        <v>130</v>
      </c>
      <c r="AG70" s="124" t="b">
        <f t="shared" si="6"/>
        <v>1</v>
      </c>
      <c r="AH70" s="124" cm="1">
        <f t="array" aca="1" ref="AH70" ca="1">SUMPRODUCT(--ISNUMBER(SEARCH(_xlfn.TEXTSPLIT(D70," "), G70))) / COUNTA(_xlfn.TEXTSPLIT(D70," "))</f>
        <v>0</v>
      </c>
      <c r="AI70" s="124" t="str" cm="1">
        <f t="array" aca="1" ref="AI70" ca="1">IF(
   SUMPRODUCT(--ISNUMBER(SEARCH(_xlfn.TEXTSPLIT(D70," "), G70))) / COUNTA(_xlfn.TEXTSPLIT(D70," ")) = 1,
   "Full Match",
   IF(
      SUMPRODUCT(--ISNUMBER(SEARCH(_xlfn.TEXTSPLIT(D70," "), G70))) / COUNTA(_xlfn.TEXTSPLIT(D70," ")) &gt; 0.5,
      "Partial Match",
      "No Match"
   )
)</f>
        <v>No Match</v>
      </c>
    </row>
    <row r="71" spans="1:37" ht="372.9" hidden="1">
      <c r="A71" s="110" t="s">
        <v>304</v>
      </c>
      <c r="B71" s="110"/>
      <c r="C71" s="110" t="s">
        <v>70</v>
      </c>
      <c r="D71" s="121" t="s">
        <v>305</v>
      </c>
      <c r="E71" s="107" t="s">
        <v>17</v>
      </c>
      <c r="F71" s="110" t="s">
        <v>306</v>
      </c>
      <c r="G71" s="106" t="s">
        <v>307</v>
      </c>
      <c r="H71" s="107"/>
      <c r="I71" s="107" t="e" cm="1">
        <f t="array" aca="1" ref="I71" ca="1">_xldudf_BOARDFLARE_FMATCH(G71,D71)</f>
        <v>#NAME?</v>
      </c>
      <c r="J71" s="111" t="e" vm="1">
        <f t="shared" ca="1" si="7"/>
        <v>#VALUE!</v>
      </c>
      <c r="K71" s="109" t="str" cm="1">
        <f t="array" aca="1" ref="K71" ca="1">IF(
   SUMPRODUCT(--ISNUMBER(SEARCH(_xlfn.TEXTSPLIT(D71," "), G71))) / COUNTA(_xlfn.TEXTSPLIT(D71," ")) = 1,
   "Full Match",
   IF(
      SUMPRODUCT(--ISNUMBER(SEARCH(_xlfn.TEXTSPLIT(D71," "), G71))) / COUNTA(_xlfn.TEXTSPLIT(D71," ")) &gt; 0.5,
      "Partial Match",
      "No Match"
   )
)</f>
        <v>No Match</v>
      </c>
      <c r="L71" s="97" t="e" cm="1">
        <f t="array" aca="1" ref="L71" ca="1">_xldudf_BOARDFLARE_FMATCH(G71,D71)</f>
        <v>#NAME?</v>
      </c>
      <c r="M71" s="98" t="e" cm="1" vm="2">
        <f t="array" aca="1" ref="M71" ca="1">_FV(L71,"Similarity",TRUE)</f>
        <v>#VALUE!</v>
      </c>
      <c r="N71" s="97" t="e" cm="1">
        <f t="array" aca="1" ref="N71" ca="1">_xldudf_BOARDFLARE_FMATCH(D71,G71)</f>
        <v>#NAME?</v>
      </c>
      <c r="O71" s="98" t="e" cm="1" vm="2">
        <f t="array" aca="1" ref="O71" ca="1">_FV(N71,"Similarity",TRUE)</f>
        <v>#VALUE!</v>
      </c>
      <c r="AE71" s="96" t="s">
        <v>130</v>
      </c>
      <c r="AF71" s="96" t="s">
        <v>130</v>
      </c>
      <c r="AG71" s="124" t="b">
        <f t="shared" si="6"/>
        <v>1</v>
      </c>
      <c r="AH71" s="124" cm="1">
        <f t="array" aca="1" ref="AH71" ca="1">SUMPRODUCT(--ISNUMBER(SEARCH(_xlfn.TEXTSPLIT(D71," "), G71))) / COUNTA(_xlfn.TEXTSPLIT(D71," "))</f>
        <v>0</v>
      </c>
      <c r="AI71" s="124" t="str" cm="1">
        <f t="array" aca="1" ref="AI71" ca="1">IF(
   SUMPRODUCT(--ISNUMBER(SEARCH(_xlfn.TEXTSPLIT(D71," "), G71))) / COUNTA(_xlfn.TEXTSPLIT(D71," ")) = 1,
   "Full Match",
   IF(
      SUMPRODUCT(--ISNUMBER(SEARCH(_xlfn.TEXTSPLIT(D71," "), G71))) / COUNTA(_xlfn.TEXTSPLIT(D71," ")) &gt; 0.5,
      "Partial Match",
      "No Match"
   )
)</f>
        <v>No Match</v>
      </c>
    </row>
    <row r="72" spans="1:37" ht="12.9" hidden="1">
      <c r="A72" s="110" t="s">
        <v>308</v>
      </c>
      <c r="B72" s="110"/>
      <c r="C72" s="110" t="s">
        <v>70</v>
      </c>
      <c r="D72" s="107" t="s">
        <v>309</v>
      </c>
      <c r="E72" s="107" t="s">
        <v>17</v>
      </c>
      <c r="F72" s="110" t="s">
        <v>310</v>
      </c>
      <c r="G72" s="106" t="s">
        <v>311</v>
      </c>
      <c r="H72" s="107"/>
      <c r="I72" s="107" t="e" cm="1">
        <f t="array" aca="1" ref="I72" ca="1">_xldudf_BOARDFLARE_FMATCH(G72,D72)</f>
        <v>#NAME?</v>
      </c>
      <c r="J72" s="111" t="e" vm="1">
        <f t="shared" ca="1" si="7"/>
        <v>#VALUE!</v>
      </c>
      <c r="K72" s="109" t="str" cm="1">
        <f t="array" aca="1" ref="K72" ca="1">IF(
   SUMPRODUCT(--ISNUMBER(SEARCH(_xlfn.TEXTSPLIT(D72," "), G72))) / COUNTA(_xlfn.TEXTSPLIT(D72," ")) = 1,
   "Full Match",
   IF(
      SUMPRODUCT(--ISNUMBER(SEARCH(_xlfn.TEXTSPLIT(D72," "), G72))) / COUNTA(_xlfn.TEXTSPLIT(D72," ")) &gt; 0.5,
      "Partial Match",
      "No Match"
   )
)</f>
        <v>No Match</v>
      </c>
      <c r="L72" s="97" t="e" cm="1">
        <f t="array" aca="1" ref="L72" ca="1">_xldudf_BOARDFLARE_FMATCH(G72,D72)</f>
        <v>#NAME?</v>
      </c>
      <c r="M72" s="98" t="e" cm="1" vm="2">
        <f t="array" aca="1" ref="M72" ca="1">_FV(L72,"Similarity",TRUE)</f>
        <v>#VALUE!</v>
      </c>
      <c r="N72" s="97" t="e" cm="1">
        <f t="array" aca="1" ref="N72" ca="1">_xldudf_BOARDFLARE_FMATCH(D72,G72)</f>
        <v>#NAME?</v>
      </c>
      <c r="O72" s="98" t="e" cm="1" vm="2">
        <f t="array" aca="1" ref="O72" ca="1">_FV(N72,"Similarity",TRUE)</f>
        <v>#VALUE!</v>
      </c>
      <c r="AE72" s="96" t="s">
        <v>130</v>
      </c>
      <c r="AF72" s="96" t="s">
        <v>130</v>
      </c>
      <c r="AG72" s="124" t="b">
        <f t="shared" si="6"/>
        <v>1</v>
      </c>
      <c r="AH72" s="124" cm="1">
        <f t="array" aca="1" ref="AH72" ca="1">SUMPRODUCT(--ISNUMBER(SEARCH(_xlfn.TEXTSPLIT(D72," "), G72))) / COUNTA(_xlfn.TEXTSPLIT(D72," "))</f>
        <v>0</v>
      </c>
      <c r="AI72" s="124" t="str" cm="1">
        <f t="array" aca="1" ref="AI72" ca="1">IF(
   SUMPRODUCT(--ISNUMBER(SEARCH(_xlfn.TEXTSPLIT(D72," "), G72))) / COUNTA(_xlfn.TEXTSPLIT(D72," ")) = 1,
   "Full Match",
   IF(
      SUMPRODUCT(--ISNUMBER(SEARCH(_xlfn.TEXTSPLIT(D72," "), G72))) / COUNTA(_xlfn.TEXTSPLIT(D72," ")) &gt; 0.5,
      "Partial Match",
      "No Match"
   )
)</f>
        <v>No Match</v>
      </c>
    </row>
    <row r="73" spans="1:37" ht="12.9" hidden="1">
      <c r="A73" s="110" t="s">
        <v>312</v>
      </c>
      <c r="B73" s="110"/>
      <c r="C73" s="110" t="s">
        <v>70</v>
      </c>
      <c r="D73" s="107" t="s">
        <v>313</v>
      </c>
      <c r="E73" s="107" t="s">
        <v>17</v>
      </c>
      <c r="F73" s="110"/>
      <c r="G73" s="106"/>
      <c r="H73" s="107"/>
      <c r="I73" s="107" t="e" cm="1">
        <f t="array" aca="1" ref="I73" ca="1">_xldudf_BOARDFLARE_FMATCH(G73,D73)</f>
        <v>#NAME?</v>
      </c>
      <c r="J73" s="111" t="e" vm="1">
        <f t="shared" ca="1" si="7"/>
        <v>#VALUE!</v>
      </c>
      <c r="K73" s="109" t="str" cm="1">
        <f t="array" aca="1" ref="K73" ca="1">IF(
   SUMPRODUCT(--ISNUMBER(SEARCH(_xlfn.TEXTSPLIT(D73," "), G73))) / COUNTA(_xlfn.TEXTSPLIT(D73," ")) = 1,
   "Full Match",
   IF(
      SUMPRODUCT(--ISNUMBER(SEARCH(_xlfn.TEXTSPLIT(D73," "), G73))) / COUNTA(_xlfn.TEXTSPLIT(D73," ")) &gt; 0.5,
      "Partial Match",
      "No Match"
   )
)</f>
        <v>No Match</v>
      </c>
      <c r="L73" s="97" t="e" cm="1">
        <f t="array" aca="1" ref="L73" ca="1">_xldudf_BOARDFLARE_FMATCH(G73,D73)</f>
        <v>#NAME?</v>
      </c>
      <c r="M73" s="98" t="e" cm="1" vm="2">
        <f t="array" aca="1" ref="M73" ca="1">_FV(L73,"Similarity",TRUE)</f>
        <v>#VALUE!</v>
      </c>
      <c r="N73" s="97" t="e" cm="1">
        <f t="array" aca="1" ref="N73" ca="1">_xldudf_BOARDFLARE_FMATCH(D73,G73)</f>
        <v>#NAME?</v>
      </c>
      <c r="O73" s="98" t="e" cm="1" vm="2">
        <f t="array" aca="1" ref="O73" ca="1">_FV(N73,"Similarity",TRUE)</f>
        <v>#VALUE!</v>
      </c>
      <c r="AE73" s="96" t="s">
        <v>130</v>
      </c>
      <c r="AF73" s="96" t="s">
        <v>168</v>
      </c>
      <c r="AG73" s="124" t="b">
        <f t="shared" si="6"/>
        <v>0</v>
      </c>
      <c r="AH73" s="124" cm="1">
        <f t="array" aca="1" ref="AH73" ca="1">SUMPRODUCT(--ISNUMBER(SEARCH(_xlfn.TEXTSPLIT(D73," "), G73))) / COUNTA(_xlfn.TEXTSPLIT(D73," "))</f>
        <v>0</v>
      </c>
      <c r="AI73" s="124" t="str" cm="1">
        <f t="array" aca="1" ref="AI73" ca="1">IF(
   SUMPRODUCT(--ISNUMBER(SEARCH(_xlfn.TEXTSPLIT(D73," "), G73))) / COUNTA(_xlfn.TEXTSPLIT(D73," ")) = 1,
   "Full Match",
   IF(
      SUMPRODUCT(--ISNUMBER(SEARCH(_xlfn.TEXTSPLIT(D73," "), G73))) / COUNTA(_xlfn.TEXTSPLIT(D73," ")) &gt; 0.5,
      "Partial Match",
      "No Match"
   )
)</f>
        <v>No Match</v>
      </c>
    </row>
    <row r="74" spans="1:37" ht="12.9" hidden="1">
      <c r="A74" s="110" t="s">
        <v>314</v>
      </c>
      <c r="B74" s="110"/>
      <c r="C74" s="110" t="s">
        <v>70</v>
      </c>
      <c r="D74" s="110" t="s">
        <v>315</v>
      </c>
      <c r="E74" s="107" t="s">
        <v>17</v>
      </c>
      <c r="F74" s="110" t="s">
        <v>316</v>
      </c>
      <c r="G74" s="106" t="s">
        <v>317</v>
      </c>
      <c r="H74" s="107"/>
      <c r="I74" s="107" t="e" cm="1">
        <f t="array" aca="1" ref="I74" ca="1">_xldudf_BOARDFLARE_FMATCH(G74,D74)</f>
        <v>#NAME?</v>
      </c>
      <c r="J74" s="111" t="e" vm="1">
        <f t="shared" ca="1" si="7"/>
        <v>#VALUE!</v>
      </c>
      <c r="K74" s="109" t="str" cm="1">
        <f t="array" aca="1" ref="K74" ca="1">IF(
   SUMPRODUCT(--ISNUMBER(SEARCH(_xlfn.TEXTSPLIT(D74," "), G74))) / COUNTA(_xlfn.TEXTSPLIT(D74," ")) = 1,
   "Full Match",
   IF(
      SUMPRODUCT(--ISNUMBER(SEARCH(_xlfn.TEXTSPLIT(D74," "), G74))) / COUNTA(_xlfn.TEXTSPLIT(D74," ")) &gt; 0.5,
      "Partial Match",
      "No Match"
   )
)</f>
        <v>No Match</v>
      </c>
      <c r="L74" s="97" t="e" cm="1">
        <f t="array" aca="1" ref="L74" ca="1">_xldudf_BOARDFLARE_FMATCH(G74,D74)</f>
        <v>#NAME?</v>
      </c>
      <c r="M74" s="98" t="e" cm="1" vm="2">
        <f t="array" aca="1" ref="M74" ca="1">_FV(L74,"Similarity",TRUE)</f>
        <v>#VALUE!</v>
      </c>
      <c r="N74" s="97" t="e" cm="1">
        <f t="array" aca="1" ref="N74" ca="1">_xldudf_BOARDFLARE_FMATCH(D74,G74)</f>
        <v>#NAME?</v>
      </c>
      <c r="O74" s="98" t="e" cm="1" vm="2">
        <f t="array" aca="1" ref="O74" ca="1">_FV(N74,"Similarity",TRUE)</f>
        <v>#VALUE!</v>
      </c>
      <c r="AE74" s="96" t="s">
        <v>130</v>
      </c>
      <c r="AF74" s="96" t="s">
        <v>130</v>
      </c>
      <c r="AG74" s="124" t="b">
        <f t="shared" si="6"/>
        <v>1</v>
      </c>
      <c r="AH74" s="124" cm="1">
        <f t="array" aca="1" ref="AH74" ca="1">SUMPRODUCT(--ISNUMBER(SEARCH(_xlfn.TEXTSPLIT(D74," "), G74))) / COUNTA(_xlfn.TEXTSPLIT(D74," "))</f>
        <v>0</v>
      </c>
      <c r="AI74" s="124" t="str" cm="1">
        <f t="array" aca="1" ref="AI74" ca="1">IF(
   SUMPRODUCT(--ISNUMBER(SEARCH(_xlfn.TEXTSPLIT(D74," "), G74))) / COUNTA(_xlfn.TEXTSPLIT(D74," ")) = 1,
   "Full Match",
   IF(
      SUMPRODUCT(--ISNUMBER(SEARCH(_xlfn.TEXTSPLIT(D74," "), G74))) / COUNTA(_xlfn.TEXTSPLIT(D74," ")) &gt; 0.5,
      "Partial Match",
      "No Match"
   )
)</f>
        <v>No Match</v>
      </c>
    </row>
    <row r="75" spans="1:37" ht="12.9" hidden="1">
      <c r="A75" s="110" t="s">
        <v>318</v>
      </c>
      <c r="B75" s="110"/>
      <c r="C75" s="110" t="s">
        <v>70</v>
      </c>
      <c r="D75" s="107" t="s">
        <v>319</v>
      </c>
      <c r="E75" s="107"/>
      <c r="F75" s="110"/>
      <c r="G75" s="106" t="s">
        <v>320</v>
      </c>
      <c r="H75" s="107"/>
      <c r="I75" s="107" t="e" cm="1">
        <f t="array" aca="1" ref="I75" ca="1">_xldudf_BOARDFLARE_FMATCH(G75,D75)</f>
        <v>#NAME?</v>
      </c>
      <c r="J75" s="111" t="e" vm="1">
        <f t="shared" ca="1" si="7"/>
        <v>#VALUE!</v>
      </c>
      <c r="K75" s="109" t="str" cm="1">
        <f t="array" aca="1" ref="K75" ca="1">IF(
   SUMPRODUCT(--ISNUMBER(SEARCH(_xlfn.TEXTSPLIT(D75," "), G75))) / COUNTA(_xlfn.TEXTSPLIT(D75," ")) = 1,
   "Full Match",
   IF(
      SUMPRODUCT(--ISNUMBER(SEARCH(_xlfn.TEXTSPLIT(D75," "), G75))) / COUNTA(_xlfn.TEXTSPLIT(D75," ")) &gt; 0.5,
      "Partial Match",
      "No Match"
   )
)</f>
        <v>No Match</v>
      </c>
      <c r="L75" s="97" t="e" cm="1">
        <f t="array" aca="1" ref="L75" ca="1">_xldudf_BOARDFLARE_FMATCH(G75,D75)</f>
        <v>#NAME?</v>
      </c>
      <c r="M75" s="98" t="e" cm="1" vm="2">
        <f t="array" aca="1" ref="M75" ca="1">_FV(L75,"Similarity",TRUE)</f>
        <v>#VALUE!</v>
      </c>
      <c r="N75" s="97" t="e" cm="1">
        <f t="array" aca="1" ref="N75" ca="1">_xldudf_BOARDFLARE_FMATCH(D75,G75)</f>
        <v>#NAME?</v>
      </c>
      <c r="O75" s="98" t="e" cm="1" vm="2">
        <f t="array" aca="1" ref="O75" ca="1">_FV(N75,"Similarity",TRUE)</f>
        <v>#VALUE!</v>
      </c>
      <c r="AE75" s="96" t="s">
        <v>130</v>
      </c>
      <c r="AF75" s="96" t="s">
        <v>130</v>
      </c>
      <c r="AG75" s="124" t="b">
        <f t="shared" si="6"/>
        <v>1</v>
      </c>
      <c r="AH75" s="124" cm="1">
        <f t="array" aca="1" ref="AH75" ca="1">SUMPRODUCT(--ISNUMBER(SEARCH(_xlfn.TEXTSPLIT(D75," "), G75))) / COUNTA(_xlfn.TEXTSPLIT(D75," "))</f>
        <v>0</v>
      </c>
      <c r="AI75" s="124" t="str" cm="1">
        <f t="array" aca="1" ref="AI75" ca="1">IF(
   SUMPRODUCT(--ISNUMBER(SEARCH(_xlfn.TEXTSPLIT(D75," "), G75))) / COUNTA(_xlfn.TEXTSPLIT(D75," ")) = 1,
   "Full Match",
   IF(
      SUMPRODUCT(--ISNUMBER(SEARCH(_xlfn.TEXTSPLIT(D75," "), G75))) / COUNTA(_xlfn.TEXTSPLIT(D75," ")) &gt; 0.5,
      "Partial Match",
      "No Match"
   )
)</f>
        <v>No Match</v>
      </c>
    </row>
    <row r="76" spans="1:37" ht="12.9" hidden="1">
      <c r="A76" s="110" t="s">
        <v>321</v>
      </c>
      <c r="B76" s="110"/>
      <c r="C76" s="110" t="s">
        <v>70</v>
      </c>
      <c r="D76" s="107" t="s">
        <v>322</v>
      </c>
      <c r="E76" s="107" t="s">
        <v>17</v>
      </c>
      <c r="F76" s="110" t="s">
        <v>323</v>
      </c>
      <c r="G76" s="106" t="s">
        <v>324</v>
      </c>
      <c r="H76" s="107"/>
      <c r="I76" s="107" t="e" cm="1">
        <f t="array" aca="1" ref="I76" ca="1">_xldudf_BOARDFLARE_FMATCH(G76,D76)</f>
        <v>#NAME?</v>
      </c>
      <c r="J76" s="111" t="e" vm="1">
        <f t="shared" ca="1" si="7"/>
        <v>#VALUE!</v>
      </c>
      <c r="K76" s="109" t="str" cm="1">
        <f t="array" aca="1" ref="K76" ca="1">IF(
   SUMPRODUCT(--ISNUMBER(SEARCH(_xlfn.TEXTSPLIT(D76," "), G76))) / COUNTA(_xlfn.TEXTSPLIT(D76," ")) = 1,
   "Full Match",
   IF(
      SUMPRODUCT(--ISNUMBER(SEARCH(_xlfn.TEXTSPLIT(D76," "), G76))) / COUNTA(_xlfn.TEXTSPLIT(D76," ")) &gt; 0.5,
      "Partial Match",
      "No Match"
   )
)</f>
        <v>No Match</v>
      </c>
      <c r="L76" s="97" t="e" cm="1">
        <f t="array" aca="1" ref="L76" ca="1">_xldudf_BOARDFLARE_FMATCH(G76,D76)</f>
        <v>#NAME?</v>
      </c>
      <c r="M76" s="98" t="e" cm="1" vm="2">
        <f t="array" aca="1" ref="M76" ca="1">_FV(L76,"Similarity",TRUE)</f>
        <v>#VALUE!</v>
      </c>
      <c r="N76" s="97" t="e" cm="1">
        <f t="array" aca="1" ref="N76" ca="1">_xldudf_BOARDFLARE_FMATCH(D76,G76)</f>
        <v>#NAME?</v>
      </c>
      <c r="O76" s="98" t="e" cm="1" vm="2">
        <f t="array" aca="1" ref="O76" ca="1">_FV(N76,"Similarity",TRUE)</f>
        <v>#VALUE!</v>
      </c>
      <c r="AE76" s="96" t="s">
        <v>130</v>
      </c>
      <c r="AF76" s="96" t="s">
        <v>130</v>
      </c>
      <c r="AG76" s="124" t="b">
        <f t="shared" si="6"/>
        <v>1</v>
      </c>
      <c r="AH76" s="124" cm="1">
        <f t="array" aca="1" ref="AH76" ca="1">SUMPRODUCT(--ISNUMBER(SEARCH(_xlfn.TEXTSPLIT(D76," "), G76))) / COUNTA(_xlfn.TEXTSPLIT(D76," "))</f>
        <v>0</v>
      </c>
      <c r="AI76" s="124" t="str" cm="1">
        <f t="array" aca="1" ref="AI76" ca="1">IF(
   SUMPRODUCT(--ISNUMBER(SEARCH(_xlfn.TEXTSPLIT(D76," "), G76))) / COUNTA(_xlfn.TEXTSPLIT(D76," ")) = 1,
   "Full Match",
   IF(
      SUMPRODUCT(--ISNUMBER(SEARCH(_xlfn.TEXTSPLIT(D76," "), G76))) / COUNTA(_xlfn.TEXTSPLIT(D76," ")) &gt; 0.5,
      "Partial Match",
      "No Match"
   )
)</f>
        <v>No Match</v>
      </c>
    </row>
    <row r="77" spans="1:37" ht="12.9" hidden="1">
      <c r="A77" s="110" t="s">
        <v>325</v>
      </c>
      <c r="B77" s="110"/>
      <c r="C77" s="110" t="s">
        <v>70</v>
      </c>
      <c r="D77" s="107" t="s">
        <v>326</v>
      </c>
      <c r="E77" s="107" t="s">
        <v>16</v>
      </c>
      <c r="F77" s="110" t="s">
        <v>327</v>
      </c>
      <c r="G77" s="106" t="s">
        <v>328</v>
      </c>
      <c r="H77" s="107"/>
      <c r="I77" s="107" t="e" cm="1">
        <f t="array" aca="1" ref="I77" ca="1">_xldudf_BOARDFLARE_FMATCH(G77,D77)</f>
        <v>#NAME?</v>
      </c>
      <c r="J77" s="111" t="e" vm="1">
        <f t="shared" ca="1" si="7"/>
        <v>#VALUE!</v>
      </c>
      <c r="K77" s="109" t="str" cm="1">
        <f t="array" aca="1" ref="K77" ca="1">IF(
   SUMPRODUCT(--ISNUMBER(SEARCH(_xlfn.TEXTSPLIT(D77," "), G77))) / COUNTA(_xlfn.TEXTSPLIT(D77," ")) = 1,
   "Full Match",
   IF(
      SUMPRODUCT(--ISNUMBER(SEARCH(_xlfn.TEXTSPLIT(D77," "), G77))) / COUNTA(_xlfn.TEXTSPLIT(D77," ")) &gt; 0.5,
      "Partial Match",
      "No Match"
   )
)</f>
        <v>No Match</v>
      </c>
      <c r="L77" s="97" t="e" cm="1">
        <f t="array" aca="1" ref="L77" ca="1">_xldudf_BOARDFLARE_FMATCH(G77,D77)</f>
        <v>#NAME?</v>
      </c>
      <c r="M77" s="98" t="e" cm="1" vm="2">
        <f t="array" aca="1" ref="M77" ca="1">_FV(L77,"Similarity",TRUE)</f>
        <v>#VALUE!</v>
      </c>
      <c r="N77" s="97" t="e" cm="1">
        <f t="array" aca="1" ref="N77" ca="1">_xldudf_BOARDFLARE_FMATCH(D77,G77)</f>
        <v>#NAME?</v>
      </c>
      <c r="O77" s="98" t="e" cm="1" vm="2">
        <f t="array" aca="1" ref="O77" ca="1">_FV(N77,"Similarity",TRUE)</f>
        <v>#VALUE!</v>
      </c>
      <c r="AE77" s="96" t="s">
        <v>130</v>
      </c>
      <c r="AF77" s="96" t="s">
        <v>130</v>
      </c>
      <c r="AG77" s="124" t="b">
        <f t="shared" si="6"/>
        <v>1</v>
      </c>
      <c r="AH77" s="124" cm="1">
        <f t="array" aca="1" ref="AH77" ca="1">SUMPRODUCT(--ISNUMBER(SEARCH(_xlfn.TEXTSPLIT(D77," "), G77))) / COUNTA(_xlfn.TEXTSPLIT(D77," "))</f>
        <v>0</v>
      </c>
      <c r="AI77" s="124" t="str" cm="1">
        <f t="array" aca="1" ref="AI77" ca="1">IF(
   SUMPRODUCT(--ISNUMBER(SEARCH(_xlfn.TEXTSPLIT(D77," "), G77))) / COUNTA(_xlfn.TEXTSPLIT(D77," ")) = 1,
   "Full Match",
   IF(
      SUMPRODUCT(--ISNUMBER(SEARCH(_xlfn.TEXTSPLIT(D77," "), G77))) / COUNTA(_xlfn.TEXTSPLIT(D77," ")) &gt; 0.5,
      "Partial Match",
      "No Match"
   )
)</f>
        <v>No Match</v>
      </c>
    </row>
    <row r="78" spans="1:37" ht="12.9" hidden="1">
      <c r="A78" s="110" t="s">
        <v>329</v>
      </c>
      <c r="B78" s="110"/>
      <c r="C78" s="110" t="s">
        <v>70</v>
      </c>
      <c r="D78" s="107" t="s">
        <v>330</v>
      </c>
      <c r="E78" s="107" t="s">
        <v>17</v>
      </c>
      <c r="F78" s="110" t="s">
        <v>331</v>
      </c>
      <c r="G78" s="106" t="s">
        <v>332</v>
      </c>
      <c r="H78" s="107"/>
      <c r="I78" s="107" t="e" cm="1">
        <f t="array" aca="1" ref="I78" ca="1">_xldudf_BOARDFLARE_FMATCH(G78,D78)</f>
        <v>#NAME?</v>
      </c>
      <c r="J78" s="111" t="e" vm="1">
        <f t="shared" ca="1" si="7"/>
        <v>#VALUE!</v>
      </c>
      <c r="K78" s="109" t="str" cm="1">
        <f t="array" aca="1" ref="K78" ca="1">IF(
   SUMPRODUCT(--ISNUMBER(SEARCH(_xlfn.TEXTSPLIT(D78," "), G78))) / COUNTA(_xlfn.TEXTSPLIT(D78," ")) = 1,
   "Full Match",
   IF(
      SUMPRODUCT(--ISNUMBER(SEARCH(_xlfn.TEXTSPLIT(D78," "), G78))) / COUNTA(_xlfn.TEXTSPLIT(D78," ")) &gt; 0.5,
      "Partial Match",
      "No Match"
   )
)</f>
        <v>No Match</v>
      </c>
      <c r="L78" s="97" t="e" cm="1">
        <f t="array" aca="1" ref="L78" ca="1">_xldudf_BOARDFLARE_FMATCH(G78,D78)</f>
        <v>#NAME?</v>
      </c>
      <c r="M78" s="98" t="e" cm="1" vm="2">
        <f t="array" aca="1" ref="M78" ca="1">_FV(L78,"Similarity",TRUE)</f>
        <v>#VALUE!</v>
      </c>
      <c r="N78" s="97" t="e" cm="1">
        <f t="array" aca="1" ref="N78" ca="1">_xldudf_BOARDFLARE_FMATCH(D78,G78)</f>
        <v>#NAME?</v>
      </c>
      <c r="O78" s="98" t="e" cm="1" vm="2">
        <f t="array" aca="1" ref="O78" ca="1">_FV(N78,"Similarity",TRUE)</f>
        <v>#VALUE!</v>
      </c>
      <c r="AE78" s="96" t="s">
        <v>130</v>
      </c>
      <c r="AF78" s="96" t="s">
        <v>130</v>
      </c>
      <c r="AG78" s="124" t="b">
        <f t="shared" si="6"/>
        <v>1</v>
      </c>
      <c r="AH78" s="124" cm="1">
        <f t="array" aca="1" ref="AH78" ca="1">SUMPRODUCT(--ISNUMBER(SEARCH(_xlfn.TEXTSPLIT(D78," "), G78))) / COUNTA(_xlfn.TEXTSPLIT(D78," "))</f>
        <v>0</v>
      </c>
      <c r="AI78" s="124" t="str" cm="1">
        <f t="array" aca="1" ref="AI78" ca="1">IF(
   SUMPRODUCT(--ISNUMBER(SEARCH(_xlfn.TEXTSPLIT(D78," "), G78))) / COUNTA(_xlfn.TEXTSPLIT(D78," ")) = 1,
   "Full Match",
   IF(
      SUMPRODUCT(--ISNUMBER(SEARCH(_xlfn.TEXTSPLIT(D78," "), G78))) / COUNTA(_xlfn.TEXTSPLIT(D78," ")) &gt; 0.5,
      "Partial Match",
      "No Match"
   )
)</f>
        <v>No Match</v>
      </c>
    </row>
    <row r="79" spans="1:37" ht="12.9" hidden="1">
      <c r="A79" s="110" t="s">
        <v>333</v>
      </c>
      <c r="B79" s="110"/>
      <c r="C79" s="110" t="s">
        <v>70</v>
      </c>
      <c r="D79" s="107" t="s">
        <v>334</v>
      </c>
      <c r="E79" s="107" t="s">
        <v>17</v>
      </c>
      <c r="F79" s="110"/>
      <c r="G79" s="106" t="s">
        <v>335</v>
      </c>
      <c r="H79" s="107"/>
      <c r="I79" s="107" t="e" cm="1">
        <f t="array" aca="1" ref="I79" ca="1">_xldudf_BOARDFLARE_FMATCH(G79,D79)</f>
        <v>#NAME?</v>
      </c>
      <c r="J79" s="111" t="e" vm="1">
        <f t="shared" ca="1" si="7"/>
        <v>#VALUE!</v>
      </c>
      <c r="K79" s="109" t="str" cm="1">
        <f t="array" aca="1" ref="K79" ca="1">IF(
   SUMPRODUCT(--ISNUMBER(SEARCH(_xlfn.TEXTSPLIT(D79," "), G79))) / COUNTA(_xlfn.TEXTSPLIT(D79," ")) = 1,
   "Full Match",
   IF(
      SUMPRODUCT(--ISNUMBER(SEARCH(_xlfn.TEXTSPLIT(D79," "), G79))) / COUNTA(_xlfn.TEXTSPLIT(D79," ")) &gt; 0.5,
      "Partial Match",
      "No Match"
   )
)</f>
        <v>No Match</v>
      </c>
      <c r="L79" s="97" t="e" cm="1">
        <f t="array" aca="1" ref="L79" ca="1">_xldudf_BOARDFLARE_FMATCH(G79,D79)</f>
        <v>#NAME?</v>
      </c>
      <c r="M79" s="98" t="e" cm="1" vm="2">
        <f t="array" aca="1" ref="M79" ca="1">_FV(L79,"Similarity",TRUE)</f>
        <v>#VALUE!</v>
      </c>
      <c r="N79" s="97" t="e" cm="1">
        <f t="array" aca="1" ref="N79" ca="1">_xldudf_BOARDFLARE_FMATCH(D79,G79)</f>
        <v>#NAME?</v>
      </c>
      <c r="O79" s="98" t="e" cm="1" vm="2">
        <f t="array" aca="1" ref="O79" ca="1">_FV(N79,"Similarity",TRUE)</f>
        <v>#VALUE!</v>
      </c>
      <c r="AE79" s="96" t="s">
        <v>130</v>
      </c>
      <c r="AF79" s="96" t="s">
        <v>130</v>
      </c>
      <c r="AG79" s="124" t="b">
        <f t="shared" si="6"/>
        <v>1</v>
      </c>
      <c r="AH79" s="124" cm="1">
        <f t="array" aca="1" ref="AH79" ca="1">SUMPRODUCT(--ISNUMBER(SEARCH(_xlfn.TEXTSPLIT(D79," "), G79))) / COUNTA(_xlfn.TEXTSPLIT(D79," "))</f>
        <v>0</v>
      </c>
      <c r="AI79" s="124" t="str" cm="1">
        <f t="array" aca="1" ref="AI79" ca="1">IF(
   SUMPRODUCT(--ISNUMBER(SEARCH(_xlfn.TEXTSPLIT(D79," "), G79))) / COUNTA(_xlfn.TEXTSPLIT(D79," ")) = 1,
   "Full Match",
   IF(
      SUMPRODUCT(--ISNUMBER(SEARCH(_xlfn.TEXTSPLIT(D79," "), G79))) / COUNTA(_xlfn.TEXTSPLIT(D79," ")) &gt; 0.5,
      "Partial Match",
      "No Match"
   )
)</f>
        <v>No Match</v>
      </c>
    </row>
    <row r="80" spans="1:37" ht="12.9" hidden="1">
      <c r="A80" s="110" t="s">
        <v>115</v>
      </c>
      <c r="B80" s="110"/>
      <c r="C80" s="110" t="s">
        <v>98</v>
      </c>
      <c r="D80" s="131">
        <v>123456</v>
      </c>
      <c r="E80" s="107"/>
      <c r="F80" s="110" t="s">
        <v>336</v>
      </c>
      <c r="G80" s="106" t="s">
        <v>337</v>
      </c>
      <c r="H80" s="107"/>
      <c r="I80" s="107" t="e" cm="1">
        <f t="array" aca="1" ref="I80" ca="1">_xldudf_BOARDFLARE_FMATCH(G80,D80)</f>
        <v>#NAME?</v>
      </c>
      <c r="J80" s="111" t="e" vm="1">
        <f t="shared" ca="1" si="7"/>
        <v>#VALUE!</v>
      </c>
      <c r="K80" s="109"/>
      <c r="L80" s="97" t="e" cm="1">
        <f t="array" aca="1" ref="L80" ca="1">_xldudf_BOARDFLARE_FMATCH(G80,D80)</f>
        <v>#NAME?</v>
      </c>
      <c r="M80" s="98" t="e" cm="1" vm="2">
        <f t="array" aca="1" ref="M80" ca="1">_FV(L80,"Similarity",TRUE)</f>
        <v>#VALUE!</v>
      </c>
      <c r="N80" s="97" t="e" cm="1">
        <f t="array" aca="1" ref="N80" ca="1">_xldudf_BOARDFLARE_FMATCH(D80,G80)</f>
        <v>#NAME?</v>
      </c>
      <c r="O80" s="98" t="e" cm="1" vm="2">
        <f t="array" aca="1" ref="O80" ca="1">_FV(N80,"Similarity",TRUE)</f>
        <v>#VALUE!</v>
      </c>
      <c r="AD80" s="96" t="s">
        <v>130</v>
      </c>
      <c r="AE80" s="96" t="s">
        <v>130</v>
      </c>
      <c r="AG80" s="96"/>
      <c r="AH80" s="96"/>
      <c r="AI80" s="96"/>
      <c r="AJ80" s="96"/>
      <c r="AK80" s="96" t="str" cm="1">
        <f t="array" aca="1" ref="AK80" ca="1">IF(
   SUMPRODUCT(--ISNUMBER(SEARCH(_xlfn.TEXTSPLIT(D80," "), G80))) / COUNTA(_xlfn.TEXTSPLIT(D80," ")) = 1,
   "Full Match",
   IF(
      SUMPRODUCT(--ISNUMBER(SEARCH(_xlfn.TEXTSPLIT(D80," "), G80))) / COUNTA(_xlfn.TEXTSPLIT(D80," ")) &gt; 0.5,
      "Partial Match",
      "No Match"
   )
)</f>
        <v>No Match</v>
      </c>
    </row>
    <row r="81" spans="1:37" ht="12.9" hidden="1">
      <c r="A81" s="110" t="s">
        <v>111</v>
      </c>
      <c r="B81" s="110"/>
      <c r="C81" s="110" t="s">
        <v>98</v>
      </c>
      <c r="D81" s="131" t="s">
        <v>112</v>
      </c>
      <c r="E81" s="107"/>
      <c r="F81" s="110" t="s">
        <v>338</v>
      </c>
      <c r="G81" s="106" t="s">
        <v>112</v>
      </c>
      <c r="H81" s="107"/>
      <c r="I81" s="107" t="e" cm="1">
        <f t="array" aca="1" ref="I81" ca="1">_xldudf_BOARDFLARE_FMATCH(G81,D81)</f>
        <v>#NAME?</v>
      </c>
      <c r="J81" s="111" t="e" vm="1">
        <f t="shared" ca="1" si="7"/>
        <v>#VALUE!</v>
      </c>
      <c r="K81" s="109"/>
      <c r="L81" s="97" t="e" cm="1">
        <f t="array" aca="1" ref="L81" ca="1">_xldudf_BOARDFLARE_FMATCH(G81,D81)</f>
        <v>#NAME?</v>
      </c>
      <c r="M81" s="98" t="e" cm="1" vm="2">
        <f t="array" aca="1" ref="M81" ca="1">_FV(L81,"Similarity",TRUE)</f>
        <v>#VALUE!</v>
      </c>
      <c r="N81" s="97" t="e" cm="1">
        <f t="array" aca="1" ref="N81" ca="1">_xldudf_BOARDFLARE_FMATCH(D81,G81)</f>
        <v>#NAME?</v>
      </c>
      <c r="O81" s="98" t="e" cm="1" vm="2">
        <f t="array" aca="1" ref="O81" ca="1">_FV(N81,"Similarity",TRUE)</f>
        <v>#VALUE!</v>
      </c>
      <c r="AD81" s="96" t="s">
        <v>130</v>
      </c>
      <c r="AE81" s="96" t="s">
        <v>130</v>
      </c>
      <c r="AG81" s="96"/>
      <c r="AH81" s="96"/>
      <c r="AI81" s="96"/>
      <c r="AJ81" s="96"/>
      <c r="AK81" s="96" t="str" cm="1">
        <f t="array" aca="1" ref="AK81" ca="1">IF(
   SUMPRODUCT(--ISNUMBER(SEARCH(_xlfn.TEXTSPLIT(D81," "), G81))) / COUNTA(_xlfn.TEXTSPLIT(D81," ")) = 1,
   "Full Match",
   IF(
      SUMPRODUCT(--ISNUMBER(SEARCH(_xlfn.TEXTSPLIT(D81," "), G81))) / COUNTA(_xlfn.TEXTSPLIT(D81," ")) &gt; 0.5,
      "Partial Match",
      "No Match"
   )
)</f>
        <v>No Match</v>
      </c>
    </row>
    <row r="82" spans="1:37" ht="12.9" hidden="1">
      <c r="A82" s="110" t="s">
        <v>339</v>
      </c>
      <c r="B82" s="110"/>
      <c r="C82" s="110" t="s">
        <v>98</v>
      </c>
      <c r="D82" s="131" t="s">
        <v>340</v>
      </c>
      <c r="E82" s="107"/>
      <c r="F82" s="110" t="s">
        <v>341</v>
      </c>
      <c r="G82" s="106" t="s">
        <v>342</v>
      </c>
      <c r="H82" s="107"/>
      <c r="I82" s="107" t="e" cm="1">
        <f t="array" aca="1" ref="I82" ca="1">_xldudf_BOARDFLARE_FMATCH(G82,D82)</f>
        <v>#NAME?</v>
      </c>
      <c r="J82" s="111" t="e" vm="1">
        <f t="shared" ca="1" si="7"/>
        <v>#VALUE!</v>
      </c>
      <c r="K82" s="109"/>
      <c r="L82" s="97" t="e" cm="1">
        <f t="array" aca="1" ref="L82" ca="1">_xldudf_BOARDFLARE_FMATCH(G82,D82)</f>
        <v>#NAME?</v>
      </c>
      <c r="M82" s="98" t="e" cm="1" vm="2">
        <f t="array" aca="1" ref="M82" ca="1">_FV(L82,"Similarity",TRUE)</f>
        <v>#VALUE!</v>
      </c>
      <c r="N82" s="97" t="e" cm="1">
        <f t="array" aca="1" ref="N82" ca="1">_xldudf_BOARDFLARE_FMATCH(D82,G82)</f>
        <v>#NAME?</v>
      </c>
      <c r="O82" s="98" t="e" cm="1" vm="2">
        <f t="array" aca="1" ref="O82" ca="1">_FV(N82,"Similarity",TRUE)</f>
        <v>#VALUE!</v>
      </c>
      <c r="AD82" s="96" t="s">
        <v>130</v>
      </c>
      <c r="AE82" s="96" t="s">
        <v>130</v>
      </c>
      <c r="AG82" s="96"/>
      <c r="AH82" s="96"/>
      <c r="AI82" s="96"/>
      <c r="AJ82" s="96"/>
      <c r="AK82" s="96" t="str" cm="1">
        <f t="array" aca="1" ref="AK82" ca="1">IF(
   SUMPRODUCT(--ISNUMBER(SEARCH(_xlfn.TEXTSPLIT(D82," "), G82))) / COUNTA(_xlfn.TEXTSPLIT(D82," ")) = 1,
   "Full Match",
   IF(
      SUMPRODUCT(--ISNUMBER(SEARCH(_xlfn.TEXTSPLIT(D82," "), G82))) / COUNTA(_xlfn.TEXTSPLIT(D82," ")) &gt; 0.5,
      "Partial Match",
      "No Match"
   )
)</f>
        <v>No Match</v>
      </c>
    </row>
    <row r="83" spans="1:37" ht="12.9" hidden="1">
      <c r="A83" s="110" t="s">
        <v>343</v>
      </c>
      <c r="B83" s="110"/>
      <c r="C83" s="110" t="s">
        <v>70</v>
      </c>
      <c r="D83" s="107" t="s">
        <v>344</v>
      </c>
      <c r="E83" s="107" t="s">
        <v>16</v>
      </c>
      <c r="F83" s="110"/>
      <c r="G83" s="106" t="s">
        <v>345</v>
      </c>
      <c r="H83" s="107"/>
      <c r="I83" s="107" t="e" cm="1">
        <f t="array" aca="1" ref="I83" ca="1">_xldudf_BOARDFLARE_FMATCH(G83,D83)</f>
        <v>#NAME?</v>
      </c>
      <c r="J83" s="111" t="e" vm="1">
        <f t="shared" ca="1" si="7"/>
        <v>#VALUE!</v>
      </c>
      <c r="K83" s="109" t="str" cm="1">
        <f t="array" aca="1" ref="K83" ca="1">IF(
   SUMPRODUCT(--ISNUMBER(SEARCH(_xlfn.TEXTSPLIT(D83," "), G83))) / COUNTA(_xlfn.TEXTSPLIT(D83," ")) = 1,
   "Full Match",
   IF(
      SUMPRODUCT(--ISNUMBER(SEARCH(_xlfn.TEXTSPLIT(D83," "), G83))) / COUNTA(_xlfn.TEXTSPLIT(D83," ")) &gt; 0.5,
      "Partial Match",
      "No Match"
   )
)</f>
        <v>No Match</v>
      </c>
      <c r="L83" s="97" t="e" cm="1">
        <f t="array" aca="1" ref="L83" ca="1">_xldudf_BOARDFLARE_FMATCH(G83,D83)</f>
        <v>#NAME?</v>
      </c>
      <c r="M83" s="98" t="e" cm="1" vm="2">
        <f t="array" aca="1" ref="M83" ca="1">_FV(L83,"Similarity",TRUE)</f>
        <v>#VALUE!</v>
      </c>
      <c r="N83" s="97" t="e" cm="1">
        <f t="array" aca="1" ref="N83" ca="1">_xldudf_BOARDFLARE_FMATCH(D83,G83)</f>
        <v>#NAME?</v>
      </c>
      <c r="O83" s="98" t="e" cm="1" vm="2">
        <f t="array" aca="1" ref="O83" ca="1">_FV(N83,"Similarity",TRUE)</f>
        <v>#VALUE!</v>
      </c>
      <c r="AE83" s="96" t="s">
        <v>130</v>
      </c>
      <c r="AF83" s="96" t="s">
        <v>130</v>
      </c>
      <c r="AG83" s="124" t="b">
        <f t="shared" ref="AG83:AG86" si="8">AE83=AF83</f>
        <v>1</v>
      </c>
      <c r="AH83" s="124" cm="1">
        <f t="array" aca="1" ref="AH83" ca="1">SUMPRODUCT(--ISNUMBER(SEARCH(_xlfn.TEXTSPLIT(D83," "), G83))) / COUNTA(_xlfn.TEXTSPLIT(D83," "))</f>
        <v>0</v>
      </c>
      <c r="AI83" s="124" t="str" cm="1">
        <f t="array" aca="1" ref="AI83" ca="1">IF(
   SUMPRODUCT(--ISNUMBER(SEARCH(_xlfn.TEXTSPLIT(D83," "), G83))) / COUNTA(_xlfn.TEXTSPLIT(D83," ")) = 1,
   "Full Match",
   IF(
      SUMPRODUCT(--ISNUMBER(SEARCH(_xlfn.TEXTSPLIT(D83," "), G83))) / COUNTA(_xlfn.TEXTSPLIT(D83," ")) &gt; 0.5,
      "Partial Match",
      "No Match"
   )
)</f>
        <v>No Match</v>
      </c>
    </row>
    <row r="84" spans="1:37" ht="12.9">
      <c r="A84" s="110" t="s">
        <v>346</v>
      </c>
      <c r="B84" s="110"/>
      <c r="C84" s="110" t="s">
        <v>68</v>
      </c>
      <c r="D84" s="107"/>
      <c r="E84" s="107" t="s">
        <v>16</v>
      </c>
      <c r="F84" s="110" t="s">
        <v>347</v>
      </c>
      <c r="G84" s="106" t="s">
        <v>348</v>
      </c>
      <c r="H84" s="107"/>
      <c r="I84" s="107" t="e" cm="1">
        <f t="array" aca="1" ref="I84" ca="1">_xldudf_BOARDFLARE_FMATCH(G84,D84)</f>
        <v>#NAME?</v>
      </c>
      <c r="J84" s="111" t="e" vm="1">
        <f t="shared" ca="1" si="7"/>
        <v>#VALUE!</v>
      </c>
      <c r="K84" s="109" t="str" cm="1">
        <f t="array" aca="1" ref="K84" ca="1">IF(
   SUMPRODUCT(--ISNUMBER(SEARCH(_xlfn.TEXTSPLIT(D84," "), G84))) / COUNTA(_xlfn.TEXTSPLIT(D84," ")) = 1,
   "Full Match",
   IF(
      SUMPRODUCT(--ISNUMBER(SEARCH(_xlfn.TEXTSPLIT(D84," "), G84))) / COUNTA(_xlfn.TEXTSPLIT(D84," ")) &gt; 0.5,
      "Partial Match",
      "No Match"
   )
)</f>
        <v>No Match</v>
      </c>
      <c r="L84" s="97" t="e" cm="1">
        <f t="array" aca="1" ref="L84" ca="1">_xldudf_BOARDFLARE_FMATCH(G84,D84)</f>
        <v>#NAME?</v>
      </c>
      <c r="M84" s="98" t="e" cm="1" vm="2">
        <f t="array" aca="1" ref="M84" ca="1">_FV(L84,"Similarity",TRUE)</f>
        <v>#VALUE!</v>
      </c>
      <c r="N84" s="97" t="e" cm="1">
        <f t="array" aca="1" ref="N84" ca="1">_xldudf_BOARDFLARE_FMATCH(D84,G84)</f>
        <v>#NAME?</v>
      </c>
      <c r="O84" s="98" t="e" cm="1" vm="2">
        <f t="array" aca="1" ref="O84" ca="1">_FV(N84,"Similarity",TRUE)</f>
        <v>#VALUE!</v>
      </c>
      <c r="X84" s="96" t="str" cm="1">
        <f t="array" aca="1" ref="X84" ca="1">IF(
   SUMPRODUCT(--ISNUMBER(SEARCH(_xlfn.TEXTSPLIT(D84," "), G84))) / COUNTA(_xlfn.TEXTSPLIT(D84," ")) = 1,
   "Full Match",
   IF(
      SUMPRODUCT(--ISNUMBER(SEARCH(_xlfn.TEXTSPLIT(D84," "), G84))) / COUNTA(_xlfn.TEXTSPLIT(D84," ")) &gt; 0.5,
      "Partial Match",
      "No Match"
   )
)</f>
        <v>No Match</v>
      </c>
      <c r="AG84" s="96" t="b">
        <f t="shared" si="8"/>
        <v>1</v>
      </c>
      <c r="AH84" s="96"/>
      <c r="AI84" s="96"/>
      <c r="AJ84" s="96"/>
      <c r="AK84" s="96"/>
    </row>
    <row r="85" spans="1:37" ht="141.44999999999999">
      <c r="A85" s="110" t="s">
        <v>349</v>
      </c>
      <c r="B85" s="110"/>
      <c r="C85" s="110" t="s">
        <v>68</v>
      </c>
      <c r="D85" s="121" t="s">
        <v>350</v>
      </c>
      <c r="E85" s="107" t="s">
        <v>18</v>
      </c>
      <c r="F85" s="110" t="s">
        <v>351</v>
      </c>
      <c r="G85" s="116" t="s">
        <v>352</v>
      </c>
      <c r="H85" s="107"/>
      <c r="I85" s="107" t="e" cm="1">
        <f t="array" aca="1" ref="I85" ca="1">_xldudf_BOARDFLARE_FMATCH(G85,D85)</f>
        <v>#NAME?</v>
      </c>
      <c r="J85" s="111" t="e" vm="1">
        <f t="shared" ca="1" si="7"/>
        <v>#VALUE!</v>
      </c>
      <c r="K85" s="109" t="str" cm="1">
        <f t="array" aca="1" ref="K85" ca="1">IF(
   SUMPRODUCT(--ISNUMBER(SEARCH(_xlfn.TEXTSPLIT(D85," "), G85))) / COUNTA(_xlfn.TEXTSPLIT(D85," ")) = 1,
   "Full Match",
   IF(
      SUMPRODUCT(--ISNUMBER(SEARCH(_xlfn.TEXTSPLIT(D85," "), G85))) / COUNTA(_xlfn.TEXTSPLIT(D85," ")) &gt; 0.5,
      "Partial Match",
      "No Match"
   )
)</f>
        <v>No Match</v>
      </c>
      <c r="L85" s="97" t="e" cm="1">
        <f t="array" aca="1" ref="L85" ca="1">_xldudf_BOARDFLARE_FMATCH(G85,D85)</f>
        <v>#NAME?</v>
      </c>
      <c r="M85" s="98" t="e" cm="1" vm="2">
        <f t="array" aca="1" ref="M85" ca="1">_FV(L85,"Similarity",TRUE)</f>
        <v>#VALUE!</v>
      </c>
      <c r="N85" s="97" t="e" cm="1">
        <f t="array" aca="1" ref="N85" ca="1">_xldudf_BOARDFLARE_FMATCH(D85,G85)</f>
        <v>#NAME?</v>
      </c>
      <c r="O85" s="98" t="e" cm="1" vm="2">
        <f t="array" aca="1" ref="O85" ca="1">_FV(N85,"Similarity",TRUE)</f>
        <v>#VALUE!</v>
      </c>
      <c r="Q85" s="124">
        <v>5</v>
      </c>
      <c r="R85" s="124">
        <v>5</v>
      </c>
      <c r="S85" s="125" t="s">
        <v>353</v>
      </c>
      <c r="T85" s="124">
        <v>5</v>
      </c>
      <c r="U85" s="124">
        <v>5</v>
      </c>
      <c r="V85" s="96" t="s">
        <v>168</v>
      </c>
      <c r="W85" s="96" t="s">
        <v>200</v>
      </c>
      <c r="X85" s="96" t="str" cm="1">
        <f t="array" aca="1" ref="X85" ca="1">IF(
   SUMPRODUCT(--ISNUMBER(SEARCH(_xlfn.TEXTSPLIT(D85," "), G85))) / COUNTA(_xlfn.TEXTSPLIT(D85," ")) = 1,
   "Full Match",
   IF(
      SUMPRODUCT(--ISNUMBER(SEARCH(_xlfn.TEXTSPLIT(D85," "), G85))) / COUNTA(_xlfn.TEXTSPLIT(D85," ")) &gt; 0.5,
      "Partial Match",
      "No Match"
   )
)</f>
        <v>No Match</v>
      </c>
      <c r="AG85" s="96"/>
      <c r="AH85" s="96"/>
      <c r="AI85" s="96"/>
      <c r="AJ85" s="96"/>
      <c r="AK85" s="96"/>
    </row>
    <row r="86" spans="1:37" ht="385.75" hidden="1">
      <c r="A86" s="110" t="s">
        <v>354</v>
      </c>
      <c r="B86" s="110"/>
      <c r="C86" s="110" t="s">
        <v>70</v>
      </c>
      <c r="D86" s="121" t="s">
        <v>344</v>
      </c>
      <c r="E86" s="107" t="s">
        <v>16</v>
      </c>
      <c r="F86" s="110" t="s">
        <v>355</v>
      </c>
      <c r="G86" s="106" t="s">
        <v>356</v>
      </c>
      <c r="H86" s="107"/>
      <c r="I86" s="107" t="e" cm="1">
        <f t="array" aca="1" ref="I86" ca="1">_xldudf_BOARDFLARE_FMATCH(G86,D86)</f>
        <v>#NAME?</v>
      </c>
      <c r="J86" s="111" t="e" vm="1">
        <f t="shared" ca="1" si="7"/>
        <v>#VALUE!</v>
      </c>
      <c r="K86" s="109" t="str" cm="1">
        <f t="array" aca="1" ref="K86" ca="1">IF(
   SUMPRODUCT(--ISNUMBER(SEARCH(_xlfn.TEXTSPLIT(D86," "), G86))) / COUNTA(_xlfn.TEXTSPLIT(D86," ")) = 1,
   "Full Match",
   IF(
      SUMPRODUCT(--ISNUMBER(SEARCH(_xlfn.TEXTSPLIT(D86," "), G86))) / COUNTA(_xlfn.TEXTSPLIT(D86," ")) &gt; 0.5,
      "Partial Match",
      "No Match"
   )
)</f>
        <v>No Match</v>
      </c>
      <c r="L86" s="97" t="e" cm="1">
        <f t="array" aca="1" ref="L86" ca="1">_xldudf_BOARDFLARE_FMATCH(G86,D86)</f>
        <v>#NAME?</v>
      </c>
      <c r="M86" s="98" t="e" cm="1" vm="2">
        <f t="array" aca="1" ref="M86" ca="1">_FV(L86,"Similarity",TRUE)</f>
        <v>#VALUE!</v>
      </c>
      <c r="N86" s="97" t="e" cm="1">
        <f t="array" aca="1" ref="N86" ca="1">_xldudf_BOARDFLARE_FMATCH(D86,G86)</f>
        <v>#NAME?</v>
      </c>
      <c r="O86" s="98" t="e" cm="1" vm="2">
        <f t="array" aca="1" ref="O86" ca="1">_FV(N86,"Similarity",TRUE)</f>
        <v>#VALUE!</v>
      </c>
      <c r="AE86" s="96" t="s">
        <v>130</v>
      </c>
      <c r="AF86" s="96" t="s">
        <v>130</v>
      </c>
      <c r="AG86" s="124" t="b">
        <f t="shared" si="8"/>
        <v>1</v>
      </c>
      <c r="AH86" s="124" cm="1">
        <f t="array" aca="1" ref="AH86" ca="1">SUMPRODUCT(--ISNUMBER(SEARCH(_xlfn.TEXTSPLIT(D86," "), G86))) / COUNTA(_xlfn.TEXTSPLIT(D86," "))</f>
        <v>0</v>
      </c>
      <c r="AI86" s="124" t="str" cm="1">
        <f t="array" aca="1" ref="AI86" ca="1">IF(
   SUMPRODUCT(--ISNUMBER(SEARCH(_xlfn.TEXTSPLIT(D86," "), G86))) / COUNTA(_xlfn.TEXTSPLIT(D86," ")) = 1,
   "Full Match",
   IF(
      SUMPRODUCT(--ISNUMBER(SEARCH(_xlfn.TEXTSPLIT(D86," "), G86))) / COUNTA(_xlfn.TEXTSPLIT(D86," ")) &gt; 0.5,
      "Partial Match",
      "No Match"
   )
)</f>
        <v>No Match</v>
      </c>
    </row>
    <row r="87" spans="1:37" ht="321.45" hidden="1">
      <c r="A87" s="110" t="s">
        <v>357</v>
      </c>
      <c r="B87" s="110"/>
      <c r="C87" s="110" t="s">
        <v>70</v>
      </c>
      <c r="D87" s="121" t="s">
        <v>358</v>
      </c>
      <c r="E87" s="107" t="s">
        <v>16</v>
      </c>
      <c r="F87" s="110" t="s">
        <v>359</v>
      </c>
      <c r="G87" s="106" t="s">
        <v>360</v>
      </c>
      <c r="H87" s="107"/>
      <c r="I87" s="107" t="e" cm="1">
        <f t="array" aca="1" ref="I87" ca="1">_xldudf_BOARDFLARE_FMATCH(G87,D87)</f>
        <v>#NAME?</v>
      </c>
      <c r="J87" s="111" t="e" vm="1">
        <f t="shared" ca="1" si="7"/>
        <v>#VALUE!</v>
      </c>
      <c r="K87" s="109" t="str" cm="1">
        <f t="array" aca="1" ref="K87" ca="1">IF(
   SUMPRODUCT(--ISNUMBER(SEARCH(_xlfn.TEXTSPLIT(D87," "), G87))) / COUNTA(_xlfn.TEXTSPLIT(D87," ")) = 1,
   "Full Match",
   IF(
      SUMPRODUCT(--ISNUMBER(SEARCH(_xlfn.TEXTSPLIT(D87," "), G87))) / COUNTA(_xlfn.TEXTSPLIT(D87," ")) &gt; 0.5,
      "Partial Match",
      "No Match"
   )
)</f>
        <v>No Match</v>
      </c>
      <c r="L87" s="97" t="e" cm="1">
        <f t="array" aca="1" ref="L87" ca="1">_xldudf_BOARDFLARE_FMATCH(G87,D87)</f>
        <v>#NAME?</v>
      </c>
      <c r="M87" s="98" t="e" cm="1" vm="2">
        <f t="array" aca="1" ref="M87" ca="1">_FV(L87,"Similarity",TRUE)</f>
        <v>#VALUE!</v>
      </c>
      <c r="N87" s="97" t="e" cm="1">
        <f t="array" aca="1" ref="N87" ca="1">_xldudf_BOARDFLARE_FMATCH(D87,G87)</f>
        <v>#NAME?</v>
      </c>
      <c r="O87" s="98" t="e" cm="1" vm="2">
        <f t="array" aca="1" ref="O87" ca="1">_FV(N87,"Similarity",TRUE)</f>
        <v>#VALUE!</v>
      </c>
      <c r="AE87" s="96" t="s">
        <v>130</v>
      </c>
      <c r="AF87" s="96" t="s">
        <v>130</v>
      </c>
      <c r="AG87" s="124" t="b">
        <f t="shared" ref="AG87" si="9">AE87=AF87</f>
        <v>1</v>
      </c>
      <c r="AH87" s="124" cm="1">
        <f t="array" aca="1" ref="AH87" ca="1">SUMPRODUCT(--ISNUMBER(SEARCH(_xlfn.TEXTSPLIT(D87," "), G87))) / COUNTA(_xlfn.TEXTSPLIT(D87," "))</f>
        <v>0</v>
      </c>
      <c r="AI87" s="124" t="str" cm="1">
        <f t="array" aca="1" ref="AI87" ca="1">IF(
   SUMPRODUCT(--ISNUMBER(SEARCH(_xlfn.TEXTSPLIT(D87," "), G87))) / COUNTA(_xlfn.TEXTSPLIT(D87," ")) = 1,
   "Full Match",
   IF(
      SUMPRODUCT(--ISNUMBER(SEARCH(_xlfn.TEXTSPLIT(D87," "), G87))) / COUNTA(_xlfn.TEXTSPLIT(D87," ")) &gt; 0.5,
      "Partial Match",
      "No Match"
   )
)</f>
        <v>No Match</v>
      </c>
    </row>
    <row r="88" spans="1:37" ht="385.75">
      <c r="A88" s="110" t="s">
        <v>361</v>
      </c>
      <c r="B88" s="110"/>
      <c r="C88" s="110" t="s">
        <v>68</v>
      </c>
      <c r="D88" s="121" t="s">
        <v>282</v>
      </c>
      <c r="E88" s="107" t="s">
        <v>18</v>
      </c>
      <c r="F88" s="110" t="s">
        <v>362</v>
      </c>
      <c r="G88" s="106" t="s">
        <v>363</v>
      </c>
      <c r="H88" s="107"/>
      <c r="I88" s="107" t="e" cm="1">
        <f t="array" aca="1" ref="I88" ca="1">_xldudf_BOARDFLARE_FMATCH(G88,D88)</f>
        <v>#NAME?</v>
      </c>
      <c r="J88" s="111" t="e" vm="1">
        <f t="shared" ca="1" si="7"/>
        <v>#VALUE!</v>
      </c>
      <c r="K88" s="109" t="str" cm="1">
        <f t="array" aca="1" ref="K88" ca="1">IF(
   SUMPRODUCT(--ISNUMBER(SEARCH(_xlfn.TEXTSPLIT(D88," "), G88))) / COUNTA(_xlfn.TEXTSPLIT(D88," ")) = 1,
   "Full Match",
   IF(
      SUMPRODUCT(--ISNUMBER(SEARCH(_xlfn.TEXTSPLIT(D88," "), G88))) / COUNTA(_xlfn.TEXTSPLIT(D88," ")) &gt; 0.5,
      "Partial Match",
      "No Match"
   )
)</f>
        <v>No Match</v>
      </c>
      <c r="L88" s="97" t="e" cm="1">
        <f t="array" aca="1" ref="L88" ca="1">_xldudf_BOARDFLARE_FMATCH(G88,D88)</f>
        <v>#NAME?</v>
      </c>
      <c r="M88" s="98" t="e" cm="1" vm="2">
        <f t="array" aca="1" ref="M88" ca="1">_FV(L88,"Similarity",TRUE)</f>
        <v>#VALUE!</v>
      </c>
      <c r="N88" s="97" t="e" cm="1">
        <f t="array" aca="1" ref="N88" ca="1">_xldudf_BOARDFLARE_FMATCH(D88,G88)</f>
        <v>#NAME?</v>
      </c>
      <c r="O88" s="98" t="e" cm="1" vm="2">
        <f t="array" aca="1" ref="O88" ca="1">_FV(N88,"Similarity",TRUE)</f>
        <v>#VALUE!</v>
      </c>
      <c r="Q88" s="124">
        <v>20</v>
      </c>
      <c r="R88" s="124">
        <v>5</v>
      </c>
      <c r="S88" s="96" t="s">
        <v>285</v>
      </c>
      <c r="T88" s="124">
        <v>20</v>
      </c>
      <c r="U88" s="124">
        <v>5</v>
      </c>
      <c r="V88" s="96" t="s">
        <v>168</v>
      </c>
      <c r="W88" s="96" t="s">
        <v>200</v>
      </c>
      <c r="X88" s="96" t="str" cm="1">
        <f t="array" aca="1" ref="X88" ca="1">IF(
   SUMPRODUCT(--ISNUMBER(SEARCH(_xlfn.TEXTSPLIT(D88," "), G88))) / COUNTA(_xlfn.TEXTSPLIT(D88," ")) = 1,
   "Full Match",
   IF(
      SUMPRODUCT(--ISNUMBER(SEARCH(_xlfn.TEXTSPLIT(D88," "), G88))) / COUNTA(_xlfn.TEXTSPLIT(D88," ")) &gt; 0.5,
      "Partial Match",
      "No Match"
   )
)</f>
        <v>No Match</v>
      </c>
      <c r="AG88" s="96"/>
      <c r="AH88" s="96"/>
      <c r="AI88" s="96"/>
      <c r="AJ88" s="96"/>
      <c r="AK88" s="96"/>
    </row>
    <row r="89" spans="1:37" ht="12.9" hidden="1">
      <c r="A89" s="110" t="s">
        <v>364</v>
      </c>
      <c r="B89" s="110"/>
      <c r="C89" s="110" t="s">
        <v>70</v>
      </c>
      <c r="D89" s="107" t="s">
        <v>358</v>
      </c>
      <c r="E89" s="107" t="s">
        <v>16</v>
      </c>
      <c r="F89" s="110" t="s">
        <v>365</v>
      </c>
      <c r="G89" s="106" t="s">
        <v>366</v>
      </c>
      <c r="H89" s="107"/>
      <c r="I89" s="107" t="e" cm="1">
        <f t="array" aca="1" ref="I89" ca="1">_xldudf_BOARDFLARE_FMATCH(G89,D89)</f>
        <v>#NAME?</v>
      </c>
      <c r="J89" s="111" t="e" vm="1">
        <f t="shared" ca="1" si="7"/>
        <v>#VALUE!</v>
      </c>
      <c r="K89" s="109" t="str" cm="1">
        <f t="array" aca="1" ref="K89" ca="1">IF(
   SUMPRODUCT(--ISNUMBER(SEARCH(_xlfn.TEXTSPLIT(D89," "), G89))) / COUNTA(_xlfn.TEXTSPLIT(D89," ")) = 1,
   "Full Match",
   IF(
      SUMPRODUCT(--ISNUMBER(SEARCH(_xlfn.TEXTSPLIT(D89," "), G89))) / COUNTA(_xlfn.TEXTSPLIT(D89," ")) &gt; 0.5,
      "Partial Match",
      "No Match"
   )
)</f>
        <v>No Match</v>
      </c>
      <c r="L89" s="97" t="e" cm="1">
        <f t="array" aca="1" ref="L89" ca="1">_xldudf_BOARDFLARE_FMATCH(G89,D89)</f>
        <v>#NAME?</v>
      </c>
      <c r="M89" s="98" t="e" cm="1" vm="2">
        <f t="array" aca="1" ref="M89" ca="1">_FV(L89,"Similarity",TRUE)</f>
        <v>#VALUE!</v>
      </c>
      <c r="N89" s="97" t="e" cm="1">
        <f t="array" aca="1" ref="N89" ca="1">_xldudf_BOARDFLARE_FMATCH(D89,G89)</f>
        <v>#NAME?</v>
      </c>
      <c r="O89" s="98" t="e" cm="1" vm="2">
        <f t="array" aca="1" ref="O89" ca="1">_FV(N89,"Similarity",TRUE)</f>
        <v>#VALUE!</v>
      </c>
      <c r="AE89" s="96" t="s">
        <v>130</v>
      </c>
      <c r="AF89" s="96" t="s">
        <v>130</v>
      </c>
      <c r="AG89" s="124" t="b">
        <f t="shared" ref="AG89:AG90" si="10">AE89=AF89</f>
        <v>1</v>
      </c>
      <c r="AH89" s="124" cm="1">
        <f t="array" aca="1" ref="AH89" ca="1">SUMPRODUCT(--ISNUMBER(SEARCH(_xlfn.TEXTSPLIT(D89," "), G89))) / COUNTA(_xlfn.TEXTSPLIT(D89," "))</f>
        <v>0</v>
      </c>
      <c r="AI89" s="124" t="str" cm="1">
        <f t="array" aca="1" ref="AI89" ca="1">IF(
   SUMPRODUCT(--ISNUMBER(SEARCH(_xlfn.TEXTSPLIT(D89," "), G89))) / COUNTA(_xlfn.TEXTSPLIT(D89," ")) = 1,
   "Full Match",
   IF(
      SUMPRODUCT(--ISNUMBER(SEARCH(_xlfn.TEXTSPLIT(D89," "), G89))) / COUNTA(_xlfn.TEXTSPLIT(D89," ")) &gt; 0.5,
      "Partial Match",
      "No Match"
   )
)</f>
        <v>No Match</v>
      </c>
    </row>
    <row r="90" spans="1:37" ht="12.9" hidden="1">
      <c r="A90" s="110" t="s">
        <v>367</v>
      </c>
      <c r="B90" s="110"/>
      <c r="C90" s="110" t="s">
        <v>70</v>
      </c>
      <c r="D90" s="107" t="s">
        <v>368</v>
      </c>
      <c r="E90" s="107" t="s">
        <v>16</v>
      </c>
      <c r="F90" s="110" t="s">
        <v>369</v>
      </c>
      <c r="G90" s="106" t="s">
        <v>370</v>
      </c>
      <c r="H90" s="107"/>
      <c r="I90" s="107" t="e" cm="1">
        <f t="array" aca="1" ref="I90" ca="1">_xldudf_BOARDFLARE_FMATCH(G90,D90)</f>
        <v>#NAME?</v>
      </c>
      <c r="J90" s="111" t="e" vm="1">
        <f t="shared" ca="1" si="7"/>
        <v>#VALUE!</v>
      </c>
      <c r="K90" s="109" t="str" cm="1">
        <f t="array" aca="1" ref="K90" ca="1">IF(
   SUMPRODUCT(--ISNUMBER(SEARCH(_xlfn.TEXTSPLIT(D90," "), G90))) / COUNTA(_xlfn.TEXTSPLIT(D90," ")) = 1,
   "Full Match",
   IF(
      SUMPRODUCT(--ISNUMBER(SEARCH(_xlfn.TEXTSPLIT(D90," "), G90))) / COUNTA(_xlfn.TEXTSPLIT(D90," ")) &gt; 0.5,
      "Partial Match",
      "No Match"
   )
)</f>
        <v>No Match</v>
      </c>
      <c r="L90" s="97" t="e" cm="1">
        <f t="array" aca="1" ref="L90" ca="1">_xldudf_BOARDFLARE_FMATCH(G90,D90)</f>
        <v>#NAME?</v>
      </c>
      <c r="M90" s="98" t="e" cm="1" vm="2">
        <f t="array" aca="1" ref="M90" ca="1">_FV(L90,"Similarity",TRUE)</f>
        <v>#VALUE!</v>
      </c>
      <c r="N90" s="97" t="e" cm="1">
        <f t="array" aca="1" ref="N90" ca="1">_xldudf_BOARDFLARE_FMATCH(D90,G90)</f>
        <v>#NAME?</v>
      </c>
      <c r="O90" s="98" t="e" cm="1" vm="2">
        <f t="array" aca="1" ref="O90" ca="1">_FV(N90,"Similarity",TRUE)</f>
        <v>#VALUE!</v>
      </c>
      <c r="AE90" s="96" t="s">
        <v>130</v>
      </c>
      <c r="AF90" s="96" t="s">
        <v>130</v>
      </c>
      <c r="AG90" s="124" t="b">
        <f t="shared" si="10"/>
        <v>1</v>
      </c>
      <c r="AH90" s="124" cm="1">
        <f t="array" aca="1" ref="AH90" ca="1">SUMPRODUCT(--ISNUMBER(SEARCH(_xlfn.TEXTSPLIT(D90," "), G90))) / COUNTA(_xlfn.TEXTSPLIT(D90," "))</f>
        <v>0</v>
      </c>
      <c r="AI90" s="124" t="str" cm="1">
        <f t="array" aca="1" ref="AI90" ca="1">IF(
   SUMPRODUCT(--ISNUMBER(SEARCH(_xlfn.TEXTSPLIT(D90," "), G90))) / COUNTA(_xlfn.TEXTSPLIT(D90," ")) = 1,
   "Full Match",
   IF(
      SUMPRODUCT(--ISNUMBER(SEARCH(_xlfn.TEXTSPLIT(D90," "), G90))) / COUNTA(_xlfn.TEXTSPLIT(D90," ")) &gt; 0.5,
      "Partial Match",
      "No Match"
   )
)</f>
        <v>No Match</v>
      </c>
    </row>
    <row r="91" spans="1:37" ht="90">
      <c r="A91" s="110" t="s">
        <v>371</v>
      </c>
      <c r="B91" s="110"/>
      <c r="C91" s="110" t="s">
        <v>68</v>
      </c>
      <c r="D91" s="121" t="s">
        <v>372</v>
      </c>
      <c r="E91" s="107"/>
      <c r="F91" s="110" t="s">
        <v>373</v>
      </c>
      <c r="G91" s="106" t="s">
        <v>374</v>
      </c>
      <c r="H91" s="107"/>
      <c r="I91" s="107" t="e" cm="1">
        <f t="array" aca="1" ref="I91" ca="1">_xldudf_BOARDFLARE_FMATCH(G91,D91)</f>
        <v>#NAME?</v>
      </c>
      <c r="J91" s="111" t="e" vm="1">
        <f t="shared" ca="1" si="7"/>
        <v>#VALUE!</v>
      </c>
      <c r="K91" s="109" t="str" cm="1">
        <f t="array" aca="1" ref="K91" ca="1">IF(
   SUMPRODUCT(--ISNUMBER(SEARCH(_xlfn.TEXTSPLIT(D91," "), G91))) / COUNTA(_xlfn.TEXTSPLIT(D91," ")) = 1,
   "Full Match",
   IF(
      SUMPRODUCT(--ISNUMBER(SEARCH(_xlfn.TEXTSPLIT(D91," "), G91))) / COUNTA(_xlfn.TEXTSPLIT(D91," ")) &gt; 0.5,
      "Partial Match",
      "No Match"
   )
)</f>
        <v>No Match</v>
      </c>
      <c r="L91" s="97" t="e" cm="1">
        <f t="array" aca="1" ref="L91" ca="1">_xldudf_BOARDFLARE_FMATCH(G91,D91)</f>
        <v>#NAME?</v>
      </c>
      <c r="M91" s="98" t="e" cm="1" vm="2">
        <f t="array" aca="1" ref="M91" ca="1">_FV(L91,"Similarity",TRUE)</f>
        <v>#VALUE!</v>
      </c>
      <c r="N91" s="97" t="e" cm="1">
        <f t="array" aca="1" ref="N91" ca="1">_xldudf_BOARDFLARE_FMATCH(D91,G91)</f>
        <v>#NAME?</v>
      </c>
      <c r="O91" s="98" t="e" cm="1" vm="2">
        <f t="array" aca="1" ref="O91" ca="1">_FV(N91,"Similarity",TRUE)</f>
        <v>#VALUE!</v>
      </c>
      <c r="Q91" s="124">
        <v>5</v>
      </c>
      <c r="R91" s="124">
        <v>9</v>
      </c>
      <c r="S91" s="96" t="s">
        <v>375</v>
      </c>
      <c r="T91" s="124">
        <v>5</v>
      </c>
      <c r="U91" s="124">
        <v>9</v>
      </c>
      <c r="V91" s="96" t="s">
        <v>168</v>
      </c>
      <c r="W91" s="96" t="s">
        <v>200</v>
      </c>
      <c r="X91" s="96" t="str" cm="1">
        <f t="array" aca="1" ref="X91" ca="1">IF(
   SUMPRODUCT(--ISNUMBER(SEARCH(_xlfn.TEXTSPLIT(D91," "), G91))) / COUNTA(_xlfn.TEXTSPLIT(D91," ")) = 1,
   "Full Match",
   IF(
      SUMPRODUCT(--ISNUMBER(SEARCH(_xlfn.TEXTSPLIT(D91," "), G91))) / COUNTA(_xlfn.TEXTSPLIT(D91," ")) &gt; 0.5,
      "Partial Match",
      "No Match"
   )
)</f>
        <v>No Match</v>
      </c>
      <c r="AG91" s="96"/>
      <c r="AH91" s="96"/>
      <c r="AI91" s="96"/>
      <c r="AJ91" s="96"/>
      <c r="AK91" s="96"/>
    </row>
    <row r="92" spans="1:37" ht="77.150000000000006">
      <c r="A92" s="110" t="s">
        <v>376</v>
      </c>
      <c r="B92" s="110"/>
      <c r="C92" s="110" t="s">
        <v>68</v>
      </c>
      <c r="D92" s="121" t="s">
        <v>377</v>
      </c>
      <c r="E92" s="107" t="s">
        <v>18</v>
      </c>
      <c r="F92" s="110" t="s">
        <v>378</v>
      </c>
      <c r="G92" s="106" t="s">
        <v>379</v>
      </c>
      <c r="H92" s="107"/>
      <c r="I92" s="107" t="e" cm="1">
        <f t="array" aca="1" ref="I92" ca="1">_xldudf_BOARDFLARE_FMATCH(G92,D92)</f>
        <v>#NAME?</v>
      </c>
      <c r="J92" s="111" t="e" vm="1">
        <f t="shared" ca="1" si="7"/>
        <v>#VALUE!</v>
      </c>
      <c r="K92" s="109" t="str" cm="1">
        <f t="array" aca="1" ref="K92" ca="1">IF(
   SUMPRODUCT(--ISNUMBER(SEARCH(_xlfn.TEXTSPLIT(D92," "), G92))) / COUNTA(_xlfn.TEXTSPLIT(D92," ")) = 1,
   "Full Match",
   IF(
      SUMPRODUCT(--ISNUMBER(SEARCH(_xlfn.TEXTSPLIT(D92," "), G92))) / COUNTA(_xlfn.TEXTSPLIT(D92," ")) &gt; 0.5,
      "Partial Match",
      "No Match"
   )
)</f>
        <v>No Match</v>
      </c>
      <c r="L92" s="97" t="e" cm="1">
        <f t="array" aca="1" ref="L92" ca="1">_xldudf_BOARDFLARE_FMATCH(G92,D92)</f>
        <v>#NAME?</v>
      </c>
      <c r="M92" s="98" t="e" cm="1" vm="2">
        <f t="array" aca="1" ref="M92" ca="1">_FV(L92,"Similarity",TRUE)</f>
        <v>#VALUE!</v>
      </c>
      <c r="N92" s="97" t="e" cm="1">
        <f t="array" aca="1" ref="N92" ca="1">_xldudf_BOARDFLARE_FMATCH(D92,G92)</f>
        <v>#NAME?</v>
      </c>
      <c r="O92" s="98" t="e" cm="1" vm="2">
        <f t="array" aca="1" ref="O92" ca="1">_FV(N92,"Similarity",TRUE)</f>
        <v>#VALUE!</v>
      </c>
      <c r="Q92" s="124">
        <v>2</v>
      </c>
      <c r="R92" s="124">
        <v>9</v>
      </c>
      <c r="S92" s="96" t="s">
        <v>380</v>
      </c>
      <c r="T92" s="124">
        <v>8</v>
      </c>
      <c r="U92" s="124">
        <v>7</v>
      </c>
      <c r="V92" s="96" t="s">
        <v>168</v>
      </c>
      <c r="W92" s="96" t="s">
        <v>381</v>
      </c>
      <c r="X92" s="96" t="str" cm="1">
        <f t="array" aca="1" ref="X92" ca="1">IF(
   SUMPRODUCT(--ISNUMBER(SEARCH(_xlfn.TEXTSPLIT(D92," "), G92))) / COUNTA(_xlfn.TEXTSPLIT(D92," ")) = 1,
   "Full Match",
   IF(
      SUMPRODUCT(--ISNUMBER(SEARCH(_xlfn.TEXTSPLIT(D92," "), G92))) / COUNTA(_xlfn.TEXTSPLIT(D92," ")) &gt; 0.5,
      "Partial Match",
      "No Match"
   )
)</f>
        <v>No Match</v>
      </c>
      <c r="AG92" s="96"/>
      <c r="AH92" s="96"/>
      <c r="AI92" s="96"/>
      <c r="AJ92" s="96"/>
      <c r="AK92" s="96"/>
    </row>
    <row r="93" spans="1:37" ht="12.9" hidden="1">
      <c r="A93" s="110" t="s">
        <v>382</v>
      </c>
      <c r="B93" s="110"/>
      <c r="C93" s="110" t="s">
        <v>70</v>
      </c>
      <c r="D93" s="107" t="s">
        <v>383</v>
      </c>
      <c r="E93" s="107" t="s">
        <v>16</v>
      </c>
      <c r="F93" s="110" t="s">
        <v>384</v>
      </c>
      <c r="G93" s="106" t="s">
        <v>385</v>
      </c>
      <c r="H93" s="107"/>
      <c r="I93" s="107" t="e" cm="1">
        <f t="array" aca="1" ref="I93" ca="1">_xldudf_BOARDFLARE_FMATCH(G93,D93)</f>
        <v>#NAME?</v>
      </c>
      <c r="J93" s="111" t="e" vm="1">
        <f t="shared" ca="1" si="7"/>
        <v>#VALUE!</v>
      </c>
      <c r="K93" s="109" t="str" cm="1">
        <f t="array" aca="1" ref="K93" ca="1">IF(
   SUMPRODUCT(--ISNUMBER(SEARCH(_xlfn.TEXTSPLIT(D93," "), G93))) / COUNTA(_xlfn.TEXTSPLIT(D93," ")) = 1,
   "Full Match",
   IF(
      SUMPRODUCT(--ISNUMBER(SEARCH(_xlfn.TEXTSPLIT(D93," "), G93))) / COUNTA(_xlfn.TEXTSPLIT(D93," ")) &gt; 0.5,
      "Partial Match",
      "No Match"
   )
)</f>
        <v>No Match</v>
      </c>
      <c r="L93" s="97" t="e" cm="1">
        <f t="array" aca="1" ref="L93" ca="1">_xldudf_BOARDFLARE_FMATCH(G93,D93)</f>
        <v>#NAME?</v>
      </c>
      <c r="M93" s="98" t="e" cm="1" vm="2">
        <f t="array" aca="1" ref="M93" ca="1">_FV(L93,"Similarity",TRUE)</f>
        <v>#VALUE!</v>
      </c>
      <c r="N93" s="97" t="e" cm="1">
        <f t="array" aca="1" ref="N93" ca="1">_xldudf_BOARDFLARE_FMATCH(D93,G93)</f>
        <v>#NAME?</v>
      </c>
      <c r="O93" s="98" t="e" cm="1" vm="2">
        <f t="array" aca="1" ref="O93" ca="1">_FV(N93,"Similarity",TRUE)</f>
        <v>#VALUE!</v>
      </c>
      <c r="AE93" s="96" t="s">
        <v>130</v>
      </c>
      <c r="AF93" s="96" t="s">
        <v>130</v>
      </c>
      <c r="AG93" s="124" t="b">
        <f t="shared" ref="AG93:AG94" si="11">AE93=AF93</f>
        <v>1</v>
      </c>
      <c r="AH93" s="124" cm="1">
        <f t="array" aca="1" ref="AH93" ca="1">SUMPRODUCT(--ISNUMBER(SEARCH(_xlfn.TEXTSPLIT(D93," "), G93))) / COUNTA(_xlfn.TEXTSPLIT(D93," "))</f>
        <v>0</v>
      </c>
      <c r="AI93" s="124" t="str" cm="1">
        <f t="array" aca="1" ref="AI93" ca="1">IF(
   SUMPRODUCT(--ISNUMBER(SEARCH(_xlfn.TEXTSPLIT(D93," "), G93))) / COUNTA(_xlfn.TEXTSPLIT(D93," ")) = 1,
   "Full Match",
   IF(
      SUMPRODUCT(--ISNUMBER(SEARCH(_xlfn.TEXTSPLIT(D93," "), G93))) / COUNTA(_xlfn.TEXTSPLIT(D93," ")) &gt; 0.5,
      "Partial Match",
      "No Match"
   )
)</f>
        <v>No Match</v>
      </c>
    </row>
    <row r="94" spans="1:37" ht="12.9" hidden="1">
      <c r="A94" s="110" t="s">
        <v>386</v>
      </c>
      <c r="B94" s="110"/>
      <c r="C94" s="110" t="s">
        <v>70</v>
      </c>
      <c r="D94" s="107" t="s">
        <v>387</v>
      </c>
      <c r="E94" s="107" t="s">
        <v>17</v>
      </c>
      <c r="F94" s="110" t="s">
        <v>388</v>
      </c>
      <c r="G94" s="106"/>
      <c r="H94" s="107"/>
      <c r="I94" s="107" t="e" cm="1">
        <f t="array" aca="1" ref="I94" ca="1">_xldudf_BOARDFLARE_FMATCH(G94,D94)</f>
        <v>#NAME?</v>
      </c>
      <c r="J94" s="111" t="e" vm="1">
        <f t="shared" ca="1" si="7"/>
        <v>#VALUE!</v>
      </c>
      <c r="K94" s="109" t="str" cm="1">
        <f t="array" aca="1" ref="K94" ca="1">IF(
   SUMPRODUCT(--ISNUMBER(SEARCH(_xlfn.TEXTSPLIT(D94," "), G94))) / COUNTA(_xlfn.TEXTSPLIT(D94," ")) = 1,
   "Full Match",
   IF(
      SUMPRODUCT(--ISNUMBER(SEARCH(_xlfn.TEXTSPLIT(D94," "), G94))) / COUNTA(_xlfn.TEXTSPLIT(D94," ")) &gt; 0.5,
      "Partial Match",
      "No Match"
   )
)</f>
        <v>No Match</v>
      </c>
      <c r="L94" s="97" t="e" cm="1">
        <f t="array" aca="1" ref="L94" ca="1">_xldudf_BOARDFLARE_FMATCH(G94,D94)</f>
        <v>#NAME?</v>
      </c>
      <c r="M94" s="98" t="e" cm="1" vm="2">
        <f t="array" aca="1" ref="M94" ca="1">_FV(L94,"Similarity",TRUE)</f>
        <v>#VALUE!</v>
      </c>
      <c r="N94" s="97" t="e" cm="1">
        <f t="array" aca="1" ref="N94" ca="1">_xldudf_BOARDFLARE_FMATCH(D94,G94)</f>
        <v>#NAME?</v>
      </c>
      <c r="O94" s="98" t="e" cm="1" vm="2">
        <f t="array" aca="1" ref="O94" ca="1">_FV(N94,"Similarity",TRUE)</f>
        <v>#VALUE!</v>
      </c>
      <c r="AE94" s="96" t="s">
        <v>130</v>
      </c>
      <c r="AF94" s="96" t="s">
        <v>168</v>
      </c>
      <c r="AG94" s="124" t="b">
        <f t="shared" si="11"/>
        <v>0</v>
      </c>
      <c r="AH94" s="124" cm="1">
        <f t="array" aca="1" ref="AH94" ca="1">SUMPRODUCT(--ISNUMBER(SEARCH(_xlfn.TEXTSPLIT(D94," "), G94))) / COUNTA(_xlfn.TEXTSPLIT(D94," "))</f>
        <v>0</v>
      </c>
      <c r="AI94" s="124" t="str" cm="1">
        <f t="array" aca="1" ref="AI94" ca="1">IF(
   SUMPRODUCT(--ISNUMBER(SEARCH(_xlfn.TEXTSPLIT(D94," "), G94))) / COUNTA(_xlfn.TEXTSPLIT(D94," ")) = 1,
   "Full Match",
   IF(
      SUMPRODUCT(--ISNUMBER(SEARCH(_xlfn.TEXTSPLIT(D94," "), G94))) / COUNTA(_xlfn.TEXTSPLIT(D94," ")) &gt; 0.5,
      "Partial Match",
      "No Match"
   )
)</f>
        <v>No Match</v>
      </c>
    </row>
    <row r="95" spans="1:37" ht="270">
      <c r="A95" s="110" t="s">
        <v>389</v>
      </c>
      <c r="B95" s="110"/>
      <c r="C95" s="110" t="s">
        <v>68</v>
      </c>
      <c r="D95" s="121" t="s">
        <v>390</v>
      </c>
      <c r="E95" s="107" t="s">
        <v>18</v>
      </c>
      <c r="F95" s="110" t="s">
        <v>391</v>
      </c>
      <c r="G95" s="106" t="s">
        <v>392</v>
      </c>
      <c r="H95" s="107"/>
      <c r="I95" s="107" t="e" cm="1">
        <f t="array" aca="1" ref="I95" ca="1">_xldudf_BOARDFLARE_FMATCH(G95,D95)</f>
        <v>#NAME?</v>
      </c>
      <c r="J95" s="111" t="e" vm="1">
        <f t="shared" ca="1" si="7"/>
        <v>#VALUE!</v>
      </c>
      <c r="K95" s="109" t="str" cm="1">
        <f t="array" aca="1" ref="K95" ca="1">IF(
   SUMPRODUCT(--ISNUMBER(SEARCH(_xlfn.TEXTSPLIT(D95," "), G95))) / COUNTA(_xlfn.TEXTSPLIT(D95," ")) = 1,
   "Full Match",
   IF(
      SUMPRODUCT(--ISNUMBER(SEARCH(_xlfn.TEXTSPLIT(D95," "), G95))) / COUNTA(_xlfn.TEXTSPLIT(D95," ")) &gt; 0.5,
      "Partial Match",
      "No Match"
   )
)</f>
        <v>No Match</v>
      </c>
      <c r="L95" s="97" t="e" cm="1">
        <f t="array" aca="1" ref="L95" ca="1">_xldudf_BOARDFLARE_FMATCH(G95,D95)</f>
        <v>#NAME?</v>
      </c>
      <c r="M95" s="98" t="e" cm="1" vm="2">
        <f t="array" aca="1" ref="M95" ca="1">_FV(L95,"Similarity",TRUE)</f>
        <v>#VALUE!</v>
      </c>
      <c r="N95" s="97" t="e" cm="1">
        <f t="array" aca="1" ref="N95" ca="1">_xldudf_BOARDFLARE_FMATCH(D95,G95)</f>
        <v>#NAME?</v>
      </c>
      <c r="O95" s="98" t="e" cm="1" vm="2">
        <f t="array" aca="1" ref="O95" ca="1">_FV(N95,"Similarity",TRUE)</f>
        <v>#VALUE!</v>
      </c>
      <c r="Q95" s="124">
        <v>8</v>
      </c>
      <c r="R95" s="124">
        <v>7</v>
      </c>
      <c r="S95" s="96" t="s">
        <v>393</v>
      </c>
      <c r="T95" s="124">
        <v>31</v>
      </c>
      <c r="U95" s="124">
        <v>5</v>
      </c>
      <c r="V95" s="96" t="s">
        <v>168</v>
      </c>
      <c r="W95" s="96" t="s">
        <v>381</v>
      </c>
      <c r="X95" s="96" t="str" cm="1">
        <f t="array" aca="1" ref="X95" ca="1">IF(
   SUMPRODUCT(--ISNUMBER(SEARCH(_xlfn.TEXTSPLIT(D95," "), G95))) / COUNTA(_xlfn.TEXTSPLIT(D95," ")) = 1,
   "Full Match",
   IF(
      SUMPRODUCT(--ISNUMBER(SEARCH(_xlfn.TEXTSPLIT(D95," "), G95))) / COUNTA(_xlfn.TEXTSPLIT(D95," ")) &gt; 0.5,
      "Partial Match",
      "No Match"
   )
)</f>
        <v>No Match</v>
      </c>
      <c r="AG95" s="96"/>
      <c r="AH95" s="96"/>
      <c r="AI95" s="96"/>
      <c r="AJ95" s="96"/>
      <c r="AK95" s="96"/>
    </row>
    <row r="96" spans="1:37" ht="295.75">
      <c r="A96" s="110" t="s">
        <v>394</v>
      </c>
      <c r="B96" s="110"/>
      <c r="C96" s="110" t="s">
        <v>68</v>
      </c>
      <c r="D96" s="121" t="s">
        <v>395</v>
      </c>
      <c r="E96" s="107" t="s">
        <v>18</v>
      </c>
      <c r="F96" s="110" t="s">
        <v>396</v>
      </c>
      <c r="G96" s="106" t="s">
        <v>392</v>
      </c>
      <c r="H96" s="107"/>
      <c r="I96" s="107" t="e" cm="1">
        <f t="array" aca="1" ref="I96" ca="1">_xldudf_BOARDFLARE_FMATCH(G96,D96)</f>
        <v>#NAME?</v>
      </c>
      <c r="J96" s="111" t="e" vm="1">
        <f t="shared" ca="1" si="7"/>
        <v>#VALUE!</v>
      </c>
      <c r="K96" s="109" t="str" cm="1">
        <f t="array" aca="1" ref="K96" ca="1">IF(
   SUMPRODUCT(--ISNUMBER(SEARCH(_xlfn.TEXTSPLIT(D96," "), G96))) / COUNTA(_xlfn.TEXTSPLIT(D96," ")) = 1,
   "Full Match",
   IF(
      SUMPRODUCT(--ISNUMBER(SEARCH(_xlfn.TEXTSPLIT(D96," "), G96))) / COUNTA(_xlfn.TEXTSPLIT(D96," ")) &gt; 0.5,
      "Partial Match",
      "No Match"
   )
)</f>
        <v>No Match</v>
      </c>
      <c r="L96" s="97" t="e" cm="1">
        <f t="array" aca="1" ref="L96" ca="1">_xldudf_BOARDFLARE_FMATCH(G96,D96)</f>
        <v>#NAME?</v>
      </c>
      <c r="M96" s="98" t="e" cm="1" vm="2">
        <f t="array" aca="1" ref="M96" ca="1">_FV(L96,"Similarity",TRUE)</f>
        <v>#VALUE!</v>
      </c>
      <c r="N96" s="97" t="e" cm="1">
        <f t="array" aca="1" ref="N96" ca="1">_xldudf_BOARDFLARE_FMATCH(D96,G96)</f>
        <v>#NAME?</v>
      </c>
      <c r="O96" s="98" t="e" cm="1" vm="2">
        <f t="array" aca="1" ref="O96" ca="1">_FV(N96,"Similarity",TRUE)</f>
        <v>#VALUE!</v>
      </c>
      <c r="Q96" s="124">
        <v>8</v>
      </c>
      <c r="R96" s="124">
        <v>7</v>
      </c>
      <c r="S96" s="96" t="s">
        <v>397</v>
      </c>
      <c r="T96" s="124">
        <v>31</v>
      </c>
      <c r="U96" s="124">
        <v>5</v>
      </c>
      <c r="V96" s="96" t="s">
        <v>168</v>
      </c>
      <c r="W96" s="96" t="s">
        <v>381</v>
      </c>
      <c r="X96" s="96" t="str" cm="1">
        <f t="array" aca="1" ref="X96" ca="1">IF(
   SUMPRODUCT(--ISNUMBER(SEARCH(_xlfn.TEXTSPLIT(D96," "), G96))) / COUNTA(_xlfn.TEXTSPLIT(D96," ")) = 1,
   "Full Match",
   IF(
      SUMPRODUCT(--ISNUMBER(SEARCH(_xlfn.TEXTSPLIT(D96," "), G96))) / COUNTA(_xlfn.TEXTSPLIT(D96," ")) &gt; 0.5,
      "Partial Match",
      "No Match"
   )
)</f>
        <v>No Match</v>
      </c>
      <c r="AG96" s="96"/>
      <c r="AH96" s="96"/>
      <c r="AI96" s="96"/>
      <c r="AJ96" s="96"/>
      <c r="AK96" s="96"/>
    </row>
    <row r="97" spans="1:37" ht="12.9" hidden="1">
      <c r="A97" s="110" t="s">
        <v>398</v>
      </c>
      <c r="B97" s="110"/>
      <c r="C97" s="110" t="s">
        <v>70</v>
      </c>
      <c r="D97" s="107" t="s">
        <v>399</v>
      </c>
      <c r="E97" s="107" t="s">
        <v>16</v>
      </c>
      <c r="F97" s="110" t="s">
        <v>400</v>
      </c>
      <c r="G97" s="106" t="s">
        <v>401</v>
      </c>
      <c r="H97" s="107"/>
      <c r="I97" s="107" t="e" cm="1">
        <f t="array" aca="1" ref="I97" ca="1">_xldudf_BOARDFLARE_FMATCH(G97,D97)</f>
        <v>#NAME?</v>
      </c>
      <c r="J97" s="111" t="e" vm="1">
        <f t="shared" ca="1" si="7"/>
        <v>#VALUE!</v>
      </c>
      <c r="K97" s="109" t="str" cm="1">
        <f t="array" aca="1" ref="K97" ca="1">IF(
   SUMPRODUCT(--ISNUMBER(SEARCH(_xlfn.TEXTSPLIT(D97," "), G97))) / COUNTA(_xlfn.TEXTSPLIT(D97," ")) = 1,
   "Full Match",
   IF(
      SUMPRODUCT(--ISNUMBER(SEARCH(_xlfn.TEXTSPLIT(D97," "), G97))) / COUNTA(_xlfn.TEXTSPLIT(D97," ")) &gt; 0.5,
      "Partial Match",
      "No Match"
   )
)</f>
        <v>No Match</v>
      </c>
      <c r="L97" s="97" t="e" cm="1">
        <f t="array" aca="1" ref="L97" ca="1">_xldudf_BOARDFLARE_FMATCH(G97,D97)</f>
        <v>#NAME?</v>
      </c>
      <c r="M97" s="98" t="e" cm="1" vm="2">
        <f t="array" aca="1" ref="M97" ca="1">_FV(L97,"Similarity",TRUE)</f>
        <v>#VALUE!</v>
      </c>
      <c r="N97" s="97" t="e" cm="1">
        <f t="array" aca="1" ref="N97" ca="1">_xldudf_BOARDFLARE_FMATCH(D97,G97)</f>
        <v>#NAME?</v>
      </c>
      <c r="O97" s="98" t="e" cm="1" vm="2">
        <f t="array" aca="1" ref="O97" ca="1">_FV(N97,"Similarity",TRUE)</f>
        <v>#VALUE!</v>
      </c>
      <c r="AE97" s="96" t="s">
        <v>130</v>
      </c>
      <c r="AF97" s="96" t="s">
        <v>168</v>
      </c>
      <c r="AG97" s="124" t="b">
        <f t="shared" ref="AG97:AG101" si="12">AE97=AF97</f>
        <v>0</v>
      </c>
      <c r="AH97" s="124" cm="1">
        <f t="array" aca="1" ref="AH97" ca="1">SUMPRODUCT(--ISNUMBER(SEARCH(_xlfn.TEXTSPLIT(D97," "), G97))) / COUNTA(_xlfn.TEXTSPLIT(D97," "))</f>
        <v>0</v>
      </c>
      <c r="AI97" s="124" t="str" cm="1">
        <f t="array" aca="1" ref="AI97" ca="1">IF(
   SUMPRODUCT(--ISNUMBER(SEARCH(_xlfn.TEXTSPLIT(D97," "), G97))) / COUNTA(_xlfn.TEXTSPLIT(D97," ")) = 1,
   "Full Match",
   IF(
      SUMPRODUCT(--ISNUMBER(SEARCH(_xlfn.TEXTSPLIT(D97," "), G97))) / COUNTA(_xlfn.TEXTSPLIT(D97," ")) &gt; 0.5,
      "Partial Match",
      "No Match"
   )
)</f>
        <v>No Match</v>
      </c>
    </row>
    <row r="98" spans="1:37" ht="12.9" hidden="1">
      <c r="A98" s="110" t="s">
        <v>402</v>
      </c>
      <c r="B98" s="110"/>
      <c r="C98" s="110" t="s">
        <v>70</v>
      </c>
      <c r="D98" s="121"/>
      <c r="E98" s="107" t="s">
        <v>16</v>
      </c>
      <c r="F98" s="110" t="s">
        <v>403</v>
      </c>
      <c r="G98" s="106" t="s">
        <v>404</v>
      </c>
      <c r="H98" s="107"/>
      <c r="I98" s="107" t="e" cm="1">
        <f t="array" aca="1" ref="I98" ca="1">_xldudf_BOARDFLARE_FMATCH(G98,D98)</f>
        <v>#NAME?</v>
      </c>
      <c r="J98" s="111" t="e" vm="1">
        <f t="shared" ca="1" si="7"/>
        <v>#VALUE!</v>
      </c>
      <c r="K98" s="109" t="str" cm="1">
        <f t="array" aca="1" ref="K98" ca="1">IF(
   SUMPRODUCT(--ISNUMBER(SEARCH(_xlfn.TEXTSPLIT(D98," "), G98))) / COUNTA(_xlfn.TEXTSPLIT(D98," ")) = 1,
   "Full Match",
   IF(
      SUMPRODUCT(--ISNUMBER(SEARCH(_xlfn.TEXTSPLIT(D98," "), G98))) / COUNTA(_xlfn.TEXTSPLIT(D98," ")) &gt; 0.5,
      "Partial Match",
      "No Match"
   )
)</f>
        <v>No Match</v>
      </c>
      <c r="L98" s="97" t="e" cm="1">
        <f t="array" aca="1" ref="L98" ca="1">_xldudf_BOARDFLARE_FMATCH(G98,D98)</f>
        <v>#NAME?</v>
      </c>
      <c r="M98" s="98" t="e" cm="1" vm="2">
        <f t="array" aca="1" ref="M98" ca="1">_FV(L98,"Similarity",TRUE)</f>
        <v>#VALUE!</v>
      </c>
      <c r="N98" s="97" t="e" cm="1">
        <f t="array" aca="1" ref="N98" ca="1">_xldudf_BOARDFLARE_FMATCH(D98,G98)</f>
        <v>#NAME?</v>
      </c>
      <c r="O98" s="98" t="e" cm="1" vm="2">
        <f t="array" aca="1" ref="O98" ca="1">_FV(N98,"Similarity",TRUE)</f>
        <v>#VALUE!</v>
      </c>
      <c r="AE98" s="96" t="s">
        <v>131</v>
      </c>
      <c r="AF98" s="96" t="s">
        <v>168</v>
      </c>
      <c r="AG98" s="124" t="b">
        <f t="shared" si="12"/>
        <v>0</v>
      </c>
      <c r="AH98" s="124" cm="1">
        <f t="array" aca="1" ref="AH98" ca="1">SUMPRODUCT(--ISNUMBER(SEARCH(_xlfn.TEXTSPLIT(D98," "), G98))) / COUNTA(_xlfn.TEXTSPLIT(D98," "))</f>
        <v>0</v>
      </c>
      <c r="AI98" s="124" t="str" cm="1">
        <f t="array" aca="1" ref="AI98" ca="1">IF(
   SUMPRODUCT(--ISNUMBER(SEARCH(_xlfn.TEXTSPLIT(D98," "), G98))) / COUNTA(_xlfn.TEXTSPLIT(D98," ")) = 1,
   "Full Match",
   IF(
      SUMPRODUCT(--ISNUMBER(SEARCH(_xlfn.TEXTSPLIT(D98," "), G98))) / COUNTA(_xlfn.TEXTSPLIT(D98," ")) &gt; 0.5,
      "Partial Match",
      "No Match"
   )
)</f>
        <v>No Match</v>
      </c>
    </row>
    <row r="99" spans="1:37" ht="409.6">
      <c r="A99" s="110" t="s">
        <v>405</v>
      </c>
      <c r="B99" s="110"/>
      <c r="C99" s="110" t="s">
        <v>68</v>
      </c>
      <c r="D99" s="121" t="s">
        <v>406</v>
      </c>
      <c r="E99" s="107" t="s">
        <v>18</v>
      </c>
      <c r="F99" s="110" t="s">
        <v>407</v>
      </c>
      <c r="G99" s="122" t="s">
        <v>408</v>
      </c>
      <c r="H99" s="107"/>
      <c r="I99" s="107" t="e" cm="1">
        <f t="array" aca="1" ref="I99" ca="1">_xldudf_BOARDFLARE_FMATCH(G99,D99)</f>
        <v>#NAME?</v>
      </c>
      <c r="J99" s="111" t="e" vm="1">
        <f t="shared" ref="J99:J110" ca="1" si="13">IF(M99&gt;O99, M99,O99)</f>
        <v>#VALUE!</v>
      </c>
      <c r="K99" s="109" t="str" cm="1">
        <f t="array" aca="1" ref="K99" ca="1">IF(
   SUMPRODUCT(--ISNUMBER(SEARCH(_xlfn.TEXTSPLIT(D99," "), G99))) / COUNTA(_xlfn.TEXTSPLIT(D99," ")) = 1,
   "Full Match",
   IF(
      SUMPRODUCT(--ISNUMBER(SEARCH(_xlfn.TEXTSPLIT(D99," "), G99))) / COUNTA(_xlfn.TEXTSPLIT(D99," ")) &gt; 0.5,
      "Partial Match",
      "No Match"
   )
)</f>
        <v>No Match</v>
      </c>
      <c r="L99" s="97" t="e" cm="1">
        <f t="array" aca="1" ref="L99" ca="1">_xldudf_BOARDFLARE_FMATCH(G99,D99)</f>
        <v>#NAME?</v>
      </c>
      <c r="M99" s="98" t="e" cm="1" vm="2">
        <f t="array" aca="1" ref="M99" ca="1">_FV(L99,"Similarity",TRUE)</f>
        <v>#VALUE!</v>
      </c>
      <c r="N99" s="97" t="e" cm="1">
        <f t="array" aca="1" ref="N99" ca="1">_xldudf_BOARDFLARE_FMATCH(D99,G99)</f>
        <v>#NAME?</v>
      </c>
      <c r="O99" s="98" t="e" cm="1" vm="2">
        <f t="array" aca="1" ref="O99" ca="1">_FV(N99,"Similarity",TRUE)</f>
        <v>#VALUE!</v>
      </c>
      <c r="Q99" s="124">
        <v>13</v>
      </c>
      <c r="R99" s="124">
        <v>5</v>
      </c>
      <c r="S99" s="96" t="s">
        <v>409</v>
      </c>
      <c r="T99" s="124">
        <v>31</v>
      </c>
      <c r="U99" s="124">
        <v>5</v>
      </c>
      <c r="V99" s="124" t="s">
        <v>168</v>
      </c>
      <c r="W99" s="124" t="s">
        <v>131</v>
      </c>
      <c r="X99" s="96" t="str" cm="1">
        <f t="array" aca="1" ref="X99" ca="1">IF(
   SUMPRODUCT(--ISNUMBER(SEARCH(_xlfn.TEXTSPLIT(D99," "), G99))) / COUNTA(_xlfn.TEXTSPLIT(D99," ")) = 1,
   "Full Match",
   IF(
      SUMPRODUCT(--ISNUMBER(SEARCH(_xlfn.TEXTSPLIT(D99," "), G99))) / COUNTA(_xlfn.TEXTSPLIT(D99," ")) &gt; 0.5,
      "Partial Match",
      "No Match"
   )
)</f>
        <v>No Match</v>
      </c>
      <c r="AG99" s="96"/>
      <c r="AH99" s="96"/>
      <c r="AI99" s="96"/>
      <c r="AJ99" s="96"/>
      <c r="AK99" s="96"/>
    </row>
    <row r="100" spans="1:37" ht="244.3" hidden="1">
      <c r="A100" s="110" t="s">
        <v>410</v>
      </c>
      <c r="B100" s="110"/>
      <c r="C100" s="110" t="s">
        <v>70</v>
      </c>
      <c r="D100" s="121" t="s">
        <v>411</v>
      </c>
      <c r="E100" s="107" t="s">
        <v>17</v>
      </c>
      <c r="F100" s="110" t="s">
        <v>412</v>
      </c>
      <c r="G100" s="106" t="s">
        <v>413</v>
      </c>
      <c r="H100" s="107"/>
      <c r="I100" s="107" t="e" cm="1">
        <f t="array" aca="1" ref="I100" ca="1">_xldudf_BOARDFLARE_FMATCH(G100,D100)</f>
        <v>#NAME?</v>
      </c>
      <c r="J100" s="111" t="e" vm="1">
        <f t="shared" ca="1" si="13"/>
        <v>#VALUE!</v>
      </c>
      <c r="K100" s="109" t="str" cm="1">
        <f t="array" aca="1" ref="K100" ca="1">IF(
   SUMPRODUCT(--ISNUMBER(SEARCH(_xlfn.TEXTSPLIT(D100," "), G100))) / COUNTA(_xlfn.TEXTSPLIT(D100," ")) = 1,
   "Full Match",
   IF(
      SUMPRODUCT(--ISNUMBER(SEARCH(_xlfn.TEXTSPLIT(D100," "), G100))) / COUNTA(_xlfn.TEXTSPLIT(D100," ")) &gt; 0.5,
      "Partial Match",
      "No Match"
   )
)</f>
        <v>No Match</v>
      </c>
      <c r="L100" s="97" t="e" cm="1">
        <f t="array" aca="1" ref="L100" ca="1">_xldudf_BOARDFLARE_FMATCH(G100,D100)</f>
        <v>#NAME?</v>
      </c>
      <c r="M100" s="98" t="e" cm="1" vm="2">
        <f t="array" aca="1" ref="M100" ca="1">_FV(L100,"Similarity",TRUE)</f>
        <v>#VALUE!</v>
      </c>
      <c r="N100" s="97" t="e" cm="1">
        <f t="array" aca="1" ref="N100" ca="1">_xldudf_BOARDFLARE_FMATCH(D100,G100)</f>
        <v>#NAME?</v>
      </c>
      <c r="O100" s="98" t="e" cm="1" vm="2">
        <f t="array" aca="1" ref="O100" ca="1">_FV(N100,"Similarity",TRUE)</f>
        <v>#VALUE!</v>
      </c>
      <c r="AE100" s="96" t="s">
        <v>130</v>
      </c>
      <c r="AF100" s="96" t="s">
        <v>130</v>
      </c>
      <c r="AG100" s="124" t="b">
        <f t="shared" si="12"/>
        <v>1</v>
      </c>
      <c r="AH100" s="124" cm="1">
        <f t="array" aca="1" ref="AH100" ca="1">SUMPRODUCT(--ISNUMBER(SEARCH(_xlfn.TEXTSPLIT(D100," "), G100))) / COUNTA(_xlfn.TEXTSPLIT(D100," "))</f>
        <v>0</v>
      </c>
      <c r="AI100" s="124" t="str" cm="1">
        <f t="array" aca="1" ref="AI100" ca="1">IF(
   SUMPRODUCT(--ISNUMBER(SEARCH(_xlfn.TEXTSPLIT(D100," "), G100))) / COUNTA(_xlfn.TEXTSPLIT(D100," ")) = 1,
   "Full Match",
   IF(
      SUMPRODUCT(--ISNUMBER(SEARCH(_xlfn.TEXTSPLIT(D100," "), G100))) / COUNTA(_xlfn.TEXTSPLIT(D100," ")) &gt; 0.5,
      "Partial Match",
      "No Match"
   )
)</f>
        <v>No Match</v>
      </c>
    </row>
    <row r="101" spans="1:37" ht="257.14999999999998" hidden="1">
      <c r="A101" s="110" t="s">
        <v>414</v>
      </c>
      <c r="B101" s="110"/>
      <c r="C101" s="110" t="s">
        <v>70</v>
      </c>
      <c r="D101" s="121" t="s">
        <v>415</v>
      </c>
      <c r="E101" s="107" t="s">
        <v>16</v>
      </c>
      <c r="F101" s="110" t="s">
        <v>416</v>
      </c>
      <c r="G101" s="106" t="s">
        <v>417</v>
      </c>
      <c r="H101" s="107"/>
      <c r="I101" s="107" t="e" cm="1">
        <f t="array" aca="1" ref="I101" ca="1">_xldudf_BOARDFLARE_FMATCH(G101,D101)</f>
        <v>#NAME?</v>
      </c>
      <c r="J101" s="111" t="e" vm="1">
        <f t="shared" ca="1" si="13"/>
        <v>#VALUE!</v>
      </c>
      <c r="K101" s="109" t="str" cm="1">
        <f t="array" aca="1" ref="K101" ca="1">IF(
   SUMPRODUCT(--ISNUMBER(SEARCH(_xlfn.TEXTSPLIT(D101," "), G101))) / COUNTA(_xlfn.TEXTSPLIT(D101," ")) = 1,
   "Full Match",
   IF(
      SUMPRODUCT(--ISNUMBER(SEARCH(_xlfn.TEXTSPLIT(D101," "), G101))) / COUNTA(_xlfn.TEXTSPLIT(D101," ")) &gt; 0.5,
      "Partial Match",
      "No Match"
   )
)</f>
        <v>No Match</v>
      </c>
      <c r="L101" s="97" t="e" cm="1">
        <f t="array" aca="1" ref="L101" ca="1">_xldudf_BOARDFLARE_FMATCH(G101,D101)</f>
        <v>#NAME?</v>
      </c>
      <c r="M101" s="98" t="e" cm="1" vm="2">
        <f t="array" aca="1" ref="M101" ca="1">_FV(L101,"Similarity",TRUE)</f>
        <v>#VALUE!</v>
      </c>
      <c r="N101" s="97" t="e" cm="1">
        <f t="array" aca="1" ref="N101" ca="1">_xldudf_BOARDFLARE_FMATCH(D101,G101)</f>
        <v>#NAME?</v>
      </c>
      <c r="O101" s="98" t="e" cm="1" vm="2">
        <f t="array" aca="1" ref="O101" ca="1">_FV(N101,"Similarity",TRUE)</f>
        <v>#VALUE!</v>
      </c>
      <c r="AE101" s="96" t="s">
        <v>130</v>
      </c>
      <c r="AF101" s="96" t="s">
        <v>130</v>
      </c>
      <c r="AG101" s="124" t="b">
        <f t="shared" si="12"/>
        <v>1</v>
      </c>
      <c r="AH101" s="124" cm="1">
        <f t="array" aca="1" ref="AH101" ca="1">SUMPRODUCT(--ISNUMBER(SEARCH(_xlfn.TEXTSPLIT(D101," "), G101))) / COUNTA(_xlfn.TEXTSPLIT(D101," "))</f>
        <v>0</v>
      </c>
      <c r="AI101" s="124" t="str" cm="1">
        <f t="array" aca="1" ref="AI101" ca="1">IF(
   SUMPRODUCT(--ISNUMBER(SEARCH(_xlfn.TEXTSPLIT(D101," "), G101))) / COUNTA(_xlfn.TEXTSPLIT(D101," ")) = 1,
   "Full Match",
   IF(
      SUMPRODUCT(--ISNUMBER(SEARCH(_xlfn.TEXTSPLIT(D101," "), G101))) / COUNTA(_xlfn.TEXTSPLIT(D101," ")) &gt; 0.5,
      "Partial Match",
      "No Match"
   )
)</f>
        <v>No Match</v>
      </c>
    </row>
    <row r="102" spans="1:37" ht="282.89999999999998">
      <c r="A102" s="110" t="s">
        <v>418</v>
      </c>
      <c r="B102" s="110"/>
      <c r="C102" s="110" t="s">
        <v>68</v>
      </c>
      <c r="D102" s="121" t="s">
        <v>419</v>
      </c>
      <c r="E102" s="107" t="s">
        <v>18</v>
      </c>
      <c r="F102" s="110" t="s">
        <v>420</v>
      </c>
      <c r="G102" s="106" t="s">
        <v>421</v>
      </c>
      <c r="H102" s="107"/>
      <c r="I102" s="107" t="e" cm="1">
        <f t="array" aca="1" ref="I102" ca="1">_xldudf_BOARDFLARE_FMATCH(G102,D102)</f>
        <v>#NAME?</v>
      </c>
      <c r="J102" s="111" t="e" vm="1">
        <f t="shared" ca="1" si="13"/>
        <v>#VALUE!</v>
      </c>
      <c r="K102" s="109" t="str" cm="1">
        <f t="array" aca="1" ref="K102" ca="1">IF(
   SUMPRODUCT(--ISNUMBER(SEARCH(_xlfn.TEXTSPLIT(D102," "), G102))) / COUNTA(_xlfn.TEXTSPLIT(D102," ")) = 1,
   "Full Match",
   IF(
      SUMPRODUCT(--ISNUMBER(SEARCH(_xlfn.TEXTSPLIT(D102," "), G102))) / COUNTA(_xlfn.TEXTSPLIT(D102," ")) &gt; 0.5,
      "Partial Match",
      "No Match"
   )
)</f>
        <v>No Match</v>
      </c>
      <c r="L102" s="97" t="e" cm="1">
        <f t="array" aca="1" ref="L102" ca="1">_xldudf_BOARDFLARE_FMATCH(G102,D102)</f>
        <v>#NAME?</v>
      </c>
      <c r="M102" s="98" t="e" cm="1" vm="2">
        <f t="array" aca="1" ref="M102" ca="1">_FV(L102,"Similarity",TRUE)</f>
        <v>#VALUE!</v>
      </c>
      <c r="N102" s="97" t="e" cm="1">
        <f t="array" aca="1" ref="N102" ca="1">_xldudf_BOARDFLARE_FMATCH(D102,G102)</f>
        <v>#NAME?</v>
      </c>
      <c r="O102" s="98" t="e" cm="1" vm="2">
        <f t="array" aca="1" ref="O102" ca="1">_FV(N102,"Similarity",TRUE)</f>
        <v>#VALUE!</v>
      </c>
      <c r="Q102" s="124">
        <v>13</v>
      </c>
      <c r="R102" s="124">
        <v>5</v>
      </c>
      <c r="S102" s="96" t="s">
        <v>409</v>
      </c>
      <c r="T102" s="124">
        <v>13</v>
      </c>
      <c r="U102" s="124">
        <v>5</v>
      </c>
      <c r="V102" s="96" t="s">
        <v>168</v>
      </c>
      <c r="W102" s="96" t="s">
        <v>200</v>
      </c>
      <c r="X102" s="96" t="str" cm="1">
        <f t="array" aca="1" ref="X102" ca="1">IF(
   SUMPRODUCT(--ISNUMBER(SEARCH(_xlfn.TEXTSPLIT(D102," "), G102))) / COUNTA(_xlfn.TEXTSPLIT(D102," ")) = 1,
   "Full Match",
   IF(
      SUMPRODUCT(--ISNUMBER(SEARCH(_xlfn.TEXTSPLIT(D102," "), G102))) / COUNTA(_xlfn.TEXTSPLIT(D102," ")) &gt; 0.5,
      "Partial Match",
      "No Match"
   )
)</f>
        <v>No Match</v>
      </c>
      <c r="AG102" s="96"/>
      <c r="AH102" s="96"/>
      <c r="AI102" s="96"/>
      <c r="AJ102" s="96"/>
      <c r="AK102" s="96"/>
    </row>
    <row r="103" spans="1:37" ht="12.9" hidden="1">
      <c r="A103" s="110" t="s">
        <v>422</v>
      </c>
      <c r="B103" s="110"/>
      <c r="C103" s="110" t="s">
        <v>70</v>
      </c>
      <c r="D103" s="107" t="s">
        <v>423</v>
      </c>
      <c r="E103" s="107" t="s">
        <v>17</v>
      </c>
      <c r="F103" s="110" t="s">
        <v>424</v>
      </c>
      <c r="G103" s="106" t="s">
        <v>425</v>
      </c>
      <c r="H103" s="107"/>
      <c r="I103" s="107" t="e" cm="1">
        <f t="array" aca="1" ref="I103" ca="1">_xldudf_BOARDFLARE_FMATCH(G103,D103)</f>
        <v>#NAME?</v>
      </c>
      <c r="J103" s="111" t="e" vm="1">
        <f t="shared" ca="1" si="13"/>
        <v>#VALUE!</v>
      </c>
      <c r="K103" s="109" t="str" cm="1">
        <f t="array" aca="1" ref="K103" ca="1">IF(
   SUMPRODUCT(--ISNUMBER(SEARCH(_xlfn.TEXTSPLIT(D103," "), G103))) / COUNTA(_xlfn.TEXTSPLIT(D103," ")) = 1,
   "Full Match",
   IF(
      SUMPRODUCT(--ISNUMBER(SEARCH(_xlfn.TEXTSPLIT(D103," "), G103))) / COUNTA(_xlfn.TEXTSPLIT(D103," ")) &gt; 0.5,
      "Partial Match",
      "No Match"
   )
)</f>
        <v>No Match</v>
      </c>
      <c r="L103" s="97" t="e" cm="1">
        <f t="array" aca="1" ref="L103" ca="1">_xldudf_BOARDFLARE_FMATCH(G103,D103)</f>
        <v>#NAME?</v>
      </c>
      <c r="M103" s="98" t="e" cm="1" vm="2">
        <f t="array" aca="1" ref="M103" ca="1">_FV(L103,"Similarity",TRUE)</f>
        <v>#VALUE!</v>
      </c>
      <c r="N103" s="97" t="e" cm="1">
        <f t="array" aca="1" ref="N103" ca="1">_xldudf_BOARDFLARE_FMATCH(D103,G103)</f>
        <v>#NAME?</v>
      </c>
      <c r="O103" s="98" t="e" cm="1" vm="2">
        <f t="array" aca="1" ref="O103" ca="1">_FV(N103,"Similarity",TRUE)</f>
        <v>#VALUE!</v>
      </c>
      <c r="AE103" s="96" t="s">
        <v>130</v>
      </c>
      <c r="AF103" s="96" t="s">
        <v>130</v>
      </c>
      <c r="AG103" s="124" t="b">
        <f t="shared" ref="AG103:AG105" si="14">AE103=AF103</f>
        <v>1</v>
      </c>
      <c r="AH103" s="124" cm="1">
        <f t="array" aca="1" ref="AH103" ca="1">SUMPRODUCT(--ISNUMBER(SEARCH(_xlfn.TEXTSPLIT(D103," "), G103))) / COUNTA(_xlfn.TEXTSPLIT(D103," "))</f>
        <v>0</v>
      </c>
      <c r="AI103" s="124" t="str" cm="1">
        <f t="array" aca="1" ref="AI103" ca="1">IF(
   SUMPRODUCT(--ISNUMBER(SEARCH(_xlfn.TEXTSPLIT(D103," "), G103))) / COUNTA(_xlfn.TEXTSPLIT(D103," ")) = 1,
   "Full Match",
   IF(
      SUMPRODUCT(--ISNUMBER(SEARCH(_xlfn.TEXTSPLIT(D103," "), G103))) / COUNTA(_xlfn.TEXTSPLIT(D103," ")) &gt; 0.5,
      "Partial Match",
      "No Match"
   )
)</f>
        <v>No Match</v>
      </c>
    </row>
    <row r="104" spans="1:37" ht="12.9" hidden="1">
      <c r="A104" s="110" t="s">
        <v>426</v>
      </c>
      <c r="B104" s="110"/>
      <c r="C104" s="110" t="s">
        <v>70</v>
      </c>
      <c r="D104" s="110" t="s">
        <v>427</v>
      </c>
      <c r="E104" s="107" t="s">
        <v>17</v>
      </c>
      <c r="F104" s="110" t="s">
        <v>428</v>
      </c>
      <c r="G104" s="106" t="s">
        <v>429</v>
      </c>
      <c r="H104" s="107"/>
      <c r="I104" s="107" t="e" cm="1">
        <f t="array" aca="1" ref="I104" ca="1">_xldudf_BOARDFLARE_FMATCH(G104,D104)</f>
        <v>#NAME?</v>
      </c>
      <c r="J104" s="111" t="e" vm="1">
        <f t="shared" ca="1" si="13"/>
        <v>#VALUE!</v>
      </c>
      <c r="K104" s="109" t="str" cm="1">
        <f t="array" aca="1" ref="K104" ca="1">IF(
   SUMPRODUCT(--ISNUMBER(SEARCH(_xlfn.TEXTSPLIT(D104," "), G104))) / COUNTA(_xlfn.TEXTSPLIT(D104," ")) = 1,
   "Full Match",
   IF(
      SUMPRODUCT(--ISNUMBER(SEARCH(_xlfn.TEXTSPLIT(D104," "), G104))) / COUNTA(_xlfn.TEXTSPLIT(D104," ")) &gt; 0.5,
      "Partial Match",
      "No Match"
   )
)</f>
        <v>No Match</v>
      </c>
      <c r="L104" s="97" t="e" cm="1">
        <f t="array" aca="1" ref="L104" ca="1">_xldudf_BOARDFLARE_FMATCH(G104,D104)</f>
        <v>#NAME?</v>
      </c>
      <c r="M104" s="98" t="e" cm="1" vm="2">
        <f t="array" aca="1" ref="M104" ca="1">_FV(L104,"Similarity",TRUE)</f>
        <v>#VALUE!</v>
      </c>
      <c r="N104" s="97" t="e" cm="1">
        <f t="array" aca="1" ref="N104" ca="1">_xldudf_BOARDFLARE_FMATCH(D104,G104)</f>
        <v>#NAME?</v>
      </c>
      <c r="O104" s="98" t="e" cm="1" vm="2">
        <f t="array" aca="1" ref="O104" ca="1">_FV(N104,"Similarity",TRUE)</f>
        <v>#VALUE!</v>
      </c>
      <c r="AE104" s="96" t="s">
        <v>130</v>
      </c>
      <c r="AF104" s="96" t="s">
        <v>130</v>
      </c>
      <c r="AG104" s="124" t="b">
        <f t="shared" si="14"/>
        <v>1</v>
      </c>
      <c r="AH104" s="124" cm="1">
        <f t="array" aca="1" ref="AH104" ca="1">SUMPRODUCT(--ISNUMBER(SEARCH(_xlfn.TEXTSPLIT(D104," "), G104))) / COUNTA(_xlfn.TEXTSPLIT(D104," "))</f>
        <v>0</v>
      </c>
      <c r="AI104" s="124" t="str" cm="1">
        <f t="array" aca="1" ref="AI104" ca="1">IF(
   SUMPRODUCT(--ISNUMBER(SEARCH(_xlfn.TEXTSPLIT(D104," "), G104))) / COUNTA(_xlfn.TEXTSPLIT(D104," ")) = 1,
   "Full Match",
   IF(
      SUMPRODUCT(--ISNUMBER(SEARCH(_xlfn.TEXTSPLIT(D104," "), G104))) / COUNTA(_xlfn.TEXTSPLIT(D104," ")) &gt; 0.5,
      "Partial Match",
      "No Match"
   )
)</f>
        <v>No Match</v>
      </c>
    </row>
    <row r="105" spans="1:37" ht="12.9" hidden="1">
      <c r="A105" s="110" t="s">
        <v>430</v>
      </c>
      <c r="B105" s="110"/>
      <c r="C105" s="110" t="s">
        <v>70</v>
      </c>
      <c r="D105" s="107" t="s">
        <v>431</v>
      </c>
      <c r="E105" s="107" t="s">
        <v>17</v>
      </c>
      <c r="F105" s="110" t="s">
        <v>432</v>
      </c>
      <c r="G105" s="106" t="s">
        <v>433</v>
      </c>
      <c r="H105" s="107"/>
      <c r="I105" s="107" t="e" cm="1">
        <f t="array" aca="1" ref="I105" ca="1">_xldudf_BOARDFLARE_FMATCH(G105,D105)</f>
        <v>#NAME?</v>
      </c>
      <c r="J105" s="111" t="e" vm="1">
        <f t="shared" ca="1" si="13"/>
        <v>#VALUE!</v>
      </c>
      <c r="K105" s="109" t="str" cm="1">
        <f t="array" aca="1" ref="K105" ca="1">IF(
   SUMPRODUCT(--ISNUMBER(SEARCH(_xlfn.TEXTSPLIT(D105," "), G105))) / COUNTA(_xlfn.TEXTSPLIT(D105," ")) = 1,
   "Full Match",
   IF(
      SUMPRODUCT(--ISNUMBER(SEARCH(_xlfn.TEXTSPLIT(D105," "), G105))) / COUNTA(_xlfn.TEXTSPLIT(D105," ")) &gt; 0.5,
      "Partial Match",
      "No Match"
   )
)</f>
        <v>No Match</v>
      </c>
      <c r="L105" s="97" t="e" cm="1">
        <f t="array" aca="1" ref="L105" ca="1">_xldudf_BOARDFLARE_FMATCH(G105,D105)</f>
        <v>#NAME?</v>
      </c>
      <c r="M105" s="98" t="e" cm="1" vm="2">
        <f t="array" aca="1" ref="M105" ca="1">_FV(L105,"Similarity",TRUE)</f>
        <v>#VALUE!</v>
      </c>
      <c r="N105" s="97" t="e" cm="1">
        <f t="array" aca="1" ref="N105" ca="1">_xldudf_BOARDFLARE_FMATCH(D105,G105)</f>
        <v>#NAME?</v>
      </c>
      <c r="O105" s="98" t="e" cm="1" vm="2">
        <f t="array" aca="1" ref="O105" ca="1">_FV(N105,"Similarity",TRUE)</f>
        <v>#VALUE!</v>
      </c>
      <c r="AE105" s="96" t="s">
        <v>130</v>
      </c>
      <c r="AF105" s="96" t="s">
        <v>130</v>
      </c>
      <c r="AG105" s="124" t="b">
        <f t="shared" si="14"/>
        <v>1</v>
      </c>
      <c r="AH105" s="124" cm="1">
        <f t="array" aca="1" ref="AH105" ca="1">SUMPRODUCT(--ISNUMBER(SEARCH(_xlfn.TEXTSPLIT(D105," "), G105))) / COUNTA(_xlfn.TEXTSPLIT(D105," "))</f>
        <v>0</v>
      </c>
      <c r="AI105" s="124" t="str" cm="1">
        <f t="array" aca="1" ref="AI105" ca="1">IF(
   SUMPRODUCT(--ISNUMBER(SEARCH(_xlfn.TEXTSPLIT(D105," "), G105))) / COUNTA(_xlfn.TEXTSPLIT(D105," ")) = 1,
   "Full Match",
   IF(
      SUMPRODUCT(--ISNUMBER(SEARCH(_xlfn.TEXTSPLIT(D105," "), G105))) / COUNTA(_xlfn.TEXTSPLIT(D105," ")) &gt; 0.5,
      "Partial Match",
      "No Match"
   )
)</f>
        <v>No Match</v>
      </c>
    </row>
    <row r="106" spans="1:37" ht="12.9">
      <c r="A106" s="110" t="s">
        <v>434</v>
      </c>
      <c r="B106" s="110"/>
      <c r="C106" s="110" t="s">
        <v>68</v>
      </c>
      <c r="D106" s="110"/>
      <c r="E106" s="107"/>
      <c r="F106" s="110" t="s">
        <v>435</v>
      </c>
      <c r="G106" s="106" t="s">
        <v>436</v>
      </c>
      <c r="H106" s="107"/>
      <c r="I106" s="107" t="e" cm="1">
        <f t="array" aca="1" ref="I106" ca="1">_xldudf_BOARDFLARE_FMATCH(G106,D106)</f>
        <v>#NAME?</v>
      </c>
      <c r="J106" s="111" t="e" vm="1">
        <f t="shared" ca="1" si="13"/>
        <v>#VALUE!</v>
      </c>
      <c r="K106" s="109" t="str" cm="1">
        <f t="array" aca="1" ref="K106" ca="1">IF(
   SUMPRODUCT(--ISNUMBER(SEARCH(_xlfn.TEXTSPLIT(D106," "), G106))) / COUNTA(_xlfn.TEXTSPLIT(D106," ")) = 1,
   "Full Match",
   IF(
      SUMPRODUCT(--ISNUMBER(SEARCH(_xlfn.TEXTSPLIT(D106," "), G106))) / COUNTA(_xlfn.TEXTSPLIT(D106," ")) &gt; 0.5,
      "Partial Match",
      "No Match"
   )
)</f>
        <v>No Match</v>
      </c>
      <c r="L106" s="97" t="e" cm="1">
        <f t="array" aca="1" ref="L106" ca="1">_xldudf_BOARDFLARE_FMATCH(G106,D106)</f>
        <v>#NAME?</v>
      </c>
      <c r="M106" s="98" t="e" cm="1" vm="2">
        <f t="array" aca="1" ref="M106" ca="1">_FV(L106,"Similarity",TRUE)</f>
        <v>#VALUE!</v>
      </c>
      <c r="N106" s="97" t="e" cm="1">
        <f t="array" aca="1" ref="N106" ca="1">_xldudf_BOARDFLARE_FMATCH(D106,G106)</f>
        <v>#NAME?</v>
      </c>
      <c r="O106" s="98" t="e" cm="1" vm="2">
        <f t="array" aca="1" ref="O106" ca="1">_FV(N106,"Similarity",TRUE)</f>
        <v>#VALUE!</v>
      </c>
      <c r="Q106" s="124">
        <v>21</v>
      </c>
      <c r="R106" s="124">
        <v>5</v>
      </c>
      <c r="S106" s="96" t="s">
        <v>285</v>
      </c>
      <c r="T106" s="124">
        <v>21</v>
      </c>
      <c r="U106" s="124">
        <v>5</v>
      </c>
      <c r="W106" s="96" t="s">
        <v>130</v>
      </c>
      <c r="X106" s="96" t="str" cm="1">
        <f t="array" aca="1" ref="X106" ca="1">IF(
   SUMPRODUCT(--ISNUMBER(SEARCH(_xlfn.TEXTSPLIT(D106," "), G106))) / COUNTA(_xlfn.TEXTSPLIT(D106," ")) = 1,
   "Full Match",
   IF(
      SUMPRODUCT(--ISNUMBER(SEARCH(_xlfn.TEXTSPLIT(D106," "), G106))) / COUNTA(_xlfn.TEXTSPLIT(D106," ")) &gt; 0.5,
      "Partial Match",
      "No Match"
   )
)</f>
        <v>No Match</v>
      </c>
      <c r="AG106" s="96"/>
      <c r="AH106" s="96"/>
      <c r="AI106" s="96"/>
      <c r="AJ106" s="96"/>
      <c r="AK106" s="96"/>
    </row>
    <row r="107" spans="1:37" ht="141.44999999999999">
      <c r="A107" s="110" t="s">
        <v>437</v>
      </c>
      <c r="B107" s="110"/>
      <c r="C107" s="110" t="s">
        <v>68</v>
      </c>
      <c r="D107" s="110" t="s">
        <v>438</v>
      </c>
      <c r="E107" s="107"/>
      <c r="F107" s="110" t="s">
        <v>439</v>
      </c>
      <c r="G107" s="106" t="s">
        <v>440</v>
      </c>
      <c r="H107" s="107"/>
      <c r="I107" s="107" t="e" cm="1">
        <f t="array" aca="1" ref="I107" ca="1">_xldudf_BOARDFLARE_FMATCH(G107,D107)</f>
        <v>#NAME?</v>
      </c>
      <c r="J107" s="111" t="e" vm="1">
        <f t="shared" ca="1" si="13"/>
        <v>#VALUE!</v>
      </c>
      <c r="K107" s="109" t="str" cm="1">
        <f t="array" aca="1" ref="K107" ca="1">IF(
   SUMPRODUCT(--ISNUMBER(SEARCH(_xlfn.TEXTSPLIT(D107," "), G107))) / COUNTA(_xlfn.TEXTSPLIT(D107," ")) = 1,
   "Full Match",
   IF(
      SUMPRODUCT(--ISNUMBER(SEARCH(_xlfn.TEXTSPLIT(D107," "), G107))) / COUNTA(_xlfn.TEXTSPLIT(D107," ")) &gt; 0.5,
      "Partial Match",
      "No Match"
   )
)</f>
        <v>No Match</v>
      </c>
      <c r="L107" s="97" t="e" cm="1">
        <f t="array" aca="1" ref="L107" ca="1">_xldudf_BOARDFLARE_FMATCH(G107,D107)</f>
        <v>#NAME?</v>
      </c>
      <c r="M107" s="98" t="e" cm="1" vm="2">
        <f t="array" aca="1" ref="M107" ca="1">_FV(L107,"Similarity",TRUE)</f>
        <v>#VALUE!</v>
      </c>
      <c r="N107" s="97" t="e" cm="1">
        <f t="array" aca="1" ref="N107" ca="1">_xldudf_BOARDFLARE_FMATCH(D107,G107)</f>
        <v>#NAME?</v>
      </c>
      <c r="O107" s="98" t="e" cm="1" vm="2">
        <f t="array" aca="1" ref="O107" ca="1">_FV(N107,"Similarity",TRUE)</f>
        <v>#VALUE!</v>
      </c>
      <c r="Q107" s="124">
        <v>1</v>
      </c>
      <c r="R107" s="124">
        <v>4</v>
      </c>
      <c r="S107" s="125" t="s">
        <v>353</v>
      </c>
      <c r="T107" s="124">
        <v>1</v>
      </c>
      <c r="U107" s="124">
        <v>4</v>
      </c>
      <c r="V107" s="96" t="s">
        <v>168</v>
      </c>
      <c r="W107" s="96" t="s">
        <v>130</v>
      </c>
      <c r="X107" s="96" t="str" cm="1">
        <f t="array" aca="1" ref="X107" ca="1">IF(
   SUMPRODUCT(--ISNUMBER(SEARCH(_xlfn.TEXTSPLIT(D107," "), G107))) / COUNTA(_xlfn.TEXTSPLIT(D107," ")) = 1,
   "Full Match",
   IF(
      SUMPRODUCT(--ISNUMBER(SEARCH(_xlfn.TEXTSPLIT(D107," "), G107))) / COUNTA(_xlfn.TEXTSPLIT(D107," ")) &gt; 0.5,
      "Partial Match",
      "No Match"
   )
)</f>
        <v>No Match</v>
      </c>
      <c r="AG107" s="96"/>
      <c r="AH107" s="96"/>
      <c r="AI107" s="96"/>
      <c r="AJ107" s="96"/>
      <c r="AK107" s="96"/>
    </row>
    <row r="108" spans="1:37" ht="141.44999999999999">
      <c r="A108" s="110" t="s">
        <v>441</v>
      </c>
      <c r="B108" s="110"/>
      <c r="C108" s="110" t="s">
        <v>68</v>
      </c>
      <c r="D108" s="110" t="s">
        <v>442</v>
      </c>
      <c r="E108" s="107"/>
      <c r="F108" s="110" t="s">
        <v>443</v>
      </c>
      <c r="G108" s="106" t="s">
        <v>444</v>
      </c>
      <c r="H108" s="107"/>
      <c r="I108" s="107" t="e" cm="1">
        <f t="array" aca="1" ref="I108" ca="1">_xldudf_BOARDFLARE_FMATCH(G108,D108)</f>
        <v>#NAME?</v>
      </c>
      <c r="J108" s="111" t="e" vm="1">
        <f t="shared" ca="1" si="13"/>
        <v>#VALUE!</v>
      </c>
      <c r="K108" s="109" t="str" cm="1">
        <f t="array" aca="1" ref="K108" ca="1">IF(
   SUMPRODUCT(--ISNUMBER(SEARCH(_xlfn.TEXTSPLIT(D108," "), G108))) / COUNTA(_xlfn.TEXTSPLIT(D108," ")) = 1,
   "Full Match",
   IF(
      SUMPRODUCT(--ISNUMBER(SEARCH(_xlfn.TEXTSPLIT(D108," "), G108))) / COUNTA(_xlfn.TEXTSPLIT(D108," ")) &gt; 0.5,
      "Partial Match",
      "No Match"
   )
)</f>
        <v>No Match</v>
      </c>
      <c r="L108" s="97" t="e" cm="1">
        <f t="array" aca="1" ref="L108" ca="1">_xldudf_BOARDFLARE_FMATCH(G108,D108)</f>
        <v>#NAME?</v>
      </c>
      <c r="M108" s="98" t="e" cm="1" vm="2">
        <f t="array" aca="1" ref="M108" ca="1">_FV(L108,"Similarity",TRUE)</f>
        <v>#VALUE!</v>
      </c>
      <c r="N108" s="97" t="e" cm="1">
        <f t="array" aca="1" ref="N108" ca="1">_xldudf_BOARDFLARE_FMATCH(D108,G108)</f>
        <v>#NAME?</v>
      </c>
      <c r="O108" s="98" t="e" cm="1" vm="2">
        <f t="array" aca="1" ref="O108" ca="1">_FV(N108,"Similarity",TRUE)</f>
        <v>#VALUE!</v>
      </c>
      <c r="Q108" s="124">
        <v>1</v>
      </c>
      <c r="R108" s="124">
        <v>4</v>
      </c>
      <c r="S108" s="125" t="s">
        <v>445</v>
      </c>
      <c r="T108" s="124">
        <v>1</v>
      </c>
      <c r="U108" s="124">
        <v>4</v>
      </c>
      <c r="V108" s="96" t="s">
        <v>168</v>
      </c>
      <c r="W108" s="96" t="s">
        <v>130</v>
      </c>
      <c r="X108" s="96" t="str" cm="1">
        <f t="array" aca="1" ref="X108" ca="1">IF(
   SUMPRODUCT(--ISNUMBER(SEARCH(_xlfn.TEXTSPLIT(D108," "), G108))) / COUNTA(_xlfn.TEXTSPLIT(D108," ")) = 1,
   "Full Match",
   IF(
      SUMPRODUCT(--ISNUMBER(SEARCH(_xlfn.TEXTSPLIT(D108," "), G108))) / COUNTA(_xlfn.TEXTSPLIT(D108," ")) &gt; 0.5,
      "Partial Match",
      "No Match"
   )
)</f>
        <v>No Match</v>
      </c>
      <c r="AG108" s="96"/>
      <c r="AH108" s="96"/>
      <c r="AI108" s="96"/>
      <c r="AJ108" s="96"/>
      <c r="AK108" s="96"/>
    </row>
    <row r="109" spans="1:37" ht="12.9">
      <c r="A109" s="110" t="s">
        <v>446</v>
      </c>
      <c r="B109" s="110"/>
      <c r="C109" s="110" t="s">
        <v>68</v>
      </c>
      <c r="D109" s="110"/>
      <c r="E109" s="107"/>
      <c r="F109" s="110" t="s">
        <v>447</v>
      </c>
      <c r="G109" s="106" t="s">
        <v>448</v>
      </c>
      <c r="H109" s="107"/>
      <c r="I109" s="107" t="e" cm="1">
        <f t="array" aca="1" ref="I109" ca="1">_xldudf_BOARDFLARE_FMATCH(G109,D109)</f>
        <v>#NAME?</v>
      </c>
      <c r="J109" s="111" t="e" vm="1">
        <f t="shared" ca="1" si="13"/>
        <v>#VALUE!</v>
      </c>
      <c r="K109" s="109" t="str" cm="1">
        <f t="array" aca="1" ref="K109" ca="1">IF(
   SUMPRODUCT(--ISNUMBER(SEARCH(_xlfn.TEXTSPLIT(D109," "), G109))) / COUNTA(_xlfn.TEXTSPLIT(D109," ")) = 1,
   "Full Match",
   IF(
      SUMPRODUCT(--ISNUMBER(SEARCH(_xlfn.TEXTSPLIT(D109," "), G109))) / COUNTA(_xlfn.TEXTSPLIT(D109," ")) &gt; 0.5,
      "Partial Match",
      "No Match"
   )
)</f>
        <v>No Match</v>
      </c>
      <c r="L109" s="97" t="e" cm="1">
        <f t="array" aca="1" ref="L109" ca="1">_xldudf_BOARDFLARE_FMATCH(G109,D109)</f>
        <v>#NAME?</v>
      </c>
      <c r="M109" s="98" t="e" cm="1" vm="2">
        <f t="array" aca="1" ref="M109" ca="1">_FV(L109,"Similarity",TRUE)</f>
        <v>#VALUE!</v>
      </c>
      <c r="N109" s="97" t="e" cm="1">
        <f t="array" aca="1" ref="N109" ca="1">_xldudf_BOARDFLARE_FMATCH(D109,G109)</f>
        <v>#NAME?</v>
      </c>
      <c r="O109" s="98" t="e" cm="1" vm="2">
        <f t="array" aca="1" ref="O109" ca="1">_FV(N109,"Similarity",TRUE)</f>
        <v>#VALUE!</v>
      </c>
      <c r="Q109" s="124">
        <v>13</v>
      </c>
      <c r="R109" s="124">
        <v>5</v>
      </c>
      <c r="S109" s="96" t="s">
        <v>409</v>
      </c>
      <c r="T109" s="124">
        <v>13</v>
      </c>
      <c r="U109" s="124">
        <v>5</v>
      </c>
      <c r="V109" s="96" t="s">
        <v>168</v>
      </c>
      <c r="W109" s="96" t="s">
        <v>130</v>
      </c>
      <c r="X109" s="96" t="str" cm="1">
        <f t="array" aca="1" ref="X109" ca="1">IF(
   SUMPRODUCT(--ISNUMBER(SEARCH(_xlfn.TEXTSPLIT(D109," "), G109))) / COUNTA(_xlfn.TEXTSPLIT(D109," ")) = 1,
   "Full Match",
   IF(
      SUMPRODUCT(--ISNUMBER(SEARCH(_xlfn.TEXTSPLIT(D109," "), G109))) / COUNTA(_xlfn.TEXTSPLIT(D109," ")) &gt; 0.5,
      "Partial Match",
      "No Match"
   )
)</f>
        <v>No Match</v>
      </c>
      <c r="AG109" s="96"/>
      <c r="AH109" s="96"/>
      <c r="AI109" s="96"/>
      <c r="AJ109" s="96"/>
      <c r="AK109" s="96"/>
    </row>
    <row r="110" spans="1:37" ht="12.9" hidden="1">
      <c r="A110" s="110" t="s">
        <v>449</v>
      </c>
      <c r="B110" s="110"/>
      <c r="C110" s="110" t="s">
        <v>70</v>
      </c>
      <c r="D110" s="107" t="s">
        <v>450</v>
      </c>
      <c r="E110" s="107" t="s">
        <v>17</v>
      </c>
      <c r="F110" s="110" t="s">
        <v>451</v>
      </c>
      <c r="G110" s="106" t="s">
        <v>452</v>
      </c>
      <c r="H110" s="107"/>
      <c r="I110" s="107" t="e" cm="1">
        <f t="array" aca="1" ref="I110" ca="1">_xldudf_BOARDFLARE_FMATCH(G110,D110)</f>
        <v>#NAME?</v>
      </c>
      <c r="J110" s="111" t="e" vm="1">
        <f t="shared" ca="1" si="13"/>
        <v>#VALUE!</v>
      </c>
      <c r="K110" s="109" t="str" cm="1">
        <f t="array" aca="1" ref="K110" ca="1">IF(
   SUMPRODUCT(--ISNUMBER(SEARCH(_xlfn.TEXTSPLIT(D110," "), G110))) / COUNTA(_xlfn.TEXTSPLIT(D110," ")) = 1,
   "Full Match",
   IF(
      SUMPRODUCT(--ISNUMBER(SEARCH(_xlfn.TEXTSPLIT(D110," "), G110))) / COUNTA(_xlfn.TEXTSPLIT(D110," ")) &gt; 0.5,
      "Partial Match",
      "No Match"
   )
)</f>
        <v>No Match</v>
      </c>
      <c r="L110" s="97" t="e" cm="1">
        <f t="array" aca="1" ref="L110" ca="1">_xldudf_BOARDFLARE_FMATCH(G110,D110)</f>
        <v>#NAME?</v>
      </c>
      <c r="M110" s="98" t="e" cm="1" vm="2">
        <f t="array" aca="1" ref="M110" ca="1">_FV(L110,"Similarity",TRUE)</f>
        <v>#VALUE!</v>
      </c>
      <c r="N110" s="97" t="e" cm="1">
        <f t="array" aca="1" ref="N110" ca="1">_xldudf_BOARDFLARE_FMATCH(D110,G110)</f>
        <v>#NAME?</v>
      </c>
      <c r="O110" s="98" t="e" cm="1" vm="2">
        <f t="array" aca="1" ref="O110" ca="1">_FV(N110,"Similarity",TRUE)</f>
        <v>#VALUE!</v>
      </c>
      <c r="AE110" s="96" t="s">
        <v>130</v>
      </c>
      <c r="AF110" s="96" t="s">
        <v>130</v>
      </c>
      <c r="AG110" s="124" t="b">
        <f>AE110=AF110</f>
        <v>1</v>
      </c>
      <c r="AH110" s="124" cm="1">
        <f t="array" aca="1" ref="AH110" ca="1">SUMPRODUCT(--ISNUMBER(SEARCH(_xlfn.TEXTSPLIT(D110," "), G110))) / COUNTA(_xlfn.TEXTSPLIT(D110," "))</f>
        <v>0</v>
      </c>
      <c r="AI110" s="124" t="str" cm="1">
        <f t="array" aca="1" ref="AI110" ca="1">IF(
   SUMPRODUCT(--ISNUMBER(SEARCH(_xlfn.TEXTSPLIT(D110," "), G110))) / COUNTA(_xlfn.TEXTSPLIT(D110," ")) = 1,
   "Full Match",
   IF(
      SUMPRODUCT(--ISNUMBER(SEARCH(_xlfn.TEXTSPLIT(D110," "), G110))) / COUNTA(_xlfn.TEXTSPLIT(D110," ")) &gt; 0.5,
      "Partial Match",
      "No Match"
   )
)</f>
        <v>No Match</v>
      </c>
    </row>
    <row r="111" spans="1:37" ht="12.9" hidden="1">
      <c r="A111" s="105"/>
      <c r="B111" s="105"/>
      <c r="C111" s="104"/>
      <c r="D111" s="104"/>
      <c r="E111" s="104"/>
      <c r="F111" s="104"/>
      <c r="K111" s="120" t="str" cm="1">
        <f t="array" aca="1" ref="K111" ca="1">IF(
   SUMPRODUCT(--ISNUMBER(SEARCH(_xlfn.TEXTSPLIT(D111," "), G111))) / COUNTA(_xlfn.TEXTSPLIT(D111," ")) = 1,
   "Full Match",
   IF(
      SUMPRODUCT(--ISNUMBER(SEARCH(_xlfn.TEXTSPLIT(D111," "), G111))) / COUNTA(_xlfn.TEXTSPLIT(D111," ")) &gt; 0.5,
      "Partial Match",
      "No Match"
   )
)</f>
        <v>No Match</v>
      </c>
      <c r="AG111" s="96"/>
      <c r="AH111" s="96"/>
      <c r="AI111" s="96"/>
      <c r="AJ111" s="96"/>
      <c r="AK111" s="96"/>
    </row>
    <row r="112" spans="1:37" ht="12.9" hidden="1">
      <c r="D112" s="118"/>
      <c r="G112" s="106"/>
      <c r="K112" s="120" t="str" cm="1">
        <f t="array" aca="1" ref="K112" ca="1">IF(
   SUMPRODUCT(--ISNUMBER(SEARCH(_xlfn.TEXTSPLIT(D112," "), G112))) / COUNTA(_xlfn.TEXTSPLIT(D112," ")) = 1,
   "Full Match",
   IF(
      SUMPRODUCT(--ISNUMBER(SEARCH(_xlfn.TEXTSPLIT(D112," "), G112))) / COUNTA(_xlfn.TEXTSPLIT(D112," ")) &gt; 0.5,
      "Partial Match",
      "No Match"
   )
)</f>
        <v>No Match</v>
      </c>
      <c r="AG112" s="96"/>
      <c r="AH112" s="96"/>
      <c r="AI112" s="96"/>
      <c r="AJ112" s="96"/>
      <c r="AK112" s="96"/>
    </row>
    <row r="113" spans="4:37" ht="12.9" hidden="1">
      <c r="D113" s="118"/>
      <c r="G113" s="106"/>
      <c r="K113" s="120" t="str" cm="1">
        <f t="array" aca="1" ref="K113" ca="1">IF(
   SUMPRODUCT(--ISNUMBER(SEARCH(_xlfn.TEXTSPLIT(D113," "), G113))) / COUNTA(_xlfn.TEXTSPLIT(D113," ")) = 1,
   "Full Match",
   IF(
      SUMPRODUCT(--ISNUMBER(SEARCH(_xlfn.TEXTSPLIT(D113," "), G113))) / COUNTA(_xlfn.TEXTSPLIT(D113," ")) &gt; 0.5,
      "Partial Match",
      "No Match"
   )
)</f>
        <v>No Match</v>
      </c>
      <c r="AG113" s="96"/>
      <c r="AH113" s="96"/>
      <c r="AI113" s="96"/>
      <c r="AJ113" s="96"/>
      <c r="AK113" s="96"/>
    </row>
    <row r="114" spans="4:37" ht="12.9" hidden="1">
      <c r="D114" s="118"/>
      <c r="K114" s="120" t="str" cm="1">
        <f t="array" aca="1" ref="K114" ca="1">IF(
   SUMPRODUCT(--ISNUMBER(SEARCH(_xlfn.TEXTSPLIT(D114," "), G114))) / COUNTA(_xlfn.TEXTSPLIT(D114," ")) = 1,
   "Full Match",
   IF(
      SUMPRODUCT(--ISNUMBER(SEARCH(_xlfn.TEXTSPLIT(D114," "), G114))) / COUNTA(_xlfn.TEXTSPLIT(D114," ")) &gt; 0.5,
      "Partial Match",
      "No Match"
   )
)</f>
        <v>No Match</v>
      </c>
      <c r="AG114" s="96"/>
      <c r="AH114" s="96"/>
      <c r="AI114" s="96"/>
      <c r="AJ114" s="96"/>
      <c r="AK114" s="96"/>
    </row>
    <row r="115" spans="4:37" ht="12.9" hidden="1">
      <c r="D115" s="118"/>
      <c r="K115" s="120" t="str" cm="1">
        <f t="array" aca="1" ref="K115" ca="1">IF(
   SUMPRODUCT(--ISNUMBER(SEARCH(_xlfn.TEXTSPLIT(D115," "), G115))) / COUNTA(_xlfn.TEXTSPLIT(D115," ")) = 1,
   "Full Match",
   IF(
      SUMPRODUCT(--ISNUMBER(SEARCH(_xlfn.TEXTSPLIT(D115," "), G115))) / COUNTA(_xlfn.TEXTSPLIT(D115," ")) &gt; 0.5,
      "Partial Match",
      "No Match"
   )
)</f>
        <v>No Match</v>
      </c>
      <c r="AG115" s="96"/>
      <c r="AH115" s="96"/>
      <c r="AI115" s="96"/>
      <c r="AJ115" s="96"/>
      <c r="AK115" s="96"/>
    </row>
    <row r="116" spans="4:37" ht="12.9" hidden="1">
      <c r="D116" s="118"/>
      <c r="K116" s="120" t="str" cm="1">
        <f t="array" aca="1" ref="K116" ca="1">IF(
   SUMPRODUCT(--ISNUMBER(SEARCH(_xlfn.TEXTSPLIT(D116," "), G116))) / COUNTA(_xlfn.TEXTSPLIT(D116," ")) = 1,
   "Full Match",
   IF(
      SUMPRODUCT(--ISNUMBER(SEARCH(_xlfn.TEXTSPLIT(D116," "), G116))) / COUNTA(_xlfn.TEXTSPLIT(D116," ")) &gt; 0.5,
      "Partial Match",
      "No Match"
   )
)</f>
        <v>No Match</v>
      </c>
      <c r="AG116" s="96"/>
      <c r="AH116" s="96"/>
      <c r="AI116" s="96"/>
      <c r="AJ116" s="96"/>
      <c r="AK116" s="96"/>
    </row>
    <row r="117" spans="4:37" ht="12.9" hidden="1">
      <c r="D117" s="118"/>
      <c r="K117" s="120" t="str" cm="1">
        <f t="array" aca="1" ref="K117" ca="1">IF(
   SUMPRODUCT(--ISNUMBER(SEARCH(_xlfn.TEXTSPLIT(D117," "), G117))) / COUNTA(_xlfn.TEXTSPLIT(D117," ")) = 1,
   "Full Match",
   IF(
      SUMPRODUCT(--ISNUMBER(SEARCH(_xlfn.TEXTSPLIT(D117," "), G117))) / COUNTA(_xlfn.TEXTSPLIT(D117," ")) &gt; 0.5,
      "Partial Match",
      "No Match"
   )
)</f>
        <v>No Match</v>
      </c>
      <c r="AG117" s="96"/>
      <c r="AH117" s="96"/>
      <c r="AI117" s="96"/>
      <c r="AJ117" s="96"/>
      <c r="AK117" s="96"/>
    </row>
    <row r="118" spans="4:37" ht="12.9" hidden="1">
      <c r="D118" s="118"/>
      <c r="K118" s="120" t="str" cm="1">
        <f t="array" aca="1" ref="K118" ca="1">IF(
   SUMPRODUCT(--ISNUMBER(SEARCH(_xlfn.TEXTSPLIT(D118," "), G118))) / COUNTA(_xlfn.TEXTSPLIT(D118," ")) = 1,
   "Full Match",
   IF(
      SUMPRODUCT(--ISNUMBER(SEARCH(_xlfn.TEXTSPLIT(D118," "), G118))) / COUNTA(_xlfn.TEXTSPLIT(D118," ")) &gt; 0.5,
      "Partial Match",
      "No Match"
   )
)</f>
        <v>No Match</v>
      </c>
      <c r="AG118" s="96"/>
      <c r="AH118" s="96"/>
      <c r="AI118" s="96"/>
      <c r="AJ118" s="96"/>
      <c r="AK118" s="96"/>
    </row>
    <row r="119" spans="4:37" ht="12.9" hidden="1">
      <c r="D119" s="118"/>
      <c r="K119" s="120" t="str" cm="1">
        <f t="array" aca="1" ref="K119" ca="1">IF(
   SUMPRODUCT(--ISNUMBER(SEARCH(_xlfn.TEXTSPLIT(D119," "), G119))) / COUNTA(_xlfn.TEXTSPLIT(D119," ")) = 1,
   "Full Match",
   IF(
      SUMPRODUCT(--ISNUMBER(SEARCH(_xlfn.TEXTSPLIT(D119," "), G119))) / COUNTA(_xlfn.TEXTSPLIT(D119," ")) &gt; 0.5,
      "Partial Match",
      "No Match"
   )
)</f>
        <v>No Match</v>
      </c>
      <c r="AG119" s="96"/>
      <c r="AH119" s="96"/>
      <c r="AI119" s="96"/>
      <c r="AJ119" s="96"/>
      <c r="AK119" s="96"/>
    </row>
    <row r="120" spans="4:37" ht="12.9" hidden="1">
      <c r="D120" s="118"/>
      <c r="K120" s="120" t="str" cm="1">
        <f t="array" aca="1" ref="K120" ca="1">IF(
   SUMPRODUCT(--ISNUMBER(SEARCH(_xlfn.TEXTSPLIT(D120," "), G120))) / COUNTA(_xlfn.TEXTSPLIT(D120," ")) = 1,
   "Full Match",
   IF(
      SUMPRODUCT(--ISNUMBER(SEARCH(_xlfn.TEXTSPLIT(D120," "), G120))) / COUNTA(_xlfn.TEXTSPLIT(D120," ")) &gt; 0.5,
      "Partial Match",
      "No Match"
   )
)</f>
        <v>No Match</v>
      </c>
      <c r="AG120" s="96"/>
      <c r="AH120" s="96"/>
      <c r="AI120" s="96"/>
      <c r="AJ120" s="96"/>
      <c r="AK120" s="96"/>
    </row>
    <row r="121" spans="4:37" ht="12.9" hidden="1">
      <c r="D121" s="118"/>
      <c r="K121" s="120" t="str" cm="1">
        <f t="array" aca="1" ref="K121" ca="1">IF(
   SUMPRODUCT(--ISNUMBER(SEARCH(_xlfn.TEXTSPLIT(D121," "), G121))) / COUNTA(_xlfn.TEXTSPLIT(D121," ")) = 1,
   "Full Match",
   IF(
      SUMPRODUCT(--ISNUMBER(SEARCH(_xlfn.TEXTSPLIT(D121," "), G121))) / COUNTA(_xlfn.TEXTSPLIT(D121," ")) &gt; 0.5,
      "Partial Match",
      "No Match"
   )
)</f>
        <v>No Match</v>
      </c>
      <c r="AG121" s="96"/>
      <c r="AH121" s="96"/>
      <c r="AI121" s="96"/>
      <c r="AJ121" s="96"/>
      <c r="AK121" s="96"/>
    </row>
    <row r="122" spans="4:37" ht="12.9" hidden="1">
      <c r="D122" s="118"/>
      <c r="K122" s="120" t="str" cm="1">
        <f t="array" aca="1" ref="K122" ca="1">IF(
   SUMPRODUCT(--ISNUMBER(SEARCH(_xlfn.TEXTSPLIT(D122," "), G122))) / COUNTA(_xlfn.TEXTSPLIT(D122," ")) = 1,
   "Full Match",
   IF(
      SUMPRODUCT(--ISNUMBER(SEARCH(_xlfn.TEXTSPLIT(D122," "), G122))) / COUNTA(_xlfn.TEXTSPLIT(D122," ")) &gt; 0.5,
      "Partial Match",
      "No Match"
   )
)</f>
        <v>No Match</v>
      </c>
      <c r="AG122" s="96"/>
      <c r="AH122" s="96"/>
      <c r="AI122" s="96"/>
      <c r="AJ122" s="96"/>
      <c r="AK122" s="96"/>
    </row>
    <row r="123" spans="4:37" ht="12.9" hidden="1">
      <c r="D123" s="118"/>
      <c r="K123" s="120" t="str" cm="1">
        <f t="array" aca="1" ref="K123" ca="1">IF(
   SUMPRODUCT(--ISNUMBER(SEARCH(_xlfn.TEXTSPLIT(D123," "), G123))) / COUNTA(_xlfn.TEXTSPLIT(D123," ")) = 1,
   "Full Match",
   IF(
      SUMPRODUCT(--ISNUMBER(SEARCH(_xlfn.TEXTSPLIT(D123," "), G123))) / COUNTA(_xlfn.TEXTSPLIT(D123," ")) &gt; 0.5,
      "Partial Match",
      "No Match"
   )
)</f>
        <v>No Match</v>
      </c>
      <c r="AG123" s="96"/>
      <c r="AH123" s="96"/>
      <c r="AI123" s="96"/>
      <c r="AJ123" s="96"/>
      <c r="AK123" s="96"/>
    </row>
    <row r="124" spans="4:37" ht="12.9" hidden="1">
      <c r="D124" s="118"/>
      <c r="K124" s="120" t="str" cm="1">
        <f t="array" aca="1" ref="K124" ca="1">IF(
   SUMPRODUCT(--ISNUMBER(SEARCH(_xlfn.TEXTSPLIT(D124," "), G124))) / COUNTA(_xlfn.TEXTSPLIT(D124," ")) = 1,
   "Full Match",
   IF(
      SUMPRODUCT(--ISNUMBER(SEARCH(_xlfn.TEXTSPLIT(D124," "), G124))) / COUNTA(_xlfn.TEXTSPLIT(D124," ")) &gt; 0.5,
      "Partial Match",
      "No Match"
   )
)</f>
        <v>No Match</v>
      </c>
      <c r="AG124" s="96"/>
      <c r="AH124" s="96"/>
      <c r="AI124" s="96"/>
      <c r="AJ124" s="96"/>
      <c r="AK124" s="96"/>
    </row>
    <row r="125" spans="4:37" ht="12.9" hidden="1">
      <c r="D125" s="118"/>
      <c r="K125" s="120" t="str" cm="1">
        <f t="array" aca="1" ref="K125" ca="1">IF(
   SUMPRODUCT(--ISNUMBER(SEARCH(_xlfn.TEXTSPLIT(D125," "), G125))) / COUNTA(_xlfn.TEXTSPLIT(D125," ")) = 1,
   "Full Match",
   IF(
      SUMPRODUCT(--ISNUMBER(SEARCH(_xlfn.TEXTSPLIT(D125," "), G125))) / COUNTA(_xlfn.TEXTSPLIT(D125," ")) &gt; 0.5,
      "Partial Match",
      "No Match"
   )
)</f>
        <v>No Match</v>
      </c>
      <c r="AG125" s="96"/>
      <c r="AH125" s="96"/>
      <c r="AI125" s="96"/>
      <c r="AJ125" s="96"/>
      <c r="AK125" s="96"/>
    </row>
    <row r="126" spans="4:37" ht="12.9" hidden="1">
      <c r="D126" s="118"/>
      <c r="K126" s="120" t="str" cm="1">
        <f t="array" aca="1" ref="K126" ca="1">IF(
   SUMPRODUCT(--ISNUMBER(SEARCH(_xlfn.TEXTSPLIT(D126," "), G126))) / COUNTA(_xlfn.TEXTSPLIT(D126," ")) = 1,
   "Full Match",
   IF(
      SUMPRODUCT(--ISNUMBER(SEARCH(_xlfn.TEXTSPLIT(D126," "), G126))) / COUNTA(_xlfn.TEXTSPLIT(D126," ")) &gt; 0.5,
      "Partial Match",
      "No Match"
   )
)</f>
        <v>No Match</v>
      </c>
      <c r="AG126" s="96"/>
      <c r="AH126" s="96"/>
      <c r="AI126" s="96"/>
      <c r="AJ126" s="96"/>
      <c r="AK126" s="96"/>
    </row>
    <row r="127" spans="4:37" ht="12.9" hidden="1">
      <c r="D127" s="118"/>
      <c r="K127" s="120" t="str" cm="1">
        <f t="array" aca="1" ref="K127" ca="1">IF(
   SUMPRODUCT(--ISNUMBER(SEARCH(_xlfn.TEXTSPLIT(D127," "), G127))) / COUNTA(_xlfn.TEXTSPLIT(D127," ")) = 1,
   "Full Match",
   IF(
      SUMPRODUCT(--ISNUMBER(SEARCH(_xlfn.TEXTSPLIT(D127," "), G127))) / COUNTA(_xlfn.TEXTSPLIT(D127," ")) &gt; 0.5,
      "Partial Match",
      "No Match"
   )
)</f>
        <v>No Match</v>
      </c>
      <c r="AG127" s="96"/>
      <c r="AH127" s="96"/>
      <c r="AI127" s="96"/>
      <c r="AJ127" s="96"/>
      <c r="AK127" s="96"/>
    </row>
    <row r="128" spans="4:37" ht="12.9" hidden="1">
      <c r="D128" s="118"/>
      <c r="K128" s="120" t="str" cm="1">
        <f t="array" aca="1" ref="K128" ca="1">IF(
   SUMPRODUCT(--ISNUMBER(SEARCH(_xlfn.TEXTSPLIT(D128," "), G128))) / COUNTA(_xlfn.TEXTSPLIT(D128," ")) = 1,
   "Full Match",
   IF(
      SUMPRODUCT(--ISNUMBER(SEARCH(_xlfn.TEXTSPLIT(D128," "), G128))) / COUNTA(_xlfn.TEXTSPLIT(D128," ")) &gt; 0.5,
      "Partial Match",
      "No Match"
   )
)</f>
        <v>No Match</v>
      </c>
      <c r="AG128" s="96"/>
      <c r="AH128" s="96"/>
      <c r="AI128" s="96"/>
      <c r="AJ128" s="96"/>
      <c r="AK128" s="96"/>
    </row>
    <row r="129" spans="4:37" ht="12.9" hidden="1">
      <c r="D129" s="118"/>
      <c r="K129" s="120" t="str" cm="1">
        <f t="array" aca="1" ref="K129" ca="1">IF(
   SUMPRODUCT(--ISNUMBER(SEARCH(_xlfn.TEXTSPLIT(D129," "), G129))) / COUNTA(_xlfn.TEXTSPLIT(D129," ")) = 1,
   "Full Match",
   IF(
      SUMPRODUCT(--ISNUMBER(SEARCH(_xlfn.TEXTSPLIT(D129," "), G129))) / COUNTA(_xlfn.TEXTSPLIT(D129," ")) &gt; 0.5,
      "Partial Match",
      "No Match"
   )
)</f>
        <v>No Match</v>
      </c>
      <c r="AG129" s="96"/>
      <c r="AH129" s="96"/>
      <c r="AI129" s="96"/>
      <c r="AJ129" s="96"/>
      <c r="AK129" s="96"/>
    </row>
    <row r="130" spans="4:37" ht="12.9" hidden="1">
      <c r="D130" s="118"/>
      <c r="K130" s="120" t="str" cm="1">
        <f t="array" aca="1" ref="K130" ca="1">IF(
   SUMPRODUCT(--ISNUMBER(SEARCH(_xlfn.TEXTSPLIT(D130," "), G130))) / COUNTA(_xlfn.TEXTSPLIT(D130," ")) = 1,
   "Full Match",
   IF(
      SUMPRODUCT(--ISNUMBER(SEARCH(_xlfn.TEXTSPLIT(D130," "), G130))) / COUNTA(_xlfn.TEXTSPLIT(D130," ")) &gt; 0.5,
      "Partial Match",
      "No Match"
   )
)</f>
        <v>No Match</v>
      </c>
      <c r="AG130" s="96"/>
      <c r="AH130" s="96"/>
      <c r="AI130" s="96"/>
      <c r="AJ130" s="96"/>
      <c r="AK130" s="96"/>
    </row>
    <row r="131" spans="4:37" ht="12.9" hidden="1">
      <c r="D131" s="118"/>
      <c r="K131" s="120" t="str" cm="1">
        <f t="array" aca="1" ref="K131" ca="1">IF(
   SUMPRODUCT(--ISNUMBER(SEARCH(_xlfn.TEXTSPLIT(D131," "), G131))) / COUNTA(_xlfn.TEXTSPLIT(D131," ")) = 1,
   "Full Match",
   IF(
      SUMPRODUCT(--ISNUMBER(SEARCH(_xlfn.TEXTSPLIT(D131," "), G131))) / COUNTA(_xlfn.TEXTSPLIT(D131," ")) &gt; 0.5,
      "Partial Match",
      "No Match"
   )
)</f>
        <v>No Match</v>
      </c>
      <c r="AG131" s="96"/>
      <c r="AH131" s="96"/>
      <c r="AI131" s="96"/>
      <c r="AJ131" s="96"/>
      <c r="AK131" s="96"/>
    </row>
    <row r="132" spans="4:37" ht="12.9" hidden="1">
      <c r="D132" s="118"/>
      <c r="K132" s="120" t="str" cm="1">
        <f t="array" aca="1" ref="K132" ca="1">IF(
   SUMPRODUCT(--ISNUMBER(SEARCH(_xlfn.TEXTSPLIT(D132," "), G132))) / COUNTA(_xlfn.TEXTSPLIT(D132," ")) = 1,
   "Full Match",
   IF(
      SUMPRODUCT(--ISNUMBER(SEARCH(_xlfn.TEXTSPLIT(D132," "), G132))) / COUNTA(_xlfn.TEXTSPLIT(D132," ")) &gt; 0.5,
      "Partial Match",
      "No Match"
   )
)</f>
        <v>No Match</v>
      </c>
      <c r="AG132" s="96"/>
      <c r="AH132" s="96"/>
      <c r="AI132" s="96"/>
      <c r="AJ132" s="96"/>
      <c r="AK132" s="96"/>
    </row>
    <row r="133" spans="4:37" ht="12.9" hidden="1">
      <c r="D133" s="118"/>
      <c r="K133" s="120" t="str" cm="1">
        <f t="array" aca="1" ref="K133" ca="1">IF(
   SUMPRODUCT(--ISNUMBER(SEARCH(_xlfn.TEXTSPLIT(D133," "), G133))) / COUNTA(_xlfn.TEXTSPLIT(D133," ")) = 1,
   "Full Match",
   IF(
      SUMPRODUCT(--ISNUMBER(SEARCH(_xlfn.TEXTSPLIT(D133," "), G133))) / COUNTA(_xlfn.TEXTSPLIT(D133," ")) &gt; 0.5,
      "Partial Match",
      "No Match"
   )
)</f>
        <v>No Match</v>
      </c>
      <c r="AG133" s="96"/>
      <c r="AH133" s="96"/>
      <c r="AI133" s="96"/>
      <c r="AJ133" s="96"/>
      <c r="AK133" s="96"/>
    </row>
    <row r="134" spans="4:37" ht="12.9" hidden="1">
      <c r="D134" s="118"/>
      <c r="K134" s="120" t="str" cm="1">
        <f t="array" aca="1" ref="K134" ca="1">IF(
   SUMPRODUCT(--ISNUMBER(SEARCH(_xlfn.TEXTSPLIT(D134," "), G134))) / COUNTA(_xlfn.TEXTSPLIT(D134," ")) = 1,
   "Full Match",
   IF(
      SUMPRODUCT(--ISNUMBER(SEARCH(_xlfn.TEXTSPLIT(D134," "), G134))) / COUNTA(_xlfn.TEXTSPLIT(D134," ")) &gt; 0.5,
      "Partial Match",
      "No Match"
   )
)</f>
        <v>No Match</v>
      </c>
      <c r="AG134" s="96"/>
      <c r="AH134" s="96"/>
      <c r="AI134" s="96"/>
      <c r="AJ134" s="96"/>
      <c r="AK134" s="96"/>
    </row>
    <row r="135" spans="4:37" ht="12.9" hidden="1">
      <c r="D135" s="118"/>
      <c r="K135" s="120" t="str" cm="1">
        <f t="array" aca="1" ref="K135" ca="1">IF(
   SUMPRODUCT(--ISNUMBER(SEARCH(_xlfn.TEXTSPLIT(D135," "), G135))) / COUNTA(_xlfn.TEXTSPLIT(D135," ")) = 1,
   "Full Match",
   IF(
      SUMPRODUCT(--ISNUMBER(SEARCH(_xlfn.TEXTSPLIT(D135," "), G135))) / COUNTA(_xlfn.TEXTSPLIT(D135," ")) &gt; 0.5,
      "Partial Match",
      "No Match"
   )
)</f>
        <v>No Match</v>
      </c>
      <c r="AG135" s="96"/>
      <c r="AH135" s="96"/>
      <c r="AI135" s="96"/>
      <c r="AJ135" s="96"/>
      <c r="AK135" s="96"/>
    </row>
    <row r="136" spans="4:37" ht="12.9" hidden="1">
      <c r="D136" s="118"/>
      <c r="K136" s="120" t="str" cm="1">
        <f t="array" aca="1" ref="K136" ca="1">IF(
   SUMPRODUCT(--ISNUMBER(SEARCH(_xlfn.TEXTSPLIT(D136," "), G136))) / COUNTA(_xlfn.TEXTSPLIT(D136," ")) = 1,
   "Full Match",
   IF(
      SUMPRODUCT(--ISNUMBER(SEARCH(_xlfn.TEXTSPLIT(D136," "), G136))) / COUNTA(_xlfn.TEXTSPLIT(D136," ")) &gt; 0.5,
      "Partial Match",
      "No Match"
   )
)</f>
        <v>No Match</v>
      </c>
      <c r="AG136" s="96"/>
      <c r="AH136" s="96"/>
      <c r="AI136" s="96"/>
      <c r="AJ136" s="96"/>
      <c r="AK136" s="96"/>
    </row>
    <row r="137" spans="4:37" ht="12.9" hidden="1">
      <c r="D137" s="118"/>
      <c r="K137" s="120" t="str" cm="1">
        <f t="array" aca="1" ref="K137" ca="1">IF(
   SUMPRODUCT(--ISNUMBER(SEARCH(_xlfn.TEXTSPLIT(D137," "), G137))) / COUNTA(_xlfn.TEXTSPLIT(D137," ")) = 1,
   "Full Match",
   IF(
      SUMPRODUCT(--ISNUMBER(SEARCH(_xlfn.TEXTSPLIT(D137," "), G137))) / COUNTA(_xlfn.TEXTSPLIT(D137," ")) &gt; 0.5,
      "Partial Match",
      "No Match"
   )
)</f>
        <v>No Match</v>
      </c>
      <c r="AG137" s="96"/>
      <c r="AH137" s="96"/>
      <c r="AI137" s="96"/>
      <c r="AJ137" s="96"/>
      <c r="AK137" s="96"/>
    </row>
    <row r="138" spans="4:37" ht="12.9" hidden="1">
      <c r="D138" s="118"/>
      <c r="K138" s="120" t="str" cm="1">
        <f t="array" aca="1" ref="K138" ca="1">IF(
   SUMPRODUCT(--ISNUMBER(SEARCH(_xlfn.TEXTSPLIT(D138," "), G138))) / COUNTA(_xlfn.TEXTSPLIT(D138," ")) = 1,
   "Full Match",
   IF(
      SUMPRODUCT(--ISNUMBER(SEARCH(_xlfn.TEXTSPLIT(D138," "), G138))) / COUNTA(_xlfn.TEXTSPLIT(D138," ")) &gt; 0.5,
      "Partial Match",
      "No Match"
   )
)</f>
        <v>No Match</v>
      </c>
      <c r="AG138" s="96"/>
      <c r="AH138" s="96"/>
      <c r="AI138" s="96"/>
      <c r="AJ138" s="96"/>
      <c r="AK138" s="96"/>
    </row>
    <row r="139" spans="4:37" ht="12.9" hidden="1">
      <c r="D139" s="118"/>
      <c r="K139" s="120" t="str" cm="1">
        <f t="array" aca="1" ref="K139" ca="1">IF(
   SUMPRODUCT(--ISNUMBER(SEARCH(_xlfn.TEXTSPLIT(D139," "), G139))) / COUNTA(_xlfn.TEXTSPLIT(D139," ")) = 1,
   "Full Match",
   IF(
      SUMPRODUCT(--ISNUMBER(SEARCH(_xlfn.TEXTSPLIT(D139," "), G139))) / COUNTA(_xlfn.TEXTSPLIT(D139," ")) &gt; 0.5,
      "Partial Match",
      "No Match"
   )
)</f>
        <v>No Match</v>
      </c>
      <c r="AG139" s="96"/>
      <c r="AH139" s="96"/>
      <c r="AI139" s="96"/>
      <c r="AJ139" s="96"/>
      <c r="AK139" s="96"/>
    </row>
    <row r="140" spans="4:37" ht="12.9" hidden="1">
      <c r="D140" s="118"/>
      <c r="K140" s="120" t="str" cm="1">
        <f t="array" aca="1" ref="K140" ca="1">IF(
   SUMPRODUCT(--ISNUMBER(SEARCH(_xlfn.TEXTSPLIT(D140," "), G140))) / COUNTA(_xlfn.TEXTSPLIT(D140," ")) = 1,
   "Full Match",
   IF(
      SUMPRODUCT(--ISNUMBER(SEARCH(_xlfn.TEXTSPLIT(D140," "), G140))) / COUNTA(_xlfn.TEXTSPLIT(D140," ")) &gt; 0.5,
      "Partial Match",
      "No Match"
   )
)</f>
        <v>No Match</v>
      </c>
      <c r="AG140" s="96"/>
      <c r="AH140" s="96"/>
      <c r="AI140" s="96"/>
      <c r="AJ140" s="96"/>
      <c r="AK140" s="96"/>
    </row>
    <row r="141" spans="4:37" ht="12.9" hidden="1">
      <c r="D141" s="118"/>
      <c r="K141" s="120" t="str" cm="1">
        <f t="array" aca="1" ref="K141" ca="1">IF(
   SUMPRODUCT(--ISNUMBER(SEARCH(_xlfn.TEXTSPLIT(D141," "), G141))) / COUNTA(_xlfn.TEXTSPLIT(D141," ")) = 1,
   "Full Match",
   IF(
      SUMPRODUCT(--ISNUMBER(SEARCH(_xlfn.TEXTSPLIT(D141," "), G141))) / COUNTA(_xlfn.TEXTSPLIT(D141," ")) &gt; 0.5,
      "Partial Match",
      "No Match"
   )
)</f>
        <v>No Match</v>
      </c>
      <c r="AG141" s="96"/>
      <c r="AH141" s="96"/>
      <c r="AI141" s="96"/>
      <c r="AJ141" s="96"/>
      <c r="AK141" s="96"/>
    </row>
    <row r="142" spans="4:37" ht="12.9" hidden="1">
      <c r="D142" s="118"/>
      <c r="K142" s="120" t="str" cm="1">
        <f t="array" aca="1" ref="K142" ca="1">IF(
   SUMPRODUCT(--ISNUMBER(SEARCH(_xlfn.TEXTSPLIT(D142," "), G142))) / COUNTA(_xlfn.TEXTSPLIT(D142," ")) = 1,
   "Full Match",
   IF(
      SUMPRODUCT(--ISNUMBER(SEARCH(_xlfn.TEXTSPLIT(D142," "), G142))) / COUNTA(_xlfn.TEXTSPLIT(D142," ")) &gt; 0.5,
      "Partial Match",
      "No Match"
   )
)</f>
        <v>No Match</v>
      </c>
      <c r="AG142" s="96"/>
      <c r="AH142" s="96"/>
      <c r="AI142" s="96"/>
      <c r="AJ142" s="96"/>
      <c r="AK142" s="96"/>
    </row>
    <row r="143" spans="4:37" ht="12.9" hidden="1">
      <c r="D143" s="118"/>
      <c r="K143" s="120" t="str" cm="1">
        <f t="array" aca="1" ref="K143" ca="1">IF(
   SUMPRODUCT(--ISNUMBER(SEARCH(_xlfn.TEXTSPLIT(D143," "), G143))) / COUNTA(_xlfn.TEXTSPLIT(D143," ")) = 1,
   "Full Match",
   IF(
      SUMPRODUCT(--ISNUMBER(SEARCH(_xlfn.TEXTSPLIT(D143," "), G143))) / COUNTA(_xlfn.TEXTSPLIT(D143," ")) &gt; 0.5,
      "Partial Match",
      "No Match"
   )
)</f>
        <v>No Match</v>
      </c>
      <c r="AG143" s="96"/>
      <c r="AH143" s="96"/>
      <c r="AI143" s="96"/>
      <c r="AJ143" s="96"/>
      <c r="AK143" s="96"/>
    </row>
    <row r="144" spans="4:37" ht="12.9" hidden="1">
      <c r="D144" s="118"/>
      <c r="K144" s="120" t="str" cm="1">
        <f t="array" aca="1" ref="K144" ca="1">IF(
   SUMPRODUCT(--ISNUMBER(SEARCH(_xlfn.TEXTSPLIT(D144," "), G144))) / COUNTA(_xlfn.TEXTSPLIT(D144," ")) = 1,
   "Full Match",
   IF(
      SUMPRODUCT(--ISNUMBER(SEARCH(_xlfn.TEXTSPLIT(D144," "), G144))) / COUNTA(_xlfn.TEXTSPLIT(D144," ")) &gt; 0.5,
      "Partial Match",
      "No Match"
   )
)</f>
        <v>No Match</v>
      </c>
      <c r="AG144" s="96"/>
      <c r="AH144" s="96"/>
      <c r="AI144" s="96"/>
      <c r="AJ144" s="96"/>
      <c r="AK144" s="96"/>
    </row>
    <row r="145" spans="4:37" ht="12.9" hidden="1">
      <c r="D145" s="118"/>
      <c r="K145" s="120" t="str" cm="1">
        <f t="array" aca="1" ref="K145" ca="1">IF(
   SUMPRODUCT(--ISNUMBER(SEARCH(_xlfn.TEXTSPLIT(D145," "), G145))) / COUNTA(_xlfn.TEXTSPLIT(D145," ")) = 1,
   "Full Match",
   IF(
      SUMPRODUCT(--ISNUMBER(SEARCH(_xlfn.TEXTSPLIT(D145," "), G145))) / COUNTA(_xlfn.TEXTSPLIT(D145," ")) &gt; 0.5,
      "Partial Match",
      "No Match"
   )
)</f>
        <v>No Match</v>
      </c>
      <c r="AG145" s="96"/>
      <c r="AH145" s="96"/>
      <c r="AI145" s="96"/>
      <c r="AJ145" s="96"/>
      <c r="AK145" s="96"/>
    </row>
    <row r="146" spans="4:37" ht="12.9" hidden="1">
      <c r="D146" s="118"/>
      <c r="K146" s="120" t="str" cm="1">
        <f t="array" aca="1" ref="K146" ca="1">IF(
   SUMPRODUCT(--ISNUMBER(SEARCH(_xlfn.TEXTSPLIT(D146," "), G146))) / COUNTA(_xlfn.TEXTSPLIT(D146," ")) = 1,
   "Full Match",
   IF(
      SUMPRODUCT(--ISNUMBER(SEARCH(_xlfn.TEXTSPLIT(D146," "), G146))) / COUNTA(_xlfn.TEXTSPLIT(D146," ")) &gt; 0.5,
      "Partial Match",
      "No Match"
   )
)</f>
        <v>No Match</v>
      </c>
      <c r="AG146" s="96"/>
      <c r="AH146" s="96"/>
      <c r="AI146" s="96"/>
      <c r="AJ146" s="96"/>
      <c r="AK146" s="96"/>
    </row>
    <row r="147" spans="4:37" ht="12.9" hidden="1">
      <c r="D147" s="118"/>
      <c r="K147" s="120" t="str" cm="1">
        <f t="array" aca="1" ref="K147" ca="1">IF(
   SUMPRODUCT(--ISNUMBER(SEARCH(_xlfn.TEXTSPLIT(D147," "), G147))) / COUNTA(_xlfn.TEXTSPLIT(D147," ")) = 1,
   "Full Match",
   IF(
      SUMPRODUCT(--ISNUMBER(SEARCH(_xlfn.TEXTSPLIT(D147," "), G147))) / COUNTA(_xlfn.TEXTSPLIT(D147," ")) &gt; 0.5,
      "Partial Match",
      "No Match"
   )
)</f>
        <v>No Match</v>
      </c>
      <c r="AG147" s="96"/>
      <c r="AH147" s="96"/>
      <c r="AI147" s="96"/>
      <c r="AJ147" s="96"/>
      <c r="AK147" s="96"/>
    </row>
    <row r="148" spans="4:37" ht="12.9" hidden="1">
      <c r="D148" s="118"/>
      <c r="K148" s="120" t="str" cm="1">
        <f t="array" aca="1" ref="K148" ca="1">IF(
   SUMPRODUCT(--ISNUMBER(SEARCH(_xlfn.TEXTSPLIT(D148," "), G148))) / COUNTA(_xlfn.TEXTSPLIT(D148," ")) = 1,
   "Full Match",
   IF(
      SUMPRODUCT(--ISNUMBER(SEARCH(_xlfn.TEXTSPLIT(D148," "), G148))) / COUNTA(_xlfn.TEXTSPLIT(D148," ")) &gt; 0.5,
      "Partial Match",
      "No Match"
   )
)</f>
        <v>No Match</v>
      </c>
      <c r="AG148" s="96"/>
      <c r="AH148" s="96"/>
      <c r="AI148" s="96"/>
      <c r="AJ148" s="96"/>
      <c r="AK148" s="96"/>
    </row>
    <row r="149" spans="4:37" ht="12.9" hidden="1">
      <c r="D149" s="118"/>
      <c r="K149" s="120" t="str" cm="1">
        <f t="array" aca="1" ref="K149" ca="1">IF(
   SUMPRODUCT(--ISNUMBER(SEARCH(_xlfn.TEXTSPLIT(D149," "), G149))) / COUNTA(_xlfn.TEXTSPLIT(D149," ")) = 1,
   "Full Match",
   IF(
      SUMPRODUCT(--ISNUMBER(SEARCH(_xlfn.TEXTSPLIT(D149," "), G149))) / COUNTA(_xlfn.TEXTSPLIT(D149," ")) &gt; 0.5,
      "Partial Match",
      "No Match"
   )
)</f>
        <v>No Match</v>
      </c>
      <c r="AG149" s="96"/>
      <c r="AH149" s="96"/>
      <c r="AI149" s="96"/>
      <c r="AJ149" s="96"/>
      <c r="AK149" s="96"/>
    </row>
    <row r="150" spans="4:37" ht="12.9" hidden="1">
      <c r="D150" s="118"/>
      <c r="K150" s="120" t="str" cm="1">
        <f t="array" aca="1" ref="K150" ca="1">IF(
   SUMPRODUCT(--ISNUMBER(SEARCH(_xlfn.TEXTSPLIT(D150," "), G150))) / COUNTA(_xlfn.TEXTSPLIT(D150," ")) = 1,
   "Full Match",
   IF(
      SUMPRODUCT(--ISNUMBER(SEARCH(_xlfn.TEXTSPLIT(D150," "), G150))) / COUNTA(_xlfn.TEXTSPLIT(D150," ")) &gt; 0.5,
      "Partial Match",
      "No Match"
   )
)</f>
        <v>No Match</v>
      </c>
      <c r="AG150" s="96"/>
      <c r="AH150" s="96"/>
      <c r="AI150" s="96"/>
      <c r="AJ150" s="96"/>
      <c r="AK150" s="96"/>
    </row>
    <row r="151" spans="4:37" ht="12.9" hidden="1">
      <c r="D151" s="118"/>
      <c r="K151" s="120" t="str" cm="1">
        <f t="array" aca="1" ref="K151" ca="1">IF(
   SUMPRODUCT(--ISNUMBER(SEARCH(_xlfn.TEXTSPLIT(D151," "), G151))) / COUNTA(_xlfn.TEXTSPLIT(D151," ")) = 1,
   "Full Match",
   IF(
      SUMPRODUCT(--ISNUMBER(SEARCH(_xlfn.TEXTSPLIT(D151," "), G151))) / COUNTA(_xlfn.TEXTSPLIT(D151," ")) &gt; 0.5,
      "Partial Match",
      "No Match"
   )
)</f>
        <v>No Match</v>
      </c>
      <c r="AG151" s="96"/>
      <c r="AH151" s="96"/>
      <c r="AI151" s="96"/>
      <c r="AJ151" s="96"/>
      <c r="AK151" s="96"/>
    </row>
    <row r="152" spans="4:37" ht="12.9" hidden="1">
      <c r="D152" s="118"/>
      <c r="K152" s="120" t="str" cm="1">
        <f t="array" aca="1" ref="K152" ca="1">IF(
   SUMPRODUCT(--ISNUMBER(SEARCH(_xlfn.TEXTSPLIT(D152," "), G152))) / COUNTA(_xlfn.TEXTSPLIT(D152," ")) = 1,
   "Full Match",
   IF(
      SUMPRODUCT(--ISNUMBER(SEARCH(_xlfn.TEXTSPLIT(D152," "), G152))) / COUNTA(_xlfn.TEXTSPLIT(D152," ")) &gt; 0.5,
      "Partial Match",
      "No Match"
   )
)</f>
        <v>No Match</v>
      </c>
      <c r="AG152" s="96"/>
      <c r="AH152" s="96"/>
      <c r="AI152" s="96"/>
      <c r="AJ152" s="96"/>
      <c r="AK152" s="96"/>
    </row>
    <row r="153" spans="4:37" ht="12.9" hidden="1">
      <c r="D153" s="118"/>
      <c r="K153" s="120" t="str" cm="1">
        <f t="array" aca="1" ref="K153" ca="1">IF(
   SUMPRODUCT(--ISNUMBER(SEARCH(_xlfn.TEXTSPLIT(D153," "), G153))) / COUNTA(_xlfn.TEXTSPLIT(D153," ")) = 1,
   "Full Match",
   IF(
      SUMPRODUCT(--ISNUMBER(SEARCH(_xlfn.TEXTSPLIT(D153," "), G153))) / COUNTA(_xlfn.TEXTSPLIT(D153," ")) &gt; 0.5,
      "Partial Match",
      "No Match"
   )
)</f>
        <v>No Match</v>
      </c>
      <c r="AG153" s="96"/>
      <c r="AH153" s="96"/>
      <c r="AI153" s="96"/>
      <c r="AJ153" s="96"/>
      <c r="AK153" s="96"/>
    </row>
    <row r="154" spans="4:37" ht="12.9" hidden="1">
      <c r="D154" s="118"/>
      <c r="K154" s="120" t="str" cm="1">
        <f t="array" aca="1" ref="K154" ca="1">IF(
   SUMPRODUCT(--ISNUMBER(SEARCH(_xlfn.TEXTSPLIT(D154," "), G154))) / COUNTA(_xlfn.TEXTSPLIT(D154," ")) = 1,
   "Full Match",
   IF(
      SUMPRODUCT(--ISNUMBER(SEARCH(_xlfn.TEXTSPLIT(D154," "), G154))) / COUNTA(_xlfn.TEXTSPLIT(D154," ")) &gt; 0.5,
      "Partial Match",
      "No Match"
   )
)</f>
        <v>No Match</v>
      </c>
      <c r="AG154" s="96"/>
      <c r="AH154" s="96"/>
      <c r="AI154" s="96"/>
      <c r="AJ154" s="96"/>
      <c r="AK154" s="96"/>
    </row>
    <row r="155" spans="4:37" ht="12.9" hidden="1">
      <c r="D155" s="118"/>
      <c r="K155" s="120" t="str" cm="1">
        <f t="array" aca="1" ref="K155" ca="1">IF(
   SUMPRODUCT(--ISNUMBER(SEARCH(_xlfn.TEXTSPLIT(D155," "), G155))) / COUNTA(_xlfn.TEXTSPLIT(D155," ")) = 1,
   "Full Match",
   IF(
      SUMPRODUCT(--ISNUMBER(SEARCH(_xlfn.TEXTSPLIT(D155," "), G155))) / COUNTA(_xlfn.TEXTSPLIT(D155," ")) &gt; 0.5,
      "Partial Match",
      "No Match"
   )
)</f>
        <v>No Match</v>
      </c>
      <c r="AG155" s="96"/>
      <c r="AH155" s="96"/>
      <c r="AI155" s="96"/>
      <c r="AJ155" s="96"/>
      <c r="AK155" s="96"/>
    </row>
    <row r="156" spans="4:37" ht="12.9" hidden="1">
      <c r="D156" s="118"/>
      <c r="K156" s="120" t="str" cm="1">
        <f t="array" aca="1" ref="K156" ca="1">IF(
   SUMPRODUCT(--ISNUMBER(SEARCH(_xlfn.TEXTSPLIT(D156," "), G156))) / COUNTA(_xlfn.TEXTSPLIT(D156," ")) = 1,
   "Full Match",
   IF(
      SUMPRODUCT(--ISNUMBER(SEARCH(_xlfn.TEXTSPLIT(D156," "), G156))) / COUNTA(_xlfn.TEXTSPLIT(D156," ")) &gt; 0.5,
      "Partial Match",
      "No Match"
   )
)</f>
        <v>No Match</v>
      </c>
      <c r="AG156" s="96"/>
      <c r="AH156" s="96"/>
      <c r="AI156" s="96"/>
      <c r="AJ156" s="96"/>
      <c r="AK156" s="96"/>
    </row>
    <row r="157" spans="4:37" ht="12.9" hidden="1">
      <c r="D157" s="118"/>
      <c r="K157" s="120" t="str" cm="1">
        <f t="array" aca="1" ref="K157" ca="1">IF(
   SUMPRODUCT(--ISNUMBER(SEARCH(_xlfn.TEXTSPLIT(D157," "), G157))) / COUNTA(_xlfn.TEXTSPLIT(D157," ")) = 1,
   "Full Match",
   IF(
      SUMPRODUCT(--ISNUMBER(SEARCH(_xlfn.TEXTSPLIT(D157," "), G157))) / COUNTA(_xlfn.TEXTSPLIT(D157," ")) &gt; 0.5,
      "Partial Match",
      "No Match"
   )
)</f>
        <v>No Match</v>
      </c>
      <c r="AG157" s="96"/>
      <c r="AH157" s="96"/>
      <c r="AI157" s="96"/>
      <c r="AJ157" s="96"/>
      <c r="AK157" s="96"/>
    </row>
    <row r="158" spans="4:37" ht="12.9" hidden="1">
      <c r="D158" s="118"/>
      <c r="K158" s="120" t="str" cm="1">
        <f t="array" aca="1" ref="K158" ca="1">IF(
   SUMPRODUCT(--ISNUMBER(SEARCH(_xlfn.TEXTSPLIT(D158," "), G158))) / COUNTA(_xlfn.TEXTSPLIT(D158," ")) = 1,
   "Full Match",
   IF(
      SUMPRODUCT(--ISNUMBER(SEARCH(_xlfn.TEXTSPLIT(D158," "), G158))) / COUNTA(_xlfn.TEXTSPLIT(D158," ")) &gt; 0.5,
      "Partial Match",
      "No Match"
   )
)</f>
        <v>No Match</v>
      </c>
      <c r="AG158" s="96"/>
      <c r="AH158" s="96"/>
      <c r="AI158" s="96"/>
      <c r="AJ158" s="96"/>
      <c r="AK158" s="96"/>
    </row>
    <row r="159" spans="4:37" ht="12.9" hidden="1">
      <c r="D159" s="118"/>
      <c r="K159" s="120" t="str" cm="1">
        <f t="array" aca="1" ref="K159" ca="1">IF(
   SUMPRODUCT(--ISNUMBER(SEARCH(_xlfn.TEXTSPLIT(D159," "), G159))) / COUNTA(_xlfn.TEXTSPLIT(D159," ")) = 1,
   "Full Match",
   IF(
      SUMPRODUCT(--ISNUMBER(SEARCH(_xlfn.TEXTSPLIT(D159," "), G159))) / COUNTA(_xlfn.TEXTSPLIT(D159," ")) &gt; 0.5,
      "Partial Match",
      "No Match"
   )
)</f>
        <v>No Match</v>
      </c>
      <c r="AG159" s="96"/>
      <c r="AH159" s="96"/>
      <c r="AI159" s="96"/>
      <c r="AJ159" s="96"/>
      <c r="AK159" s="96"/>
    </row>
    <row r="160" spans="4:37" ht="12.9" hidden="1">
      <c r="D160" s="118"/>
      <c r="K160" s="120" t="str" cm="1">
        <f t="array" aca="1" ref="K160" ca="1">IF(
   SUMPRODUCT(--ISNUMBER(SEARCH(_xlfn.TEXTSPLIT(D160," "), G160))) / COUNTA(_xlfn.TEXTSPLIT(D160," ")) = 1,
   "Full Match",
   IF(
      SUMPRODUCT(--ISNUMBER(SEARCH(_xlfn.TEXTSPLIT(D160," "), G160))) / COUNTA(_xlfn.TEXTSPLIT(D160," ")) &gt; 0.5,
      "Partial Match",
      "No Match"
   )
)</f>
        <v>No Match</v>
      </c>
      <c r="AG160" s="96"/>
      <c r="AH160" s="96"/>
      <c r="AI160" s="96"/>
      <c r="AJ160" s="96"/>
      <c r="AK160" s="96"/>
    </row>
    <row r="161" spans="4:37" ht="12.9" hidden="1">
      <c r="D161" s="118"/>
      <c r="K161" s="120" t="str" cm="1">
        <f t="array" aca="1" ref="K161" ca="1">IF(
   SUMPRODUCT(--ISNUMBER(SEARCH(_xlfn.TEXTSPLIT(D161," "), G161))) / COUNTA(_xlfn.TEXTSPLIT(D161," ")) = 1,
   "Full Match",
   IF(
      SUMPRODUCT(--ISNUMBER(SEARCH(_xlfn.TEXTSPLIT(D161," "), G161))) / COUNTA(_xlfn.TEXTSPLIT(D161," ")) &gt; 0.5,
      "Partial Match",
      "No Match"
   )
)</f>
        <v>No Match</v>
      </c>
      <c r="AG161" s="96"/>
      <c r="AH161" s="96"/>
      <c r="AI161" s="96"/>
      <c r="AJ161" s="96"/>
      <c r="AK161" s="96"/>
    </row>
    <row r="162" spans="4:37" ht="12.9" hidden="1">
      <c r="D162" s="118"/>
      <c r="K162" s="120" t="str" cm="1">
        <f t="array" aca="1" ref="K162" ca="1">IF(
   SUMPRODUCT(--ISNUMBER(SEARCH(_xlfn.TEXTSPLIT(D162," "), G162))) / COUNTA(_xlfn.TEXTSPLIT(D162," ")) = 1,
   "Full Match",
   IF(
      SUMPRODUCT(--ISNUMBER(SEARCH(_xlfn.TEXTSPLIT(D162," "), G162))) / COUNTA(_xlfn.TEXTSPLIT(D162," ")) &gt; 0.5,
      "Partial Match",
      "No Match"
   )
)</f>
        <v>No Match</v>
      </c>
      <c r="AG162" s="96"/>
      <c r="AH162" s="96"/>
      <c r="AI162" s="96"/>
      <c r="AJ162" s="96"/>
      <c r="AK162" s="96"/>
    </row>
    <row r="163" spans="4:37" ht="12.9" hidden="1">
      <c r="D163" s="118"/>
      <c r="K163" s="120" t="str" cm="1">
        <f t="array" aca="1" ref="K163" ca="1">IF(
   SUMPRODUCT(--ISNUMBER(SEARCH(_xlfn.TEXTSPLIT(D163," "), G163))) / COUNTA(_xlfn.TEXTSPLIT(D163," ")) = 1,
   "Full Match",
   IF(
      SUMPRODUCT(--ISNUMBER(SEARCH(_xlfn.TEXTSPLIT(D163," "), G163))) / COUNTA(_xlfn.TEXTSPLIT(D163," ")) &gt; 0.5,
      "Partial Match",
      "No Match"
   )
)</f>
        <v>No Match</v>
      </c>
      <c r="AG163" s="96"/>
      <c r="AH163" s="96"/>
      <c r="AI163" s="96"/>
      <c r="AJ163" s="96"/>
      <c r="AK163" s="96"/>
    </row>
    <row r="164" spans="4:37" ht="12.9" hidden="1">
      <c r="D164" s="118"/>
      <c r="K164" s="120" t="str" cm="1">
        <f t="array" aca="1" ref="K164" ca="1">IF(
   SUMPRODUCT(--ISNUMBER(SEARCH(_xlfn.TEXTSPLIT(D164," "), G164))) / COUNTA(_xlfn.TEXTSPLIT(D164," ")) = 1,
   "Full Match",
   IF(
      SUMPRODUCT(--ISNUMBER(SEARCH(_xlfn.TEXTSPLIT(D164," "), G164))) / COUNTA(_xlfn.TEXTSPLIT(D164," ")) &gt; 0.5,
      "Partial Match",
      "No Match"
   )
)</f>
        <v>No Match</v>
      </c>
      <c r="AG164" s="96"/>
      <c r="AH164" s="96"/>
      <c r="AI164" s="96"/>
      <c r="AJ164" s="96"/>
      <c r="AK164" s="96"/>
    </row>
    <row r="165" spans="4:37" ht="12.9" hidden="1">
      <c r="D165" s="118"/>
      <c r="K165" s="120" t="str" cm="1">
        <f t="array" aca="1" ref="K165" ca="1">IF(
   SUMPRODUCT(--ISNUMBER(SEARCH(_xlfn.TEXTSPLIT(D165," "), G165))) / COUNTA(_xlfn.TEXTSPLIT(D165," ")) = 1,
   "Full Match",
   IF(
      SUMPRODUCT(--ISNUMBER(SEARCH(_xlfn.TEXTSPLIT(D165," "), G165))) / COUNTA(_xlfn.TEXTSPLIT(D165," ")) &gt; 0.5,
      "Partial Match",
      "No Match"
   )
)</f>
        <v>No Match</v>
      </c>
      <c r="AG165" s="96"/>
      <c r="AH165" s="96"/>
      <c r="AI165" s="96"/>
      <c r="AJ165" s="96"/>
      <c r="AK165" s="96"/>
    </row>
    <row r="166" spans="4:37" ht="12.9" hidden="1">
      <c r="D166" s="118"/>
      <c r="K166" s="120" t="str" cm="1">
        <f t="array" aca="1" ref="K166" ca="1">IF(
   SUMPRODUCT(--ISNUMBER(SEARCH(_xlfn.TEXTSPLIT(D166," "), G166))) / COUNTA(_xlfn.TEXTSPLIT(D166," ")) = 1,
   "Full Match",
   IF(
      SUMPRODUCT(--ISNUMBER(SEARCH(_xlfn.TEXTSPLIT(D166," "), G166))) / COUNTA(_xlfn.TEXTSPLIT(D166," ")) &gt; 0.5,
      "Partial Match",
      "No Match"
   )
)</f>
        <v>No Match</v>
      </c>
      <c r="AG166" s="96"/>
      <c r="AH166" s="96"/>
      <c r="AI166" s="96"/>
      <c r="AJ166" s="96"/>
      <c r="AK166" s="96"/>
    </row>
    <row r="167" spans="4:37" ht="12.9" hidden="1">
      <c r="D167" s="118"/>
      <c r="K167" s="120" t="str" cm="1">
        <f t="array" aca="1" ref="K167" ca="1">IF(
   SUMPRODUCT(--ISNUMBER(SEARCH(_xlfn.TEXTSPLIT(D167," "), G167))) / COUNTA(_xlfn.TEXTSPLIT(D167," ")) = 1,
   "Full Match",
   IF(
      SUMPRODUCT(--ISNUMBER(SEARCH(_xlfn.TEXTSPLIT(D167," "), G167))) / COUNTA(_xlfn.TEXTSPLIT(D167," ")) &gt; 0.5,
      "Partial Match",
      "No Match"
   )
)</f>
        <v>No Match</v>
      </c>
      <c r="AG167" s="96"/>
      <c r="AH167" s="96"/>
      <c r="AI167" s="96"/>
      <c r="AJ167" s="96"/>
      <c r="AK167" s="96"/>
    </row>
    <row r="168" spans="4:37" ht="12.9" hidden="1">
      <c r="D168" s="118"/>
      <c r="K168" s="120" t="str" cm="1">
        <f t="array" aca="1" ref="K168" ca="1">IF(
   SUMPRODUCT(--ISNUMBER(SEARCH(_xlfn.TEXTSPLIT(D168," "), G168))) / COUNTA(_xlfn.TEXTSPLIT(D168," ")) = 1,
   "Full Match",
   IF(
      SUMPRODUCT(--ISNUMBER(SEARCH(_xlfn.TEXTSPLIT(D168," "), G168))) / COUNTA(_xlfn.TEXTSPLIT(D168," ")) &gt; 0.5,
      "Partial Match",
      "No Match"
   )
)</f>
        <v>No Match</v>
      </c>
      <c r="AG168" s="96"/>
      <c r="AH168" s="96"/>
      <c r="AI168" s="96"/>
      <c r="AJ168" s="96"/>
      <c r="AK168" s="96"/>
    </row>
    <row r="169" spans="4:37" ht="12.9" hidden="1">
      <c r="D169" s="118"/>
      <c r="K169" s="120" t="str" cm="1">
        <f t="array" aca="1" ref="K169" ca="1">IF(
   SUMPRODUCT(--ISNUMBER(SEARCH(_xlfn.TEXTSPLIT(D169," "), G169))) / COUNTA(_xlfn.TEXTSPLIT(D169," ")) = 1,
   "Full Match",
   IF(
      SUMPRODUCT(--ISNUMBER(SEARCH(_xlfn.TEXTSPLIT(D169," "), G169))) / COUNTA(_xlfn.TEXTSPLIT(D169," ")) &gt; 0.5,
      "Partial Match",
      "No Match"
   )
)</f>
        <v>No Match</v>
      </c>
      <c r="AG169" s="96"/>
      <c r="AH169" s="96"/>
      <c r="AI169" s="96"/>
      <c r="AJ169" s="96"/>
      <c r="AK169" s="96"/>
    </row>
    <row r="170" spans="4:37" ht="12.9" hidden="1">
      <c r="D170" s="118"/>
      <c r="K170" s="120" t="str" cm="1">
        <f t="array" aca="1" ref="K170" ca="1">IF(
   SUMPRODUCT(--ISNUMBER(SEARCH(_xlfn.TEXTSPLIT(D170," "), G170))) / COUNTA(_xlfn.TEXTSPLIT(D170," ")) = 1,
   "Full Match",
   IF(
      SUMPRODUCT(--ISNUMBER(SEARCH(_xlfn.TEXTSPLIT(D170," "), G170))) / COUNTA(_xlfn.TEXTSPLIT(D170," ")) &gt; 0.5,
      "Partial Match",
      "No Match"
   )
)</f>
        <v>No Match</v>
      </c>
      <c r="AG170" s="96"/>
      <c r="AH170" s="96"/>
      <c r="AI170" s="96"/>
      <c r="AJ170" s="96"/>
      <c r="AK170" s="96"/>
    </row>
    <row r="171" spans="4:37" ht="12.9" hidden="1">
      <c r="D171" s="118"/>
      <c r="K171" s="120" t="str" cm="1">
        <f t="array" aca="1" ref="K171" ca="1">IF(
   SUMPRODUCT(--ISNUMBER(SEARCH(_xlfn.TEXTSPLIT(D171," "), G171))) / COUNTA(_xlfn.TEXTSPLIT(D171," ")) = 1,
   "Full Match",
   IF(
      SUMPRODUCT(--ISNUMBER(SEARCH(_xlfn.TEXTSPLIT(D171," "), G171))) / COUNTA(_xlfn.TEXTSPLIT(D171," ")) &gt; 0.5,
      "Partial Match",
      "No Match"
   )
)</f>
        <v>No Match</v>
      </c>
      <c r="AG171" s="96"/>
      <c r="AH171" s="96"/>
      <c r="AI171" s="96"/>
      <c r="AJ171" s="96"/>
      <c r="AK171" s="96"/>
    </row>
    <row r="172" spans="4:37" ht="12.9" hidden="1">
      <c r="D172" s="118"/>
      <c r="K172" s="120" t="str" cm="1">
        <f t="array" aca="1" ref="K172" ca="1">IF(
   SUMPRODUCT(--ISNUMBER(SEARCH(_xlfn.TEXTSPLIT(D172," "), G172))) / COUNTA(_xlfn.TEXTSPLIT(D172," ")) = 1,
   "Full Match",
   IF(
      SUMPRODUCT(--ISNUMBER(SEARCH(_xlfn.TEXTSPLIT(D172," "), G172))) / COUNTA(_xlfn.TEXTSPLIT(D172," ")) &gt; 0.5,
      "Partial Match",
      "No Match"
   )
)</f>
        <v>No Match</v>
      </c>
      <c r="AG172" s="96"/>
      <c r="AH172" s="96"/>
      <c r="AI172" s="96"/>
      <c r="AJ172" s="96"/>
      <c r="AK172" s="96"/>
    </row>
    <row r="173" spans="4:37" ht="12.9" hidden="1">
      <c r="D173" s="118"/>
      <c r="K173" s="120" t="str" cm="1">
        <f t="array" aca="1" ref="K173" ca="1">IF(
   SUMPRODUCT(--ISNUMBER(SEARCH(_xlfn.TEXTSPLIT(D173," "), G173))) / COUNTA(_xlfn.TEXTSPLIT(D173," ")) = 1,
   "Full Match",
   IF(
      SUMPRODUCT(--ISNUMBER(SEARCH(_xlfn.TEXTSPLIT(D173," "), G173))) / COUNTA(_xlfn.TEXTSPLIT(D173," ")) &gt; 0.5,
      "Partial Match",
      "No Match"
   )
)</f>
        <v>No Match</v>
      </c>
      <c r="AG173" s="96"/>
      <c r="AH173" s="96"/>
      <c r="AI173" s="96"/>
      <c r="AJ173" s="96"/>
      <c r="AK173" s="96"/>
    </row>
    <row r="174" spans="4:37" ht="12.9" hidden="1">
      <c r="D174" s="118"/>
      <c r="K174" s="120" t="str" cm="1">
        <f t="array" aca="1" ref="K174" ca="1">IF(
   SUMPRODUCT(--ISNUMBER(SEARCH(_xlfn.TEXTSPLIT(D174," "), G174))) / COUNTA(_xlfn.TEXTSPLIT(D174," ")) = 1,
   "Full Match",
   IF(
      SUMPRODUCT(--ISNUMBER(SEARCH(_xlfn.TEXTSPLIT(D174," "), G174))) / COUNTA(_xlfn.TEXTSPLIT(D174," ")) &gt; 0.5,
      "Partial Match",
      "No Match"
   )
)</f>
        <v>No Match</v>
      </c>
      <c r="AG174" s="96"/>
      <c r="AH174" s="96"/>
      <c r="AI174" s="96"/>
      <c r="AJ174" s="96"/>
      <c r="AK174" s="96"/>
    </row>
    <row r="175" spans="4:37" ht="12.9" hidden="1">
      <c r="D175" s="118"/>
      <c r="K175" s="120" t="str" cm="1">
        <f t="array" aca="1" ref="K175" ca="1">IF(
   SUMPRODUCT(--ISNUMBER(SEARCH(_xlfn.TEXTSPLIT(D175," "), G175))) / COUNTA(_xlfn.TEXTSPLIT(D175," ")) = 1,
   "Full Match",
   IF(
      SUMPRODUCT(--ISNUMBER(SEARCH(_xlfn.TEXTSPLIT(D175," "), G175))) / COUNTA(_xlfn.TEXTSPLIT(D175," ")) &gt; 0.5,
      "Partial Match",
      "No Match"
   )
)</f>
        <v>No Match</v>
      </c>
      <c r="AG175" s="96"/>
      <c r="AH175" s="96"/>
      <c r="AI175" s="96"/>
      <c r="AJ175" s="96"/>
      <c r="AK175" s="96"/>
    </row>
    <row r="176" spans="4:37" ht="12.9" hidden="1">
      <c r="D176" s="118"/>
      <c r="K176" s="120" t="str" cm="1">
        <f t="array" aca="1" ref="K176" ca="1">IF(
   SUMPRODUCT(--ISNUMBER(SEARCH(_xlfn.TEXTSPLIT(D176," "), G176))) / COUNTA(_xlfn.TEXTSPLIT(D176," ")) = 1,
   "Full Match",
   IF(
      SUMPRODUCT(--ISNUMBER(SEARCH(_xlfn.TEXTSPLIT(D176," "), G176))) / COUNTA(_xlfn.TEXTSPLIT(D176," ")) &gt; 0.5,
      "Partial Match",
      "No Match"
   )
)</f>
        <v>No Match</v>
      </c>
      <c r="AG176" s="96"/>
      <c r="AH176" s="96"/>
      <c r="AI176" s="96"/>
      <c r="AJ176" s="96"/>
      <c r="AK176" s="96"/>
    </row>
    <row r="177" spans="4:37" ht="12.9" hidden="1">
      <c r="D177" s="118"/>
      <c r="K177" s="120" t="str" cm="1">
        <f t="array" aca="1" ref="K177" ca="1">IF(
   SUMPRODUCT(--ISNUMBER(SEARCH(_xlfn.TEXTSPLIT(D177," "), G177))) / COUNTA(_xlfn.TEXTSPLIT(D177," ")) = 1,
   "Full Match",
   IF(
      SUMPRODUCT(--ISNUMBER(SEARCH(_xlfn.TEXTSPLIT(D177," "), G177))) / COUNTA(_xlfn.TEXTSPLIT(D177," ")) &gt; 0.5,
      "Partial Match",
      "No Match"
   )
)</f>
        <v>No Match</v>
      </c>
      <c r="AG177" s="96"/>
      <c r="AH177" s="96"/>
      <c r="AI177" s="96"/>
      <c r="AJ177" s="96"/>
      <c r="AK177" s="96"/>
    </row>
    <row r="178" spans="4:37" ht="12.9" hidden="1">
      <c r="D178" s="118"/>
      <c r="K178" s="120" t="str" cm="1">
        <f t="array" aca="1" ref="K178" ca="1">IF(
   SUMPRODUCT(--ISNUMBER(SEARCH(_xlfn.TEXTSPLIT(D178," "), G178))) / COUNTA(_xlfn.TEXTSPLIT(D178," ")) = 1,
   "Full Match",
   IF(
      SUMPRODUCT(--ISNUMBER(SEARCH(_xlfn.TEXTSPLIT(D178," "), G178))) / COUNTA(_xlfn.TEXTSPLIT(D178," ")) &gt; 0.5,
      "Partial Match",
      "No Match"
   )
)</f>
        <v>No Match</v>
      </c>
      <c r="AG178" s="96"/>
      <c r="AH178" s="96"/>
      <c r="AI178" s="96"/>
      <c r="AJ178" s="96"/>
      <c r="AK178" s="96"/>
    </row>
    <row r="179" spans="4:37" ht="12.9" hidden="1">
      <c r="D179" s="118"/>
      <c r="K179" s="120" t="str" cm="1">
        <f t="array" aca="1" ref="K179" ca="1">IF(
   SUMPRODUCT(--ISNUMBER(SEARCH(_xlfn.TEXTSPLIT(D179," "), G179))) / COUNTA(_xlfn.TEXTSPLIT(D179," ")) = 1,
   "Full Match",
   IF(
      SUMPRODUCT(--ISNUMBER(SEARCH(_xlfn.TEXTSPLIT(D179," "), G179))) / COUNTA(_xlfn.TEXTSPLIT(D179," ")) &gt; 0.5,
      "Partial Match",
      "No Match"
   )
)</f>
        <v>No Match</v>
      </c>
      <c r="AG179" s="96"/>
      <c r="AH179" s="96"/>
      <c r="AI179" s="96"/>
      <c r="AJ179" s="96"/>
      <c r="AK179" s="96"/>
    </row>
    <row r="180" spans="4:37" ht="12.9" hidden="1">
      <c r="D180" s="118"/>
      <c r="K180" s="120" t="str" cm="1">
        <f t="array" aca="1" ref="K180" ca="1">IF(
   SUMPRODUCT(--ISNUMBER(SEARCH(_xlfn.TEXTSPLIT(D180," "), G180))) / COUNTA(_xlfn.TEXTSPLIT(D180," ")) = 1,
   "Full Match",
   IF(
      SUMPRODUCT(--ISNUMBER(SEARCH(_xlfn.TEXTSPLIT(D180," "), G180))) / COUNTA(_xlfn.TEXTSPLIT(D180," ")) &gt; 0.5,
      "Partial Match",
      "No Match"
   )
)</f>
        <v>No Match</v>
      </c>
      <c r="AG180" s="96"/>
      <c r="AH180" s="96"/>
      <c r="AI180" s="96"/>
      <c r="AJ180" s="96"/>
      <c r="AK180" s="96"/>
    </row>
    <row r="181" spans="4:37" ht="12.9" hidden="1">
      <c r="D181" s="118"/>
      <c r="K181" s="120" t="str" cm="1">
        <f t="array" aca="1" ref="K181" ca="1">IF(
   SUMPRODUCT(--ISNUMBER(SEARCH(_xlfn.TEXTSPLIT(D181," "), G181))) / COUNTA(_xlfn.TEXTSPLIT(D181," ")) = 1,
   "Full Match",
   IF(
      SUMPRODUCT(--ISNUMBER(SEARCH(_xlfn.TEXTSPLIT(D181," "), G181))) / COUNTA(_xlfn.TEXTSPLIT(D181," ")) &gt; 0.5,
      "Partial Match",
      "No Match"
   )
)</f>
        <v>No Match</v>
      </c>
      <c r="AG181" s="96"/>
      <c r="AH181" s="96"/>
      <c r="AI181" s="96"/>
      <c r="AJ181" s="96"/>
      <c r="AK181" s="96"/>
    </row>
    <row r="182" spans="4:37" ht="12.9" hidden="1">
      <c r="D182" s="118"/>
      <c r="K182" s="120" t="str" cm="1">
        <f t="array" aca="1" ref="K182" ca="1">IF(
   SUMPRODUCT(--ISNUMBER(SEARCH(_xlfn.TEXTSPLIT(D182," "), G182))) / COUNTA(_xlfn.TEXTSPLIT(D182," ")) = 1,
   "Full Match",
   IF(
      SUMPRODUCT(--ISNUMBER(SEARCH(_xlfn.TEXTSPLIT(D182," "), G182))) / COUNTA(_xlfn.TEXTSPLIT(D182," ")) &gt; 0.5,
      "Partial Match",
      "No Match"
   )
)</f>
        <v>No Match</v>
      </c>
      <c r="AG182" s="96"/>
      <c r="AH182" s="96"/>
      <c r="AI182" s="96"/>
      <c r="AJ182" s="96"/>
      <c r="AK182" s="96"/>
    </row>
    <row r="183" spans="4:37" ht="12.9" hidden="1">
      <c r="D183" s="118"/>
      <c r="K183" s="120" t="str" cm="1">
        <f t="array" aca="1" ref="K183" ca="1">IF(
   SUMPRODUCT(--ISNUMBER(SEARCH(_xlfn.TEXTSPLIT(D183," "), G183))) / COUNTA(_xlfn.TEXTSPLIT(D183," ")) = 1,
   "Full Match",
   IF(
      SUMPRODUCT(--ISNUMBER(SEARCH(_xlfn.TEXTSPLIT(D183," "), G183))) / COUNTA(_xlfn.TEXTSPLIT(D183," ")) &gt; 0.5,
      "Partial Match",
      "No Match"
   )
)</f>
        <v>No Match</v>
      </c>
      <c r="AG183" s="96"/>
      <c r="AH183" s="96"/>
      <c r="AI183" s="96"/>
      <c r="AJ183" s="96"/>
      <c r="AK183" s="96"/>
    </row>
    <row r="184" spans="4:37" ht="12.9" hidden="1">
      <c r="D184" s="118"/>
      <c r="K184" s="120" t="str" cm="1">
        <f t="array" aca="1" ref="K184" ca="1">IF(
   SUMPRODUCT(--ISNUMBER(SEARCH(_xlfn.TEXTSPLIT(D184," "), G184))) / COUNTA(_xlfn.TEXTSPLIT(D184," ")) = 1,
   "Full Match",
   IF(
      SUMPRODUCT(--ISNUMBER(SEARCH(_xlfn.TEXTSPLIT(D184," "), G184))) / COUNTA(_xlfn.TEXTSPLIT(D184," ")) &gt; 0.5,
      "Partial Match",
      "No Match"
   )
)</f>
        <v>No Match</v>
      </c>
      <c r="AG184" s="96"/>
      <c r="AH184" s="96"/>
      <c r="AI184" s="96"/>
      <c r="AJ184" s="96"/>
      <c r="AK184" s="96"/>
    </row>
    <row r="185" spans="4:37" ht="12.9" hidden="1">
      <c r="D185" s="118"/>
      <c r="K185" s="120" t="str" cm="1">
        <f t="array" aca="1" ref="K185" ca="1">IF(
   SUMPRODUCT(--ISNUMBER(SEARCH(_xlfn.TEXTSPLIT(D185," "), G185))) / COUNTA(_xlfn.TEXTSPLIT(D185," ")) = 1,
   "Full Match",
   IF(
      SUMPRODUCT(--ISNUMBER(SEARCH(_xlfn.TEXTSPLIT(D185," "), G185))) / COUNTA(_xlfn.TEXTSPLIT(D185," ")) &gt; 0.5,
      "Partial Match",
      "No Match"
   )
)</f>
        <v>No Match</v>
      </c>
      <c r="AG185" s="96"/>
      <c r="AH185" s="96"/>
      <c r="AI185" s="96"/>
      <c r="AJ185" s="96"/>
      <c r="AK185" s="96"/>
    </row>
    <row r="186" spans="4:37" ht="12.9" hidden="1">
      <c r="D186" s="118"/>
      <c r="K186" s="120" t="str" cm="1">
        <f t="array" aca="1" ref="K186" ca="1">IF(
   SUMPRODUCT(--ISNUMBER(SEARCH(_xlfn.TEXTSPLIT(D186," "), G186))) / COUNTA(_xlfn.TEXTSPLIT(D186," ")) = 1,
   "Full Match",
   IF(
      SUMPRODUCT(--ISNUMBER(SEARCH(_xlfn.TEXTSPLIT(D186," "), G186))) / COUNTA(_xlfn.TEXTSPLIT(D186," ")) &gt; 0.5,
      "Partial Match",
      "No Match"
   )
)</f>
        <v>No Match</v>
      </c>
      <c r="AG186" s="96"/>
      <c r="AH186" s="96"/>
      <c r="AI186" s="96"/>
      <c r="AJ186" s="96"/>
      <c r="AK186" s="96"/>
    </row>
    <row r="187" spans="4:37" ht="12.9" hidden="1">
      <c r="D187" s="118"/>
      <c r="K187" s="120" t="str" cm="1">
        <f t="array" aca="1" ref="K187" ca="1">IF(
   SUMPRODUCT(--ISNUMBER(SEARCH(_xlfn.TEXTSPLIT(D187," "), G187))) / COUNTA(_xlfn.TEXTSPLIT(D187," ")) = 1,
   "Full Match",
   IF(
      SUMPRODUCT(--ISNUMBER(SEARCH(_xlfn.TEXTSPLIT(D187," "), G187))) / COUNTA(_xlfn.TEXTSPLIT(D187," ")) &gt; 0.5,
      "Partial Match",
      "No Match"
   )
)</f>
        <v>No Match</v>
      </c>
      <c r="AG187" s="96"/>
      <c r="AH187" s="96"/>
      <c r="AI187" s="96"/>
      <c r="AJ187" s="96"/>
      <c r="AK187" s="96"/>
    </row>
    <row r="188" spans="4:37" ht="12.9" hidden="1">
      <c r="D188" s="118"/>
      <c r="K188" s="120" t="str" cm="1">
        <f t="array" aca="1" ref="K188" ca="1">IF(
   SUMPRODUCT(--ISNUMBER(SEARCH(_xlfn.TEXTSPLIT(D188," "), G188))) / COUNTA(_xlfn.TEXTSPLIT(D188," ")) = 1,
   "Full Match",
   IF(
      SUMPRODUCT(--ISNUMBER(SEARCH(_xlfn.TEXTSPLIT(D188," "), G188))) / COUNTA(_xlfn.TEXTSPLIT(D188," ")) &gt; 0.5,
      "Partial Match",
      "No Match"
   )
)</f>
        <v>No Match</v>
      </c>
      <c r="AG188" s="96"/>
      <c r="AH188" s="96"/>
      <c r="AI188" s="96"/>
      <c r="AJ188" s="96"/>
      <c r="AK188" s="96"/>
    </row>
    <row r="189" spans="4:37" ht="12.9" hidden="1">
      <c r="D189" s="118"/>
      <c r="K189" s="120" t="str" cm="1">
        <f t="array" aca="1" ref="K189" ca="1">IF(
   SUMPRODUCT(--ISNUMBER(SEARCH(_xlfn.TEXTSPLIT(D189," "), G189))) / COUNTA(_xlfn.TEXTSPLIT(D189," ")) = 1,
   "Full Match",
   IF(
      SUMPRODUCT(--ISNUMBER(SEARCH(_xlfn.TEXTSPLIT(D189," "), G189))) / COUNTA(_xlfn.TEXTSPLIT(D189," ")) &gt; 0.5,
      "Partial Match",
      "No Match"
   )
)</f>
        <v>No Match</v>
      </c>
      <c r="AG189" s="96"/>
      <c r="AH189" s="96"/>
      <c r="AI189" s="96"/>
      <c r="AJ189" s="96"/>
      <c r="AK189" s="96"/>
    </row>
    <row r="190" spans="4:37" ht="12.9" hidden="1">
      <c r="D190" s="118"/>
      <c r="K190" s="120" t="str" cm="1">
        <f t="array" aca="1" ref="K190" ca="1">IF(
   SUMPRODUCT(--ISNUMBER(SEARCH(_xlfn.TEXTSPLIT(D190," "), G190))) / COUNTA(_xlfn.TEXTSPLIT(D190," ")) = 1,
   "Full Match",
   IF(
      SUMPRODUCT(--ISNUMBER(SEARCH(_xlfn.TEXTSPLIT(D190," "), G190))) / COUNTA(_xlfn.TEXTSPLIT(D190," ")) &gt; 0.5,
      "Partial Match",
      "No Match"
   )
)</f>
        <v>No Match</v>
      </c>
      <c r="AG190" s="96"/>
      <c r="AH190" s="96"/>
      <c r="AI190" s="96"/>
      <c r="AJ190" s="96"/>
      <c r="AK190" s="96"/>
    </row>
    <row r="191" spans="4:37" ht="12.9" hidden="1">
      <c r="D191" s="118"/>
      <c r="K191" s="120" t="str" cm="1">
        <f t="array" aca="1" ref="K191" ca="1">IF(
   SUMPRODUCT(--ISNUMBER(SEARCH(_xlfn.TEXTSPLIT(D191," "), G191))) / COUNTA(_xlfn.TEXTSPLIT(D191," ")) = 1,
   "Full Match",
   IF(
      SUMPRODUCT(--ISNUMBER(SEARCH(_xlfn.TEXTSPLIT(D191," "), G191))) / COUNTA(_xlfn.TEXTSPLIT(D191," ")) &gt; 0.5,
      "Partial Match",
      "No Match"
   )
)</f>
        <v>No Match</v>
      </c>
      <c r="AG191" s="96"/>
      <c r="AH191" s="96"/>
      <c r="AI191" s="96"/>
      <c r="AJ191" s="96"/>
      <c r="AK191" s="96"/>
    </row>
    <row r="192" spans="4:37" ht="12.9" hidden="1">
      <c r="D192" s="118"/>
      <c r="K192" s="120" t="str" cm="1">
        <f t="array" aca="1" ref="K192" ca="1">IF(
   SUMPRODUCT(--ISNUMBER(SEARCH(_xlfn.TEXTSPLIT(D192," "), G192))) / COUNTA(_xlfn.TEXTSPLIT(D192," ")) = 1,
   "Full Match",
   IF(
      SUMPRODUCT(--ISNUMBER(SEARCH(_xlfn.TEXTSPLIT(D192," "), G192))) / COUNTA(_xlfn.TEXTSPLIT(D192," ")) &gt; 0.5,
      "Partial Match",
      "No Match"
   )
)</f>
        <v>No Match</v>
      </c>
      <c r="AG192" s="96"/>
      <c r="AH192" s="96"/>
      <c r="AI192" s="96"/>
      <c r="AJ192" s="96"/>
      <c r="AK192" s="96"/>
    </row>
    <row r="193" spans="4:37" ht="12.9" hidden="1">
      <c r="D193" s="118"/>
      <c r="K193" s="120" t="str" cm="1">
        <f t="array" aca="1" ref="K193" ca="1">IF(
   SUMPRODUCT(--ISNUMBER(SEARCH(_xlfn.TEXTSPLIT(D193," "), G193))) / COUNTA(_xlfn.TEXTSPLIT(D193," ")) = 1,
   "Full Match",
   IF(
      SUMPRODUCT(--ISNUMBER(SEARCH(_xlfn.TEXTSPLIT(D193," "), G193))) / COUNTA(_xlfn.TEXTSPLIT(D193," ")) &gt; 0.5,
      "Partial Match",
      "No Match"
   )
)</f>
        <v>No Match</v>
      </c>
      <c r="AG193" s="96"/>
      <c r="AH193" s="96"/>
      <c r="AI193" s="96"/>
      <c r="AJ193" s="96"/>
      <c r="AK193" s="96"/>
    </row>
    <row r="194" spans="4:37" ht="12.9" hidden="1">
      <c r="D194" s="118"/>
      <c r="K194" s="120" t="str" cm="1">
        <f t="array" aca="1" ref="K194" ca="1">IF(
   SUMPRODUCT(--ISNUMBER(SEARCH(_xlfn.TEXTSPLIT(D194," "), G194))) / COUNTA(_xlfn.TEXTSPLIT(D194," ")) = 1,
   "Full Match",
   IF(
      SUMPRODUCT(--ISNUMBER(SEARCH(_xlfn.TEXTSPLIT(D194," "), G194))) / COUNTA(_xlfn.TEXTSPLIT(D194," ")) &gt; 0.5,
      "Partial Match",
      "No Match"
   )
)</f>
        <v>No Match</v>
      </c>
      <c r="AG194" s="96"/>
      <c r="AH194" s="96"/>
      <c r="AI194" s="96"/>
      <c r="AJ194" s="96"/>
      <c r="AK194" s="96"/>
    </row>
    <row r="195" spans="4:37" ht="12.9" hidden="1">
      <c r="D195" s="118"/>
      <c r="K195" s="120" t="str" cm="1">
        <f t="array" aca="1" ref="K195" ca="1">IF(
   SUMPRODUCT(--ISNUMBER(SEARCH(_xlfn.TEXTSPLIT(D195," "), G195))) / COUNTA(_xlfn.TEXTSPLIT(D195," ")) = 1,
   "Full Match",
   IF(
      SUMPRODUCT(--ISNUMBER(SEARCH(_xlfn.TEXTSPLIT(D195," "), G195))) / COUNTA(_xlfn.TEXTSPLIT(D195," ")) &gt; 0.5,
      "Partial Match",
      "No Match"
   )
)</f>
        <v>No Match</v>
      </c>
      <c r="AG195" s="96"/>
      <c r="AH195" s="96"/>
      <c r="AI195" s="96"/>
      <c r="AJ195" s="96"/>
      <c r="AK195" s="96"/>
    </row>
    <row r="196" spans="4:37" ht="12.9" hidden="1">
      <c r="D196" s="118"/>
      <c r="K196" s="120" t="str" cm="1">
        <f t="array" aca="1" ref="K196" ca="1">IF(
   SUMPRODUCT(--ISNUMBER(SEARCH(_xlfn.TEXTSPLIT(D196," "), G196))) / COUNTA(_xlfn.TEXTSPLIT(D196," ")) = 1,
   "Full Match",
   IF(
      SUMPRODUCT(--ISNUMBER(SEARCH(_xlfn.TEXTSPLIT(D196," "), G196))) / COUNTA(_xlfn.TEXTSPLIT(D196," ")) &gt; 0.5,
      "Partial Match",
      "No Match"
   )
)</f>
        <v>No Match</v>
      </c>
      <c r="AG196" s="96"/>
      <c r="AH196" s="96"/>
      <c r="AI196" s="96"/>
      <c r="AJ196" s="96"/>
      <c r="AK196" s="96"/>
    </row>
    <row r="197" spans="4:37" ht="12.9" hidden="1">
      <c r="D197" s="118"/>
      <c r="K197" s="120" t="str" cm="1">
        <f t="array" aca="1" ref="K197" ca="1">IF(
   SUMPRODUCT(--ISNUMBER(SEARCH(_xlfn.TEXTSPLIT(D197," "), G197))) / COUNTA(_xlfn.TEXTSPLIT(D197," ")) = 1,
   "Full Match",
   IF(
      SUMPRODUCT(--ISNUMBER(SEARCH(_xlfn.TEXTSPLIT(D197," "), G197))) / COUNTA(_xlfn.TEXTSPLIT(D197," ")) &gt; 0.5,
      "Partial Match",
      "No Match"
   )
)</f>
        <v>No Match</v>
      </c>
      <c r="AG197" s="96"/>
      <c r="AH197" s="96"/>
      <c r="AI197" s="96"/>
      <c r="AJ197" s="96"/>
      <c r="AK197" s="96"/>
    </row>
    <row r="198" spans="4:37" ht="12.9" hidden="1">
      <c r="D198" s="118"/>
      <c r="K198" s="120" t="str" cm="1">
        <f t="array" aca="1" ref="K198" ca="1">IF(
   SUMPRODUCT(--ISNUMBER(SEARCH(_xlfn.TEXTSPLIT(D198," "), G198))) / COUNTA(_xlfn.TEXTSPLIT(D198," ")) = 1,
   "Full Match",
   IF(
      SUMPRODUCT(--ISNUMBER(SEARCH(_xlfn.TEXTSPLIT(D198," "), G198))) / COUNTA(_xlfn.TEXTSPLIT(D198," ")) &gt; 0.5,
      "Partial Match",
      "No Match"
   )
)</f>
        <v>No Match</v>
      </c>
      <c r="AG198" s="96"/>
      <c r="AH198" s="96"/>
      <c r="AI198" s="96"/>
      <c r="AJ198" s="96"/>
      <c r="AK198" s="96"/>
    </row>
    <row r="199" spans="4:37" ht="12.9" hidden="1">
      <c r="D199" s="118"/>
      <c r="K199" s="120" t="str" cm="1">
        <f t="array" aca="1" ref="K199" ca="1">IF(
   SUMPRODUCT(--ISNUMBER(SEARCH(_xlfn.TEXTSPLIT(D199," "), G199))) / COUNTA(_xlfn.TEXTSPLIT(D199," ")) = 1,
   "Full Match",
   IF(
      SUMPRODUCT(--ISNUMBER(SEARCH(_xlfn.TEXTSPLIT(D199," "), G199))) / COUNTA(_xlfn.TEXTSPLIT(D199," ")) &gt; 0.5,
      "Partial Match",
      "No Match"
   )
)</f>
        <v>No Match</v>
      </c>
      <c r="AG199" s="96"/>
      <c r="AH199" s="96"/>
      <c r="AI199" s="96"/>
      <c r="AJ199" s="96"/>
      <c r="AK199" s="96"/>
    </row>
    <row r="200" spans="4:37" ht="12.9" hidden="1">
      <c r="D200" s="118"/>
      <c r="K200" s="120" t="str" cm="1">
        <f t="array" aca="1" ref="K200" ca="1">IF(
   SUMPRODUCT(--ISNUMBER(SEARCH(_xlfn.TEXTSPLIT(D200," "), G200))) / COUNTA(_xlfn.TEXTSPLIT(D200," ")) = 1,
   "Full Match",
   IF(
      SUMPRODUCT(--ISNUMBER(SEARCH(_xlfn.TEXTSPLIT(D200," "), G200))) / COUNTA(_xlfn.TEXTSPLIT(D200," ")) &gt; 0.5,
      "Partial Match",
      "No Match"
   )
)</f>
        <v>No Match</v>
      </c>
      <c r="AG200" s="96"/>
      <c r="AH200" s="96"/>
      <c r="AI200" s="96"/>
      <c r="AJ200" s="96"/>
      <c r="AK200" s="96"/>
    </row>
    <row r="201" spans="4:37" ht="12.9" hidden="1">
      <c r="D201" s="118"/>
      <c r="K201" s="120" t="str" cm="1">
        <f t="array" aca="1" ref="K201" ca="1">IF(
   SUMPRODUCT(--ISNUMBER(SEARCH(_xlfn.TEXTSPLIT(D201," "), G201))) / COUNTA(_xlfn.TEXTSPLIT(D201," ")) = 1,
   "Full Match",
   IF(
      SUMPRODUCT(--ISNUMBER(SEARCH(_xlfn.TEXTSPLIT(D201," "), G201))) / COUNTA(_xlfn.TEXTSPLIT(D201," ")) &gt; 0.5,
      "Partial Match",
      "No Match"
   )
)</f>
        <v>No Match</v>
      </c>
      <c r="AG201" s="96"/>
      <c r="AH201" s="96"/>
      <c r="AI201" s="96"/>
      <c r="AJ201" s="96"/>
      <c r="AK201" s="96"/>
    </row>
    <row r="202" spans="4:37" ht="12.9" hidden="1">
      <c r="D202" s="118"/>
      <c r="K202" s="120" t="str" cm="1">
        <f t="array" aca="1" ref="K202" ca="1">IF(
   SUMPRODUCT(--ISNUMBER(SEARCH(_xlfn.TEXTSPLIT(D202," "), G202))) / COUNTA(_xlfn.TEXTSPLIT(D202," ")) = 1,
   "Full Match",
   IF(
      SUMPRODUCT(--ISNUMBER(SEARCH(_xlfn.TEXTSPLIT(D202," "), G202))) / COUNTA(_xlfn.TEXTSPLIT(D202," ")) &gt; 0.5,
      "Partial Match",
      "No Match"
   )
)</f>
        <v>No Match</v>
      </c>
      <c r="AG202" s="96"/>
      <c r="AH202" s="96"/>
      <c r="AI202" s="96"/>
      <c r="AJ202" s="96"/>
      <c r="AK202" s="96"/>
    </row>
    <row r="203" spans="4:37" ht="12.9" hidden="1">
      <c r="D203" s="118"/>
      <c r="K203" s="120" t="str" cm="1">
        <f t="array" aca="1" ref="K203" ca="1">IF(
   SUMPRODUCT(--ISNUMBER(SEARCH(_xlfn.TEXTSPLIT(D203," "), G203))) / COUNTA(_xlfn.TEXTSPLIT(D203," ")) = 1,
   "Full Match",
   IF(
      SUMPRODUCT(--ISNUMBER(SEARCH(_xlfn.TEXTSPLIT(D203," "), G203))) / COUNTA(_xlfn.TEXTSPLIT(D203," ")) &gt; 0.5,
      "Partial Match",
      "No Match"
   )
)</f>
        <v>No Match</v>
      </c>
      <c r="AG203" s="96"/>
      <c r="AH203" s="96"/>
      <c r="AI203" s="96"/>
      <c r="AJ203" s="96"/>
      <c r="AK203" s="96"/>
    </row>
    <row r="204" spans="4:37" ht="12.9" hidden="1">
      <c r="D204" s="118"/>
      <c r="K204" s="120" t="str" cm="1">
        <f t="array" aca="1" ref="K204" ca="1">IF(
   SUMPRODUCT(--ISNUMBER(SEARCH(_xlfn.TEXTSPLIT(D204," "), G204))) / COUNTA(_xlfn.TEXTSPLIT(D204," ")) = 1,
   "Full Match",
   IF(
      SUMPRODUCT(--ISNUMBER(SEARCH(_xlfn.TEXTSPLIT(D204," "), G204))) / COUNTA(_xlfn.TEXTSPLIT(D204," ")) &gt; 0.5,
      "Partial Match",
      "No Match"
   )
)</f>
        <v>No Match</v>
      </c>
      <c r="AG204" s="96"/>
      <c r="AH204" s="96"/>
      <c r="AI204" s="96"/>
      <c r="AJ204" s="96"/>
      <c r="AK204" s="96"/>
    </row>
    <row r="205" spans="4:37" ht="12.9" hidden="1">
      <c r="D205" s="118"/>
      <c r="K205" s="120" t="str" cm="1">
        <f t="array" aca="1" ref="K205" ca="1">IF(
   SUMPRODUCT(--ISNUMBER(SEARCH(_xlfn.TEXTSPLIT(D205," "), G205))) / COUNTA(_xlfn.TEXTSPLIT(D205," ")) = 1,
   "Full Match",
   IF(
      SUMPRODUCT(--ISNUMBER(SEARCH(_xlfn.TEXTSPLIT(D205," "), G205))) / COUNTA(_xlfn.TEXTSPLIT(D205," ")) &gt; 0.5,
      "Partial Match",
      "No Match"
   )
)</f>
        <v>No Match</v>
      </c>
      <c r="AG205" s="96"/>
      <c r="AH205" s="96"/>
      <c r="AI205" s="96"/>
      <c r="AJ205" s="96"/>
      <c r="AK205" s="96"/>
    </row>
    <row r="206" spans="4:37" ht="12.9" hidden="1">
      <c r="D206" s="118"/>
      <c r="K206" s="120" t="str" cm="1">
        <f t="array" aca="1" ref="K206" ca="1">IF(
   SUMPRODUCT(--ISNUMBER(SEARCH(_xlfn.TEXTSPLIT(D206," "), G206))) / COUNTA(_xlfn.TEXTSPLIT(D206," ")) = 1,
   "Full Match",
   IF(
      SUMPRODUCT(--ISNUMBER(SEARCH(_xlfn.TEXTSPLIT(D206," "), G206))) / COUNTA(_xlfn.TEXTSPLIT(D206," ")) &gt; 0.5,
      "Partial Match",
      "No Match"
   )
)</f>
        <v>No Match</v>
      </c>
      <c r="AG206" s="96"/>
      <c r="AH206" s="96"/>
      <c r="AI206" s="96"/>
      <c r="AJ206" s="96"/>
      <c r="AK206" s="96"/>
    </row>
    <row r="207" spans="4:37" ht="12.9" hidden="1">
      <c r="D207" s="118"/>
      <c r="K207" s="120" t="str" cm="1">
        <f t="array" aca="1" ref="K207" ca="1">IF(
   SUMPRODUCT(--ISNUMBER(SEARCH(_xlfn.TEXTSPLIT(D207," "), G207))) / COUNTA(_xlfn.TEXTSPLIT(D207," ")) = 1,
   "Full Match",
   IF(
      SUMPRODUCT(--ISNUMBER(SEARCH(_xlfn.TEXTSPLIT(D207," "), G207))) / COUNTA(_xlfn.TEXTSPLIT(D207," ")) &gt; 0.5,
      "Partial Match",
      "No Match"
   )
)</f>
        <v>No Match</v>
      </c>
      <c r="AG207" s="96"/>
      <c r="AH207" s="96"/>
      <c r="AI207" s="96"/>
      <c r="AJ207" s="96"/>
      <c r="AK207" s="96"/>
    </row>
    <row r="208" spans="4:37" ht="12.9" hidden="1">
      <c r="D208" s="118"/>
      <c r="K208" s="120" t="str" cm="1">
        <f t="array" aca="1" ref="K208" ca="1">IF(
   SUMPRODUCT(--ISNUMBER(SEARCH(_xlfn.TEXTSPLIT(D208," "), G208))) / COUNTA(_xlfn.TEXTSPLIT(D208," ")) = 1,
   "Full Match",
   IF(
      SUMPRODUCT(--ISNUMBER(SEARCH(_xlfn.TEXTSPLIT(D208," "), G208))) / COUNTA(_xlfn.TEXTSPLIT(D208," ")) &gt; 0.5,
      "Partial Match",
      "No Match"
   )
)</f>
        <v>No Match</v>
      </c>
      <c r="AG208" s="96"/>
      <c r="AH208" s="96"/>
      <c r="AI208" s="96"/>
      <c r="AJ208" s="96"/>
      <c r="AK208" s="96"/>
    </row>
    <row r="209" spans="4:37" ht="12.9" hidden="1">
      <c r="D209" s="118"/>
      <c r="K209" s="120" t="str" cm="1">
        <f t="array" aca="1" ref="K209" ca="1">IF(
   SUMPRODUCT(--ISNUMBER(SEARCH(_xlfn.TEXTSPLIT(D209," "), G209))) / COUNTA(_xlfn.TEXTSPLIT(D209," ")) = 1,
   "Full Match",
   IF(
      SUMPRODUCT(--ISNUMBER(SEARCH(_xlfn.TEXTSPLIT(D209," "), G209))) / COUNTA(_xlfn.TEXTSPLIT(D209," ")) &gt; 0.5,
      "Partial Match",
      "No Match"
   )
)</f>
        <v>No Match</v>
      </c>
      <c r="AG209" s="96"/>
      <c r="AH209" s="96"/>
      <c r="AI209" s="96"/>
      <c r="AJ209" s="96"/>
      <c r="AK209" s="96"/>
    </row>
    <row r="210" spans="4:37" ht="12.9" hidden="1">
      <c r="D210" s="118"/>
      <c r="K210" s="120" t="str" cm="1">
        <f t="array" aca="1" ref="K210" ca="1">IF(
   SUMPRODUCT(--ISNUMBER(SEARCH(_xlfn.TEXTSPLIT(D210," "), G210))) / COUNTA(_xlfn.TEXTSPLIT(D210," ")) = 1,
   "Full Match",
   IF(
      SUMPRODUCT(--ISNUMBER(SEARCH(_xlfn.TEXTSPLIT(D210," "), G210))) / COUNTA(_xlfn.TEXTSPLIT(D210," ")) &gt; 0.5,
      "Partial Match",
      "No Match"
   )
)</f>
        <v>No Match</v>
      </c>
      <c r="AG210" s="96"/>
      <c r="AH210" s="96"/>
      <c r="AI210" s="96"/>
      <c r="AJ210" s="96"/>
      <c r="AK210" s="96"/>
    </row>
    <row r="211" spans="4:37" ht="12.9" hidden="1">
      <c r="D211" s="118"/>
      <c r="K211" s="120" t="str" cm="1">
        <f t="array" aca="1" ref="K211" ca="1">IF(
   SUMPRODUCT(--ISNUMBER(SEARCH(_xlfn.TEXTSPLIT(D211," "), G211))) / COUNTA(_xlfn.TEXTSPLIT(D211," ")) = 1,
   "Full Match",
   IF(
      SUMPRODUCT(--ISNUMBER(SEARCH(_xlfn.TEXTSPLIT(D211," "), G211))) / COUNTA(_xlfn.TEXTSPLIT(D211," ")) &gt; 0.5,
      "Partial Match",
      "No Match"
   )
)</f>
        <v>No Match</v>
      </c>
      <c r="AG211" s="96"/>
      <c r="AH211" s="96"/>
      <c r="AI211" s="96"/>
      <c r="AJ211" s="96"/>
      <c r="AK211" s="96"/>
    </row>
    <row r="212" spans="4:37" ht="12.9" hidden="1">
      <c r="D212" s="118"/>
      <c r="K212" s="120" t="str" cm="1">
        <f t="array" aca="1" ref="K212" ca="1">IF(
   SUMPRODUCT(--ISNUMBER(SEARCH(_xlfn.TEXTSPLIT(D212," "), G212))) / COUNTA(_xlfn.TEXTSPLIT(D212," ")) = 1,
   "Full Match",
   IF(
      SUMPRODUCT(--ISNUMBER(SEARCH(_xlfn.TEXTSPLIT(D212," "), G212))) / COUNTA(_xlfn.TEXTSPLIT(D212," ")) &gt; 0.5,
      "Partial Match",
      "No Match"
   )
)</f>
        <v>No Match</v>
      </c>
      <c r="AG212" s="96"/>
      <c r="AH212" s="96"/>
      <c r="AI212" s="96"/>
      <c r="AJ212" s="96"/>
      <c r="AK212" s="96"/>
    </row>
    <row r="213" spans="4:37" ht="12.9" hidden="1">
      <c r="D213" s="118"/>
      <c r="K213" s="120" t="str" cm="1">
        <f t="array" aca="1" ref="K213" ca="1">IF(
   SUMPRODUCT(--ISNUMBER(SEARCH(_xlfn.TEXTSPLIT(D213," "), G213))) / COUNTA(_xlfn.TEXTSPLIT(D213," ")) = 1,
   "Full Match",
   IF(
      SUMPRODUCT(--ISNUMBER(SEARCH(_xlfn.TEXTSPLIT(D213," "), G213))) / COUNTA(_xlfn.TEXTSPLIT(D213," ")) &gt; 0.5,
      "Partial Match",
      "No Match"
   )
)</f>
        <v>No Match</v>
      </c>
      <c r="AG213" s="96"/>
      <c r="AH213" s="96"/>
      <c r="AI213" s="96"/>
      <c r="AJ213" s="96"/>
      <c r="AK213" s="96"/>
    </row>
    <row r="214" spans="4:37" ht="12.9" hidden="1">
      <c r="D214" s="118"/>
      <c r="K214" s="120" t="str" cm="1">
        <f t="array" aca="1" ref="K214" ca="1">IF(
   SUMPRODUCT(--ISNUMBER(SEARCH(_xlfn.TEXTSPLIT(D214," "), G214))) / COUNTA(_xlfn.TEXTSPLIT(D214," ")) = 1,
   "Full Match",
   IF(
      SUMPRODUCT(--ISNUMBER(SEARCH(_xlfn.TEXTSPLIT(D214," "), G214))) / COUNTA(_xlfn.TEXTSPLIT(D214," ")) &gt; 0.5,
      "Partial Match",
      "No Match"
   )
)</f>
        <v>No Match</v>
      </c>
      <c r="AG214" s="96"/>
      <c r="AH214" s="96"/>
      <c r="AI214" s="96"/>
      <c r="AJ214" s="96"/>
      <c r="AK214" s="96"/>
    </row>
    <row r="215" spans="4:37" ht="12.9" hidden="1">
      <c r="D215" s="118"/>
      <c r="K215" s="120" t="str" cm="1">
        <f t="array" aca="1" ref="K215" ca="1">IF(
   SUMPRODUCT(--ISNUMBER(SEARCH(_xlfn.TEXTSPLIT(D215," "), G215))) / COUNTA(_xlfn.TEXTSPLIT(D215," ")) = 1,
   "Full Match",
   IF(
      SUMPRODUCT(--ISNUMBER(SEARCH(_xlfn.TEXTSPLIT(D215," "), G215))) / COUNTA(_xlfn.TEXTSPLIT(D215," ")) &gt; 0.5,
      "Partial Match",
      "No Match"
   )
)</f>
        <v>No Match</v>
      </c>
      <c r="AG215" s="96"/>
      <c r="AH215" s="96"/>
      <c r="AI215" s="96"/>
      <c r="AJ215" s="96"/>
      <c r="AK215" s="96"/>
    </row>
    <row r="216" spans="4:37" ht="12.9" hidden="1">
      <c r="D216" s="118"/>
      <c r="K216" s="120" t="str" cm="1">
        <f t="array" aca="1" ref="K216" ca="1">IF(
   SUMPRODUCT(--ISNUMBER(SEARCH(_xlfn.TEXTSPLIT(D216," "), G216))) / COUNTA(_xlfn.TEXTSPLIT(D216," ")) = 1,
   "Full Match",
   IF(
      SUMPRODUCT(--ISNUMBER(SEARCH(_xlfn.TEXTSPLIT(D216," "), G216))) / COUNTA(_xlfn.TEXTSPLIT(D216," ")) &gt; 0.5,
      "Partial Match",
      "No Match"
   )
)</f>
        <v>No Match</v>
      </c>
      <c r="AG216" s="96"/>
      <c r="AH216" s="96"/>
      <c r="AI216" s="96"/>
      <c r="AJ216" s="96"/>
      <c r="AK216" s="96"/>
    </row>
    <row r="217" spans="4:37" ht="12.9" hidden="1">
      <c r="D217" s="118"/>
      <c r="K217" s="120" t="str" cm="1">
        <f t="array" aca="1" ref="K217" ca="1">IF(
   SUMPRODUCT(--ISNUMBER(SEARCH(_xlfn.TEXTSPLIT(D217," "), G217))) / COUNTA(_xlfn.TEXTSPLIT(D217," ")) = 1,
   "Full Match",
   IF(
      SUMPRODUCT(--ISNUMBER(SEARCH(_xlfn.TEXTSPLIT(D217," "), G217))) / COUNTA(_xlfn.TEXTSPLIT(D217," ")) &gt; 0.5,
      "Partial Match",
      "No Match"
   )
)</f>
        <v>No Match</v>
      </c>
      <c r="AG217" s="96"/>
      <c r="AH217" s="96"/>
      <c r="AI217" s="96"/>
      <c r="AJ217" s="96"/>
      <c r="AK217" s="96"/>
    </row>
    <row r="218" spans="4:37" ht="12.9" hidden="1">
      <c r="D218" s="118"/>
      <c r="K218" s="120" t="str" cm="1">
        <f t="array" aca="1" ref="K218" ca="1">IF(
   SUMPRODUCT(--ISNUMBER(SEARCH(_xlfn.TEXTSPLIT(D218," "), G218))) / COUNTA(_xlfn.TEXTSPLIT(D218," ")) = 1,
   "Full Match",
   IF(
      SUMPRODUCT(--ISNUMBER(SEARCH(_xlfn.TEXTSPLIT(D218," "), G218))) / COUNTA(_xlfn.TEXTSPLIT(D218," ")) &gt; 0.5,
      "Partial Match",
      "No Match"
   )
)</f>
        <v>No Match</v>
      </c>
      <c r="AG218" s="96"/>
      <c r="AH218" s="96"/>
      <c r="AI218" s="96"/>
      <c r="AJ218" s="96"/>
      <c r="AK218" s="96"/>
    </row>
    <row r="219" spans="4:37" ht="12.9" hidden="1">
      <c r="D219" s="118"/>
      <c r="K219" s="120" t="str" cm="1">
        <f t="array" aca="1" ref="K219" ca="1">IF(
   SUMPRODUCT(--ISNUMBER(SEARCH(_xlfn.TEXTSPLIT(D219," "), G219))) / COUNTA(_xlfn.TEXTSPLIT(D219," ")) = 1,
   "Full Match",
   IF(
      SUMPRODUCT(--ISNUMBER(SEARCH(_xlfn.TEXTSPLIT(D219," "), G219))) / COUNTA(_xlfn.TEXTSPLIT(D219," ")) &gt; 0.5,
      "Partial Match",
      "No Match"
   )
)</f>
        <v>No Match</v>
      </c>
      <c r="AG219" s="96"/>
      <c r="AH219" s="96"/>
      <c r="AI219" s="96"/>
      <c r="AJ219" s="96"/>
      <c r="AK219" s="96"/>
    </row>
    <row r="220" spans="4:37" ht="12.9" hidden="1">
      <c r="D220" s="118"/>
      <c r="K220" s="120" t="str" cm="1">
        <f t="array" aca="1" ref="K220" ca="1">IF(
   SUMPRODUCT(--ISNUMBER(SEARCH(_xlfn.TEXTSPLIT(D220," "), G220))) / COUNTA(_xlfn.TEXTSPLIT(D220," ")) = 1,
   "Full Match",
   IF(
      SUMPRODUCT(--ISNUMBER(SEARCH(_xlfn.TEXTSPLIT(D220," "), G220))) / COUNTA(_xlfn.TEXTSPLIT(D220," ")) &gt; 0.5,
      "Partial Match",
      "No Match"
   )
)</f>
        <v>No Match</v>
      </c>
      <c r="AG220" s="96"/>
      <c r="AH220" s="96"/>
      <c r="AI220" s="96"/>
      <c r="AJ220" s="96"/>
      <c r="AK220" s="96"/>
    </row>
    <row r="221" spans="4:37" ht="12.9" hidden="1">
      <c r="D221" s="118"/>
      <c r="K221" s="120" t="str" cm="1">
        <f t="array" aca="1" ref="K221" ca="1">IF(
   SUMPRODUCT(--ISNUMBER(SEARCH(_xlfn.TEXTSPLIT(D221," "), G221))) / COUNTA(_xlfn.TEXTSPLIT(D221," ")) = 1,
   "Full Match",
   IF(
      SUMPRODUCT(--ISNUMBER(SEARCH(_xlfn.TEXTSPLIT(D221," "), G221))) / COUNTA(_xlfn.TEXTSPLIT(D221," ")) &gt; 0.5,
      "Partial Match",
      "No Match"
   )
)</f>
        <v>No Match</v>
      </c>
      <c r="AG221" s="96"/>
      <c r="AH221" s="96"/>
      <c r="AI221" s="96"/>
      <c r="AJ221" s="96"/>
      <c r="AK221" s="96"/>
    </row>
    <row r="222" spans="4:37" ht="12.9" hidden="1">
      <c r="D222" s="118"/>
      <c r="K222" s="120" t="str" cm="1">
        <f t="array" aca="1" ref="K222" ca="1">IF(
   SUMPRODUCT(--ISNUMBER(SEARCH(_xlfn.TEXTSPLIT(D222," "), G222))) / COUNTA(_xlfn.TEXTSPLIT(D222," ")) = 1,
   "Full Match",
   IF(
      SUMPRODUCT(--ISNUMBER(SEARCH(_xlfn.TEXTSPLIT(D222," "), G222))) / COUNTA(_xlfn.TEXTSPLIT(D222," ")) &gt; 0.5,
      "Partial Match",
      "No Match"
   )
)</f>
        <v>No Match</v>
      </c>
      <c r="AG222" s="96"/>
      <c r="AH222" s="96"/>
      <c r="AI222" s="96"/>
      <c r="AJ222" s="96"/>
      <c r="AK222" s="96"/>
    </row>
    <row r="223" spans="4:37" ht="12.9" hidden="1">
      <c r="D223" s="118"/>
      <c r="K223" s="120" t="str" cm="1">
        <f t="array" aca="1" ref="K223" ca="1">IF(
   SUMPRODUCT(--ISNUMBER(SEARCH(_xlfn.TEXTSPLIT(D223," "), G223))) / COUNTA(_xlfn.TEXTSPLIT(D223," ")) = 1,
   "Full Match",
   IF(
      SUMPRODUCT(--ISNUMBER(SEARCH(_xlfn.TEXTSPLIT(D223," "), G223))) / COUNTA(_xlfn.TEXTSPLIT(D223," ")) &gt; 0.5,
      "Partial Match",
      "No Match"
   )
)</f>
        <v>No Match</v>
      </c>
      <c r="AG223" s="96"/>
      <c r="AH223" s="96"/>
      <c r="AI223" s="96"/>
      <c r="AJ223" s="96"/>
      <c r="AK223" s="96"/>
    </row>
    <row r="224" spans="4:37" ht="12.9" hidden="1">
      <c r="D224" s="118"/>
      <c r="K224" s="120" t="str" cm="1">
        <f t="array" aca="1" ref="K224" ca="1">IF(
   SUMPRODUCT(--ISNUMBER(SEARCH(_xlfn.TEXTSPLIT(D224," "), G224))) / COUNTA(_xlfn.TEXTSPLIT(D224," ")) = 1,
   "Full Match",
   IF(
      SUMPRODUCT(--ISNUMBER(SEARCH(_xlfn.TEXTSPLIT(D224," "), G224))) / COUNTA(_xlfn.TEXTSPLIT(D224," ")) &gt; 0.5,
      "Partial Match",
      "No Match"
   )
)</f>
        <v>No Match</v>
      </c>
      <c r="AG224" s="96"/>
      <c r="AH224" s="96"/>
      <c r="AI224" s="96"/>
      <c r="AJ224" s="96"/>
      <c r="AK224" s="96"/>
    </row>
    <row r="225" spans="4:37" ht="12.9" hidden="1">
      <c r="D225" s="118"/>
      <c r="K225" s="120" t="str" cm="1">
        <f t="array" aca="1" ref="K225" ca="1">IF(
   SUMPRODUCT(--ISNUMBER(SEARCH(_xlfn.TEXTSPLIT(D225," "), G225))) / COUNTA(_xlfn.TEXTSPLIT(D225," ")) = 1,
   "Full Match",
   IF(
      SUMPRODUCT(--ISNUMBER(SEARCH(_xlfn.TEXTSPLIT(D225," "), G225))) / COUNTA(_xlfn.TEXTSPLIT(D225," ")) &gt; 0.5,
      "Partial Match",
      "No Match"
   )
)</f>
        <v>No Match</v>
      </c>
      <c r="AG225" s="96"/>
      <c r="AH225" s="96"/>
      <c r="AI225" s="96"/>
      <c r="AJ225" s="96"/>
      <c r="AK225" s="96"/>
    </row>
    <row r="226" spans="4:37" ht="12.9" hidden="1">
      <c r="D226" s="118"/>
      <c r="K226" s="120" t="str" cm="1">
        <f t="array" aca="1" ref="K226" ca="1">IF(
   SUMPRODUCT(--ISNUMBER(SEARCH(_xlfn.TEXTSPLIT(D226," "), G226))) / COUNTA(_xlfn.TEXTSPLIT(D226," ")) = 1,
   "Full Match",
   IF(
      SUMPRODUCT(--ISNUMBER(SEARCH(_xlfn.TEXTSPLIT(D226," "), G226))) / COUNTA(_xlfn.TEXTSPLIT(D226," ")) &gt; 0.5,
      "Partial Match",
      "No Match"
   )
)</f>
        <v>No Match</v>
      </c>
      <c r="AG226" s="96"/>
      <c r="AH226" s="96"/>
      <c r="AI226" s="96"/>
      <c r="AJ226" s="96"/>
      <c r="AK226" s="96"/>
    </row>
    <row r="227" spans="4:37" ht="12.9" hidden="1">
      <c r="D227" s="118"/>
      <c r="K227" s="120" t="str" cm="1">
        <f t="array" aca="1" ref="K227" ca="1">IF(
   SUMPRODUCT(--ISNUMBER(SEARCH(_xlfn.TEXTSPLIT(D227," "), G227))) / COUNTA(_xlfn.TEXTSPLIT(D227," ")) = 1,
   "Full Match",
   IF(
      SUMPRODUCT(--ISNUMBER(SEARCH(_xlfn.TEXTSPLIT(D227," "), G227))) / COUNTA(_xlfn.TEXTSPLIT(D227," ")) &gt; 0.5,
      "Partial Match",
      "No Match"
   )
)</f>
        <v>No Match</v>
      </c>
      <c r="AG227" s="96"/>
      <c r="AH227" s="96"/>
      <c r="AI227" s="96"/>
      <c r="AJ227" s="96"/>
      <c r="AK227" s="96"/>
    </row>
    <row r="228" spans="4:37" ht="12.9" hidden="1">
      <c r="D228" s="118"/>
      <c r="K228" s="120" t="str" cm="1">
        <f t="array" aca="1" ref="K228" ca="1">IF(
   SUMPRODUCT(--ISNUMBER(SEARCH(_xlfn.TEXTSPLIT(D228," "), G228))) / COUNTA(_xlfn.TEXTSPLIT(D228," ")) = 1,
   "Full Match",
   IF(
      SUMPRODUCT(--ISNUMBER(SEARCH(_xlfn.TEXTSPLIT(D228," "), G228))) / COUNTA(_xlfn.TEXTSPLIT(D228," ")) &gt; 0.5,
      "Partial Match",
      "No Match"
   )
)</f>
        <v>No Match</v>
      </c>
      <c r="AG228" s="96"/>
      <c r="AH228" s="96"/>
      <c r="AI228" s="96"/>
      <c r="AJ228" s="96"/>
      <c r="AK228" s="96"/>
    </row>
    <row r="229" spans="4:37" ht="12.9" hidden="1">
      <c r="D229" s="118"/>
      <c r="K229" s="120" t="str" cm="1">
        <f t="array" aca="1" ref="K229" ca="1">IF(
   SUMPRODUCT(--ISNUMBER(SEARCH(_xlfn.TEXTSPLIT(D229," "), G229))) / COUNTA(_xlfn.TEXTSPLIT(D229," ")) = 1,
   "Full Match",
   IF(
      SUMPRODUCT(--ISNUMBER(SEARCH(_xlfn.TEXTSPLIT(D229," "), G229))) / COUNTA(_xlfn.TEXTSPLIT(D229," ")) &gt; 0.5,
      "Partial Match",
      "No Match"
   )
)</f>
        <v>No Match</v>
      </c>
      <c r="AG229" s="96"/>
      <c r="AH229" s="96"/>
      <c r="AI229" s="96"/>
      <c r="AJ229" s="96"/>
      <c r="AK229" s="96"/>
    </row>
    <row r="230" spans="4:37" ht="12.9" hidden="1">
      <c r="D230" s="118"/>
      <c r="K230" s="120" t="str" cm="1">
        <f t="array" aca="1" ref="K230" ca="1">IF(
   SUMPRODUCT(--ISNUMBER(SEARCH(_xlfn.TEXTSPLIT(D230," "), G230))) / COUNTA(_xlfn.TEXTSPLIT(D230," ")) = 1,
   "Full Match",
   IF(
      SUMPRODUCT(--ISNUMBER(SEARCH(_xlfn.TEXTSPLIT(D230," "), G230))) / COUNTA(_xlfn.TEXTSPLIT(D230," ")) &gt; 0.5,
      "Partial Match",
      "No Match"
   )
)</f>
        <v>No Match</v>
      </c>
      <c r="AG230" s="96"/>
      <c r="AH230" s="96"/>
      <c r="AI230" s="96"/>
      <c r="AJ230" s="96"/>
      <c r="AK230" s="96"/>
    </row>
    <row r="231" spans="4:37" ht="12.9" hidden="1">
      <c r="D231" s="118"/>
      <c r="K231" s="120" t="str" cm="1">
        <f t="array" aca="1" ref="K231" ca="1">IF(
   SUMPRODUCT(--ISNUMBER(SEARCH(_xlfn.TEXTSPLIT(D231," "), G231))) / COUNTA(_xlfn.TEXTSPLIT(D231," ")) = 1,
   "Full Match",
   IF(
      SUMPRODUCT(--ISNUMBER(SEARCH(_xlfn.TEXTSPLIT(D231," "), G231))) / COUNTA(_xlfn.TEXTSPLIT(D231," ")) &gt; 0.5,
      "Partial Match",
      "No Match"
   )
)</f>
        <v>No Match</v>
      </c>
      <c r="AG231" s="96"/>
      <c r="AH231" s="96"/>
      <c r="AI231" s="96"/>
      <c r="AJ231" s="96"/>
      <c r="AK231" s="96"/>
    </row>
    <row r="232" spans="4:37" ht="12.9" hidden="1">
      <c r="D232" s="118"/>
      <c r="K232" s="120" t="str" cm="1">
        <f t="array" aca="1" ref="K232" ca="1">IF(
   SUMPRODUCT(--ISNUMBER(SEARCH(_xlfn.TEXTSPLIT(D232," "), G232))) / COUNTA(_xlfn.TEXTSPLIT(D232," ")) = 1,
   "Full Match",
   IF(
      SUMPRODUCT(--ISNUMBER(SEARCH(_xlfn.TEXTSPLIT(D232," "), G232))) / COUNTA(_xlfn.TEXTSPLIT(D232," ")) &gt; 0.5,
      "Partial Match",
      "No Match"
   )
)</f>
        <v>No Match</v>
      </c>
      <c r="AG232" s="96"/>
      <c r="AH232" s="96"/>
      <c r="AI232" s="96"/>
      <c r="AJ232" s="96"/>
      <c r="AK232" s="96"/>
    </row>
    <row r="233" spans="4:37" ht="12.9" hidden="1">
      <c r="D233" s="118"/>
      <c r="K233" s="120" t="str" cm="1">
        <f t="array" aca="1" ref="K233" ca="1">IF(
   SUMPRODUCT(--ISNUMBER(SEARCH(_xlfn.TEXTSPLIT(D233," "), G233))) / COUNTA(_xlfn.TEXTSPLIT(D233," ")) = 1,
   "Full Match",
   IF(
      SUMPRODUCT(--ISNUMBER(SEARCH(_xlfn.TEXTSPLIT(D233," "), G233))) / COUNTA(_xlfn.TEXTSPLIT(D233," ")) &gt; 0.5,
      "Partial Match",
      "No Match"
   )
)</f>
        <v>No Match</v>
      </c>
      <c r="AG233" s="96"/>
      <c r="AH233" s="96"/>
      <c r="AI233" s="96"/>
      <c r="AJ233" s="96"/>
      <c r="AK233" s="96"/>
    </row>
    <row r="234" spans="4:37" ht="12.9" hidden="1">
      <c r="D234" s="118"/>
      <c r="K234" s="120" t="str" cm="1">
        <f t="array" aca="1" ref="K234" ca="1">IF(
   SUMPRODUCT(--ISNUMBER(SEARCH(_xlfn.TEXTSPLIT(D234," "), G234))) / COUNTA(_xlfn.TEXTSPLIT(D234," ")) = 1,
   "Full Match",
   IF(
      SUMPRODUCT(--ISNUMBER(SEARCH(_xlfn.TEXTSPLIT(D234," "), G234))) / COUNTA(_xlfn.TEXTSPLIT(D234," ")) &gt; 0.5,
      "Partial Match",
      "No Match"
   )
)</f>
        <v>No Match</v>
      </c>
      <c r="AG234" s="96"/>
      <c r="AH234" s="96"/>
      <c r="AI234" s="96"/>
      <c r="AJ234" s="96"/>
      <c r="AK234" s="96"/>
    </row>
    <row r="235" spans="4:37" ht="12.9" hidden="1">
      <c r="D235" s="118"/>
      <c r="K235" s="120" t="str" cm="1">
        <f t="array" aca="1" ref="K235" ca="1">IF(
   SUMPRODUCT(--ISNUMBER(SEARCH(_xlfn.TEXTSPLIT(D235," "), G235))) / COUNTA(_xlfn.TEXTSPLIT(D235," ")) = 1,
   "Full Match",
   IF(
      SUMPRODUCT(--ISNUMBER(SEARCH(_xlfn.TEXTSPLIT(D235," "), G235))) / COUNTA(_xlfn.TEXTSPLIT(D235," ")) &gt; 0.5,
      "Partial Match",
      "No Match"
   )
)</f>
        <v>No Match</v>
      </c>
      <c r="AG235" s="96"/>
      <c r="AH235" s="96"/>
      <c r="AI235" s="96"/>
      <c r="AJ235" s="96"/>
      <c r="AK235" s="96"/>
    </row>
    <row r="236" spans="4:37" ht="12.9" hidden="1">
      <c r="D236" s="118"/>
      <c r="K236" s="120" t="str" cm="1">
        <f t="array" aca="1" ref="K236" ca="1">IF(
   SUMPRODUCT(--ISNUMBER(SEARCH(_xlfn.TEXTSPLIT(D236," "), G236))) / COUNTA(_xlfn.TEXTSPLIT(D236," ")) = 1,
   "Full Match",
   IF(
      SUMPRODUCT(--ISNUMBER(SEARCH(_xlfn.TEXTSPLIT(D236," "), G236))) / COUNTA(_xlfn.TEXTSPLIT(D236," ")) &gt; 0.5,
      "Partial Match",
      "No Match"
   )
)</f>
        <v>No Match</v>
      </c>
      <c r="AG236" s="96"/>
      <c r="AH236" s="96"/>
      <c r="AI236" s="96"/>
      <c r="AJ236" s="96"/>
      <c r="AK236" s="96"/>
    </row>
    <row r="237" spans="4:37" ht="12.9" hidden="1">
      <c r="D237" s="118"/>
      <c r="K237" s="120" t="str" cm="1">
        <f t="array" aca="1" ref="K237" ca="1">IF(
   SUMPRODUCT(--ISNUMBER(SEARCH(_xlfn.TEXTSPLIT(D237," "), G237))) / COUNTA(_xlfn.TEXTSPLIT(D237," ")) = 1,
   "Full Match",
   IF(
      SUMPRODUCT(--ISNUMBER(SEARCH(_xlfn.TEXTSPLIT(D237," "), G237))) / COUNTA(_xlfn.TEXTSPLIT(D237," ")) &gt; 0.5,
      "Partial Match",
      "No Match"
   )
)</f>
        <v>No Match</v>
      </c>
      <c r="AG237" s="96"/>
      <c r="AH237" s="96"/>
      <c r="AI237" s="96"/>
      <c r="AJ237" s="96"/>
      <c r="AK237" s="96"/>
    </row>
    <row r="238" spans="4:37" ht="12.9" hidden="1">
      <c r="D238" s="118"/>
      <c r="K238" s="120" t="str" cm="1">
        <f t="array" aca="1" ref="K238" ca="1">IF(
   SUMPRODUCT(--ISNUMBER(SEARCH(_xlfn.TEXTSPLIT(D238," "), G238))) / COUNTA(_xlfn.TEXTSPLIT(D238," ")) = 1,
   "Full Match",
   IF(
      SUMPRODUCT(--ISNUMBER(SEARCH(_xlfn.TEXTSPLIT(D238," "), G238))) / COUNTA(_xlfn.TEXTSPLIT(D238," ")) &gt; 0.5,
      "Partial Match",
      "No Match"
   )
)</f>
        <v>No Match</v>
      </c>
      <c r="AG238" s="96"/>
      <c r="AH238" s="96"/>
      <c r="AI238" s="96"/>
      <c r="AJ238" s="96"/>
      <c r="AK238" s="96"/>
    </row>
    <row r="239" spans="4:37" ht="12.9" hidden="1">
      <c r="D239" s="118"/>
      <c r="K239" s="120" t="str" cm="1">
        <f t="array" aca="1" ref="K239" ca="1">IF(
   SUMPRODUCT(--ISNUMBER(SEARCH(_xlfn.TEXTSPLIT(D239," "), G239))) / COUNTA(_xlfn.TEXTSPLIT(D239," ")) = 1,
   "Full Match",
   IF(
      SUMPRODUCT(--ISNUMBER(SEARCH(_xlfn.TEXTSPLIT(D239," "), G239))) / COUNTA(_xlfn.TEXTSPLIT(D239," ")) &gt; 0.5,
      "Partial Match",
      "No Match"
   )
)</f>
        <v>No Match</v>
      </c>
      <c r="AG239" s="96"/>
      <c r="AH239" s="96"/>
      <c r="AI239" s="96"/>
      <c r="AJ239" s="96"/>
      <c r="AK239" s="96"/>
    </row>
    <row r="240" spans="4:37" ht="12.9" hidden="1">
      <c r="D240" s="118"/>
      <c r="K240" s="120" t="str" cm="1">
        <f t="array" aca="1" ref="K240" ca="1">IF(
   SUMPRODUCT(--ISNUMBER(SEARCH(_xlfn.TEXTSPLIT(D240," "), G240))) / COUNTA(_xlfn.TEXTSPLIT(D240," ")) = 1,
   "Full Match",
   IF(
      SUMPRODUCT(--ISNUMBER(SEARCH(_xlfn.TEXTSPLIT(D240," "), G240))) / COUNTA(_xlfn.TEXTSPLIT(D240," ")) &gt; 0.5,
      "Partial Match",
      "No Match"
   )
)</f>
        <v>No Match</v>
      </c>
      <c r="AG240" s="96"/>
      <c r="AH240" s="96"/>
      <c r="AI240" s="96"/>
      <c r="AJ240" s="96"/>
      <c r="AK240" s="96"/>
    </row>
    <row r="241" spans="4:37" ht="12.9" hidden="1">
      <c r="D241" s="118"/>
      <c r="K241" s="120" t="str" cm="1">
        <f t="array" aca="1" ref="K241" ca="1">IF(
   SUMPRODUCT(--ISNUMBER(SEARCH(_xlfn.TEXTSPLIT(D241," "), G241))) / COUNTA(_xlfn.TEXTSPLIT(D241," ")) = 1,
   "Full Match",
   IF(
      SUMPRODUCT(--ISNUMBER(SEARCH(_xlfn.TEXTSPLIT(D241," "), G241))) / COUNTA(_xlfn.TEXTSPLIT(D241," ")) &gt; 0.5,
      "Partial Match",
      "No Match"
   )
)</f>
        <v>No Match</v>
      </c>
      <c r="AG241" s="96"/>
      <c r="AH241" s="96"/>
      <c r="AI241" s="96"/>
      <c r="AJ241" s="96"/>
      <c r="AK241" s="96"/>
    </row>
    <row r="242" spans="4:37" ht="12.9" hidden="1">
      <c r="D242" s="118"/>
      <c r="K242" s="120" t="str" cm="1">
        <f t="array" aca="1" ref="K242" ca="1">IF(
   SUMPRODUCT(--ISNUMBER(SEARCH(_xlfn.TEXTSPLIT(D242," "), G242))) / COUNTA(_xlfn.TEXTSPLIT(D242," ")) = 1,
   "Full Match",
   IF(
      SUMPRODUCT(--ISNUMBER(SEARCH(_xlfn.TEXTSPLIT(D242," "), G242))) / COUNTA(_xlfn.TEXTSPLIT(D242," ")) &gt; 0.5,
      "Partial Match",
      "No Match"
   )
)</f>
        <v>No Match</v>
      </c>
      <c r="AG242" s="96"/>
      <c r="AH242" s="96"/>
      <c r="AI242" s="96"/>
      <c r="AJ242" s="96"/>
      <c r="AK242" s="96"/>
    </row>
    <row r="243" spans="4:37" ht="12.9" hidden="1">
      <c r="D243" s="118"/>
      <c r="K243" s="120" t="str" cm="1">
        <f t="array" aca="1" ref="K243" ca="1">IF(
   SUMPRODUCT(--ISNUMBER(SEARCH(_xlfn.TEXTSPLIT(D243," "), G243))) / COUNTA(_xlfn.TEXTSPLIT(D243," ")) = 1,
   "Full Match",
   IF(
      SUMPRODUCT(--ISNUMBER(SEARCH(_xlfn.TEXTSPLIT(D243," "), G243))) / COUNTA(_xlfn.TEXTSPLIT(D243," ")) &gt; 0.5,
      "Partial Match",
      "No Match"
   )
)</f>
        <v>No Match</v>
      </c>
      <c r="AG243" s="96"/>
      <c r="AH243" s="96"/>
      <c r="AI243" s="96"/>
      <c r="AJ243" s="96"/>
      <c r="AK243" s="96"/>
    </row>
    <row r="244" spans="4:37" ht="12.9" hidden="1">
      <c r="D244" s="118"/>
      <c r="K244" s="120" t="str" cm="1">
        <f t="array" aca="1" ref="K244" ca="1">IF(
   SUMPRODUCT(--ISNUMBER(SEARCH(_xlfn.TEXTSPLIT(D244," "), G244))) / COUNTA(_xlfn.TEXTSPLIT(D244," ")) = 1,
   "Full Match",
   IF(
      SUMPRODUCT(--ISNUMBER(SEARCH(_xlfn.TEXTSPLIT(D244," "), G244))) / COUNTA(_xlfn.TEXTSPLIT(D244," ")) &gt; 0.5,
      "Partial Match",
      "No Match"
   )
)</f>
        <v>No Match</v>
      </c>
      <c r="AG244" s="96"/>
      <c r="AH244" s="96"/>
      <c r="AI244" s="96"/>
      <c r="AJ244" s="96"/>
      <c r="AK244" s="96"/>
    </row>
    <row r="245" spans="4:37" ht="12.9" hidden="1">
      <c r="D245" s="118"/>
      <c r="K245" s="120" t="str" cm="1">
        <f t="array" aca="1" ref="K245" ca="1">IF(
   SUMPRODUCT(--ISNUMBER(SEARCH(_xlfn.TEXTSPLIT(D245," "), G245))) / COUNTA(_xlfn.TEXTSPLIT(D245," ")) = 1,
   "Full Match",
   IF(
      SUMPRODUCT(--ISNUMBER(SEARCH(_xlfn.TEXTSPLIT(D245," "), G245))) / COUNTA(_xlfn.TEXTSPLIT(D245," ")) &gt; 0.5,
      "Partial Match",
      "No Match"
   )
)</f>
        <v>No Match</v>
      </c>
      <c r="AG245" s="96"/>
      <c r="AH245" s="96"/>
      <c r="AI245" s="96"/>
      <c r="AJ245" s="96"/>
      <c r="AK245" s="96"/>
    </row>
    <row r="246" spans="4:37" ht="12.9" hidden="1">
      <c r="D246" s="118"/>
      <c r="K246" s="120" t="str" cm="1">
        <f t="array" aca="1" ref="K246" ca="1">IF(
   SUMPRODUCT(--ISNUMBER(SEARCH(_xlfn.TEXTSPLIT(D246," "), G246))) / COUNTA(_xlfn.TEXTSPLIT(D246," ")) = 1,
   "Full Match",
   IF(
      SUMPRODUCT(--ISNUMBER(SEARCH(_xlfn.TEXTSPLIT(D246," "), G246))) / COUNTA(_xlfn.TEXTSPLIT(D246," ")) &gt; 0.5,
      "Partial Match",
      "No Match"
   )
)</f>
        <v>No Match</v>
      </c>
      <c r="AG246" s="96"/>
      <c r="AH246" s="96"/>
      <c r="AI246" s="96"/>
      <c r="AJ246" s="96"/>
      <c r="AK246" s="96"/>
    </row>
    <row r="247" spans="4:37" ht="12.9" hidden="1">
      <c r="D247" s="118"/>
      <c r="K247" s="120" t="str" cm="1">
        <f t="array" aca="1" ref="K247" ca="1">IF(
   SUMPRODUCT(--ISNUMBER(SEARCH(_xlfn.TEXTSPLIT(D247," "), G247))) / COUNTA(_xlfn.TEXTSPLIT(D247," ")) = 1,
   "Full Match",
   IF(
      SUMPRODUCT(--ISNUMBER(SEARCH(_xlfn.TEXTSPLIT(D247," "), G247))) / COUNTA(_xlfn.TEXTSPLIT(D247," ")) &gt; 0.5,
      "Partial Match",
      "No Match"
   )
)</f>
        <v>No Match</v>
      </c>
      <c r="AG247" s="96"/>
      <c r="AH247" s="96"/>
      <c r="AI247" s="96"/>
      <c r="AJ247" s="96"/>
      <c r="AK247" s="96"/>
    </row>
    <row r="248" spans="4:37" ht="12.9" hidden="1">
      <c r="D248" s="118"/>
      <c r="K248" s="120" t="str" cm="1">
        <f t="array" aca="1" ref="K248" ca="1">IF(
   SUMPRODUCT(--ISNUMBER(SEARCH(_xlfn.TEXTSPLIT(D248," "), G248))) / COUNTA(_xlfn.TEXTSPLIT(D248," ")) = 1,
   "Full Match",
   IF(
      SUMPRODUCT(--ISNUMBER(SEARCH(_xlfn.TEXTSPLIT(D248," "), G248))) / COUNTA(_xlfn.TEXTSPLIT(D248," ")) &gt; 0.5,
      "Partial Match",
      "No Match"
   )
)</f>
        <v>No Match</v>
      </c>
      <c r="AG248" s="96"/>
      <c r="AH248" s="96"/>
      <c r="AI248" s="96"/>
      <c r="AJ248" s="96"/>
      <c r="AK248" s="96"/>
    </row>
    <row r="249" spans="4:37" ht="12.9" hidden="1">
      <c r="D249" s="118"/>
      <c r="K249" s="120" t="str" cm="1">
        <f t="array" aca="1" ref="K249" ca="1">IF(
   SUMPRODUCT(--ISNUMBER(SEARCH(_xlfn.TEXTSPLIT(D249," "), G249))) / COUNTA(_xlfn.TEXTSPLIT(D249," ")) = 1,
   "Full Match",
   IF(
      SUMPRODUCT(--ISNUMBER(SEARCH(_xlfn.TEXTSPLIT(D249," "), G249))) / COUNTA(_xlfn.TEXTSPLIT(D249," ")) &gt; 0.5,
      "Partial Match",
      "No Match"
   )
)</f>
        <v>No Match</v>
      </c>
      <c r="AG249" s="96"/>
      <c r="AH249" s="96"/>
      <c r="AI249" s="96"/>
      <c r="AJ249" s="96"/>
      <c r="AK249" s="96"/>
    </row>
    <row r="250" spans="4:37" ht="12.9" hidden="1">
      <c r="D250" s="118"/>
      <c r="K250" s="120" t="str" cm="1">
        <f t="array" aca="1" ref="K250" ca="1">IF(
   SUMPRODUCT(--ISNUMBER(SEARCH(_xlfn.TEXTSPLIT(D250," "), G250))) / COUNTA(_xlfn.TEXTSPLIT(D250," ")) = 1,
   "Full Match",
   IF(
      SUMPRODUCT(--ISNUMBER(SEARCH(_xlfn.TEXTSPLIT(D250," "), G250))) / COUNTA(_xlfn.TEXTSPLIT(D250," ")) &gt; 0.5,
      "Partial Match",
      "No Match"
   )
)</f>
        <v>No Match</v>
      </c>
      <c r="AG250" s="96"/>
      <c r="AH250" s="96"/>
      <c r="AI250" s="96"/>
      <c r="AJ250" s="96"/>
      <c r="AK250" s="96"/>
    </row>
    <row r="251" spans="4:37" ht="12.9" hidden="1">
      <c r="D251" s="118"/>
      <c r="K251" s="120" t="str" cm="1">
        <f t="array" aca="1" ref="K251" ca="1">IF(
   SUMPRODUCT(--ISNUMBER(SEARCH(_xlfn.TEXTSPLIT(D251," "), G251))) / COUNTA(_xlfn.TEXTSPLIT(D251," ")) = 1,
   "Full Match",
   IF(
      SUMPRODUCT(--ISNUMBER(SEARCH(_xlfn.TEXTSPLIT(D251," "), G251))) / COUNTA(_xlfn.TEXTSPLIT(D251," ")) &gt; 0.5,
      "Partial Match",
      "No Match"
   )
)</f>
        <v>No Match</v>
      </c>
      <c r="AG251" s="96"/>
      <c r="AH251" s="96"/>
      <c r="AI251" s="96"/>
      <c r="AJ251" s="96"/>
      <c r="AK251" s="96"/>
    </row>
    <row r="252" spans="4:37" ht="12.9" hidden="1">
      <c r="D252" s="118"/>
      <c r="K252" s="120" t="str" cm="1">
        <f t="array" aca="1" ref="K252" ca="1">IF(
   SUMPRODUCT(--ISNUMBER(SEARCH(_xlfn.TEXTSPLIT(D252," "), G252))) / COUNTA(_xlfn.TEXTSPLIT(D252," ")) = 1,
   "Full Match",
   IF(
      SUMPRODUCT(--ISNUMBER(SEARCH(_xlfn.TEXTSPLIT(D252," "), G252))) / COUNTA(_xlfn.TEXTSPLIT(D252," ")) &gt; 0.5,
      "Partial Match",
      "No Match"
   )
)</f>
        <v>No Match</v>
      </c>
      <c r="AG252" s="96"/>
      <c r="AH252" s="96"/>
      <c r="AI252" s="96"/>
      <c r="AJ252" s="96"/>
      <c r="AK252" s="96"/>
    </row>
    <row r="253" spans="4:37" ht="12.9" hidden="1">
      <c r="D253" s="118"/>
      <c r="K253" s="120" t="str" cm="1">
        <f t="array" aca="1" ref="K253" ca="1">IF(
   SUMPRODUCT(--ISNUMBER(SEARCH(_xlfn.TEXTSPLIT(D253," "), G253))) / COUNTA(_xlfn.TEXTSPLIT(D253," ")) = 1,
   "Full Match",
   IF(
      SUMPRODUCT(--ISNUMBER(SEARCH(_xlfn.TEXTSPLIT(D253," "), G253))) / COUNTA(_xlfn.TEXTSPLIT(D253," ")) &gt; 0.5,
      "Partial Match",
      "No Match"
   )
)</f>
        <v>No Match</v>
      </c>
      <c r="AG253" s="96"/>
      <c r="AH253" s="96"/>
      <c r="AI253" s="96"/>
      <c r="AJ253" s="96"/>
      <c r="AK253" s="96"/>
    </row>
    <row r="254" spans="4:37" ht="12.9" hidden="1">
      <c r="D254" s="118"/>
      <c r="K254" s="120" t="str" cm="1">
        <f t="array" aca="1" ref="K254" ca="1">IF(
   SUMPRODUCT(--ISNUMBER(SEARCH(_xlfn.TEXTSPLIT(D254," "), G254))) / COUNTA(_xlfn.TEXTSPLIT(D254," ")) = 1,
   "Full Match",
   IF(
      SUMPRODUCT(--ISNUMBER(SEARCH(_xlfn.TEXTSPLIT(D254," "), G254))) / COUNTA(_xlfn.TEXTSPLIT(D254," ")) &gt; 0.5,
      "Partial Match",
      "No Match"
   )
)</f>
        <v>No Match</v>
      </c>
      <c r="AG254" s="96"/>
      <c r="AH254" s="96"/>
      <c r="AI254" s="96"/>
      <c r="AJ254" s="96"/>
      <c r="AK254" s="96"/>
    </row>
    <row r="255" spans="4:37" ht="12.9" hidden="1">
      <c r="D255" s="118"/>
      <c r="K255" s="120" t="str" cm="1">
        <f t="array" aca="1" ref="K255" ca="1">IF(
   SUMPRODUCT(--ISNUMBER(SEARCH(_xlfn.TEXTSPLIT(D255," "), G255))) / COUNTA(_xlfn.TEXTSPLIT(D255," ")) = 1,
   "Full Match",
   IF(
      SUMPRODUCT(--ISNUMBER(SEARCH(_xlfn.TEXTSPLIT(D255," "), G255))) / COUNTA(_xlfn.TEXTSPLIT(D255," ")) &gt; 0.5,
      "Partial Match",
      "No Match"
   )
)</f>
        <v>No Match</v>
      </c>
      <c r="AG255" s="96"/>
      <c r="AH255" s="96"/>
      <c r="AI255" s="96"/>
      <c r="AJ255" s="96"/>
      <c r="AK255" s="96"/>
    </row>
    <row r="256" spans="4:37" ht="12.9" hidden="1">
      <c r="D256" s="118"/>
      <c r="K256" s="120" t="str" cm="1">
        <f t="array" aca="1" ref="K256" ca="1">IF(
   SUMPRODUCT(--ISNUMBER(SEARCH(_xlfn.TEXTSPLIT(D256," "), G256))) / COUNTA(_xlfn.TEXTSPLIT(D256," ")) = 1,
   "Full Match",
   IF(
      SUMPRODUCT(--ISNUMBER(SEARCH(_xlfn.TEXTSPLIT(D256," "), G256))) / COUNTA(_xlfn.TEXTSPLIT(D256," ")) &gt; 0.5,
      "Partial Match",
      "No Match"
   )
)</f>
        <v>No Match</v>
      </c>
      <c r="AG256" s="96"/>
      <c r="AH256" s="96"/>
      <c r="AI256" s="96"/>
      <c r="AJ256" s="96"/>
      <c r="AK256" s="96"/>
    </row>
    <row r="257" spans="4:37" ht="12.9" hidden="1">
      <c r="D257" s="118"/>
      <c r="K257" s="120" t="str" cm="1">
        <f t="array" aca="1" ref="K257" ca="1">IF(
   SUMPRODUCT(--ISNUMBER(SEARCH(_xlfn.TEXTSPLIT(D257," "), G257))) / COUNTA(_xlfn.TEXTSPLIT(D257," ")) = 1,
   "Full Match",
   IF(
      SUMPRODUCT(--ISNUMBER(SEARCH(_xlfn.TEXTSPLIT(D257," "), G257))) / COUNTA(_xlfn.TEXTSPLIT(D257," ")) &gt; 0.5,
      "Partial Match",
      "No Match"
   )
)</f>
        <v>No Match</v>
      </c>
      <c r="AG257" s="96"/>
      <c r="AH257" s="96"/>
      <c r="AI257" s="96"/>
      <c r="AJ257" s="96"/>
      <c r="AK257" s="96"/>
    </row>
    <row r="258" spans="4:37" ht="12.9" hidden="1">
      <c r="D258" s="118"/>
      <c r="K258" s="120" t="str" cm="1">
        <f t="array" aca="1" ref="K258" ca="1">IF(
   SUMPRODUCT(--ISNUMBER(SEARCH(_xlfn.TEXTSPLIT(D258," "), G258))) / COUNTA(_xlfn.TEXTSPLIT(D258," ")) = 1,
   "Full Match",
   IF(
      SUMPRODUCT(--ISNUMBER(SEARCH(_xlfn.TEXTSPLIT(D258," "), G258))) / COUNTA(_xlfn.TEXTSPLIT(D258," ")) &gt; 0.5,
      "Partial Match",
      "No Match"
   )
)</f>
        <v>No Match</v>
      </c>
      <c r="AG258" s="96"/>
      <c r="AH258" s="96"/>
      <c r="AI258" s="96"/>
      <c r="AJ258" s="96"/>
      <c r="AK258" s="96"/>
    </row>
    <row r="259" spans="4:37" ht="12.9" hidden="1">
      <c r="D259" s="118"/>
      <c r="K259" s="120" t="str" cm="1">
        <f t="array" aca="1" ref="K259" ca="1">IF(
   SUMPRODUCT(--ISNUMBER(SEARCH(_xlfn.TEXTSPLIT(D259," "), G259))) / COUNTA(_xlfn.TEXTSPLIT(D259," ")) = 1,
   "Full Match",
   IF(
      SUMPRODUCT(--ISNUMBER(SEARCH(_xlfn.TEXTSPLIT(D259," "), G259))) / COUNTA(_xlfn.TEXTSPLIT(D259," ")) &gt; 0.5,
      "Partial Match",
      "No Match"
   )
)</f>
        <v>No Match</v>
      </c>
      <c r="AG259" s="96"/>
      <c r="AH259" s="96"/>
      <c r="AI259" s="96"/>
      <c r="AJ259" s="96"/>
      <c r="AK259" s="96"/>
    </row>
    <row r="260" spans="4:37" ht="12.9" hidden="1">
      <c r="D260" s="118"/>
      <c r="K260" s="120" t="str" cm="1">
        <f t="array" aca="1" ref="K260" ca="1">IF(
   SUMPRODUCT(--ISNUMBER(SEARCH(_xlfn.TEXTSPLIT(D260," "), G260))) / COUNTA(_xlfn.TEXTSPLIT(D260," ")) = 1,
   "Full Match",
   IF(
      SUMPRODUCT(--ISNUMBER(SEARCH(_xlfn.TEXTSPLIT(D260," "), G260))) / COUNTA(_xlfn.TEXTSPLIT(D260," ")) &gt; 0.5,
      "Partial Match",
      "No Match"
   )
)</f>
        <v>No Match</v>
      </c>
      <c r="AG260" s="96"/>
      <c r="AH260" s="96"/>
      <c r="AI260" s="96"/>
      <c r="AJ260" s="96"/>
      <c r="AK260" s="96"/>
    </row>
    <row r="261" spans="4:37" ht="12.9" hidden="1">
      <c r="D261" s="118"/>
      <c r="K261" s="120" t="str" cm="1">
        <f t="array" aca="1" ref="K261" ca="1">IF(
   SUMPRODUCT(--ISNUMBER(SEARCH(_xlfn.TEXTSPLIT(D261," "), G261))) / COUNTA(_xlfn.TEXTSPLIT(D261," ")) = 1,
   "Full Match",
   IF(
      SUMPRODUCT(--ISNUMBER(SEARCH(_xlfn.TEXTSPLIT(D261," "), G261))) / COUNTA(_xlfn.TEXTSPLIT(D261," ")) &gt; 0.5,
      "Partial Match",
      "No Match"
   )
)</f>
        <v>No Match</v>
      </c>
      <c r="AG261" s="96"/>
      <c r="AH261" s="96"/>
      <c r="AI261" s="96"/>
      <c r="AJ261" s="96"/>
      <c r="AK261" s="96"/>
    </row>
    <row r="262" spans="4:37" ht="12.9" hidden="1">
      <c r="D262" s="118"/>
      <c r="K262" s="120" t="str" cm="1">
        <f t="array" aca="1" ref="K262" ca="1">IF(
   SUMPRODUCT(--ISNUMBER(SEARCH(_xlfn.TEXTSPLIT(D262," "), G262))) / COUNTA(_xlfn.TEXTSPLIT(D262," ")) = 1,
   "Full Match",
   IF(
      SUMPRODUCT(--ISNUMBER(SEARCH(_xlfn.TEXTSPLIT(D262," "), G262))) / COUNTA(_xlfn.TEXTSPLIT(D262," ")) &gt; 0.5,
      "Partial Match",
      "No Match"
   )
)</f>
        <v>No Match</v>
      </c>
      <c r="AG262" s="96"/>
      <c r="AH262" s="96"/>
      <c r="AI262" s="96"/>
      <c r="AJ262" s="96"/>
      <c r="AK262" s="96"/>
    </row>
    <row r="263" spans="4:37" ht="12.9" hidden="1">
      <c r="D263" s="118"/>
      <c r="K263" s="120" t="str" cm="1">
        <f t="array" aca="1" ref="K263" ca="1">IF(
   SUMPRODUCT(--ISNUMBER(SEARCH(_xlfn.TEXTSPLIT(D263," "), G263))) / COUNTA(_xlfn.TEXTSPLIT(D263," ")) = 1,
   "Full Match",
   IF(
      SUMPRODUCT(--ISNUMBER(SEARCH(_xlfn.TEXTSPLIT(D263," "), G263))) / COUNTA(_xlfn.TEXTSPLIT(D263," ")) &gt; 0.5,
      "Partial Match",
      "No Match"
   )
)</f>
        <v>No Match</v>
      </c>
      <c r="AG263" s="96"/>
      <c r="AH263" s="96"/>
      <c r="AI263" s="96"/>
      <c r="AJ263" s="96"/>
      <c r="AK263" s="96"/>
    </row>
    <row r="264" spans="4:37" ht="12.9" hidden="1">
      <c r="D264" s="118"/>
      <c r="K264" s="120" t="str" cm="1">
        <f t="array" aca="1" ref="K264" ca="1">IF(
   SUMPRODUCT(--ISNUMBER(SEARCH(_xlfn.TEXTSPLIT(D264," "), G264))) / COUNTA(_xlfn.TEXTSPLIT(D264," ")) = 1,
   "Full Match",
   IF(
      SUMPRODUCT(--ISNUMBER(SEARCH(_xlfn.TEXTSPLIT(D264," "), G264))) / COUNTA(_xlfn.TEXTSPLIT(D264," ")) &gt; 0.5,
      "Partial Match",
      "No Match"
   )
)</f>
        <v>No Match</v>
      </c>
      <c r="AG264" s="96"/>
      <c r="AH264" s="96"/>
      <c r="AI264" s="96"/>
      <c r="AJ264" s="96"/>
      <c r="AK264" s="96"/>
    </row>
    <row r="265" spans="4:37" ht="12.9" hidden="1">
      <c r="D265" s="118"/>
      <c r="K265" s="120" t="str" cm="1">
        <f t="array" aca="1" ref="K265" ca="1">IF(
   SUMPRODUCT(--ISNUMBER(SEARCH(_xlfn.TEXTSPLIT(D265," "), G265))) / COUNTA(_xlfn.TEXTSPLIT(D265," ")) = 1,
   "Full Match",
   IF(
      SUMPRODUCT(--ISNUMBER(SEARCH(_xlfn.TEXTSPLIT(D265," "), G265))) / COUNTA(_xlfn.TEXTSPLIT(D265," ")) &gt; 0.5,
      "Partial Match",
      "No Match"
   )
)</f>
        <v>No Match</v>
      </c>
      <c r="AG265" s="96"/>
      <c r="AH265" s="96"/>
      <c r="AI265" s="96"/>
      <c r="AJ265" s="96"/>
      <c r="AK265" s="96"/>
    </row>
    <row r="266" spans="4:37" ht="12.9" hidden="1">
      <c r="D266" s="118"/>
      <c r="K266" s="120" t="str" cm="1">
        <f t="array" aca="1" ref="K266" ca="1">IF(
   SUMPRODUCT(--ISNUMBER(SEARCH(_xlfn.TEXTSPLIT(D266," "), G266))) / COUNTA(_xlfn.TEXTSPLIT(D266," ")) = 1,
   "Full Match",
   IF(
      SUMPRODUCT(--ISNUMBER(SEARCH(_xlfn.TEXTSPLIT(D266," "), G266))) / COUNTA(_xlfn.TEXTSPLIT(D266," ")) &gt; 0.5,
      "Partial Match",
      "No Match"
   )
)</f>
        <v>No Match</v>
      </c>
      <c r="AG266" s="96"/>
      <c r="AH266" s="96"/>
      <c r="AI266" s="96"/>
      <c r="AJ266" s="96"/>
      <c r="AK266" s="96"/>
    </row>
    <row r="267" spans="4:37" ht="12.9" hidden="1">
      <c r="D267" s="118"/>
      <c r="K267" s="120" t="str" cm="1">
        <f t="array" aca="1" ref="K267" ca="1">IF(
   SUMPRODUCT(--ISNUMBER(SEARCH(_xlfn.TEXTSPLIT(D267," "), G267))) / COUNTA(_xlfn.TEXTSPLIT(D267," ")) = 1,
   "Full Match",
   IF(
      SUMPRODUCT(--ISNUMBER(SEARCH(_xlfn.TEXTSPLIT(D267," "), G267))) / COUNTA(_xlfn.TEXTSPLIT(D267," ")) &gt; 0.5,
      "Partial Match",
      "No Match"
   )
)</f>
        <v>No Match</v>
      </c>
      <c r="AG267" s="96"/>
      <c r="AH267" s="96"/>
      <c r="AI267" s="96"/>
      <c r="AJ267" s="96"/>
      <c r="AK267" s="96"/>
    </row>
    <row r="268" spans="4:37" ht="12.9" hidden="1">
      <c r="D268" s="118"/>
      <c r="K268" s="120" t="str" cm="1">
        <f t="array" aca="1" ref="K268" ca="1">IF(
   SUMPRODUCT(--ISNUMBER(SEARCH(_xlfn.TEXTSPLIT(D268," "), G268))) / COUNTA(_xlfn.TEXTSPLIT(D268," ")) = 1,
   "Full Match",
   IF(
      SUMPRODUCT(--ISNUMBER(SEARCH(_xlfn.TEXTSPLIT(D268," "), G268))) / COUNTA(_xlfn.TEXTSPLIT(D268," ")) &gt; 0.5,
      "Partial Match",
      "No Match"
   )
)</f>
        <v>No Match</v>
      </c>
      <c r="AG268" s="96"/>
      <c r="AH268" s="96"/>
      <c r="AI268" s="96"/>
      <c r="AJ268" s="96"/>
      <c r="AK268" s="96"/>
    </row>
    <row r="269" spans="4:37" ht="12.9" hidden="1">
      <c r="D269" s="118"/>
      <c r="K269" s="120" t="str" cm="1">
        <f t="array" aca="1" ref="K269" ca="1">IF(
   SUMPRODUCT(--ISNUMBER(SEARCH(_xlfn.TEXTSPLIT(D269," "), G269))) / COUNTA(_xlfn.TEXTSPLIT(D269," ")) = 1,
   "Full Match",
   IF(
      SUMPRODUCT(--ISNUMBER(SEARCH(_xlfn.TEXTSPLIT(D269," "), G269))) / COUNTA(_xlfn.TEXTSPLIT(D269," ")) &gt; 0.5,
      "Partial Match",
      "No Match"
   )
)</f>
        <v>No Match</v>
      </c>
      <c r="AG269" s="96"/>
      <c r="AH269" s="96"/>
      <c r="AI269" s="96"/>
      <c r="AJ269" s="96"/>
      <c r="AK269" s="96"/>
    </row>
    <row r="270" spans="4:37" ht="12.9" hidden="1">
      <c r="D270" s="118"/>
      <c r="K270" s="120" t="str" cm="1">
        <f t="array" aca="1" ref="K270" ca="1">IF(
   SUMPRODUCT(--ISNUMBER(SEARCH(_xlfn.TEXTSPLIT(D270," "), G270))) / COUNTA(_xlfn.TEXTSPLIT(D270," ")) = 1,
   "Full Match",
   IF(
      SUMPRODUCT(--ISNUMBER(SEARCH(_xlfn.TEXTSPLIT(D270," "), G270))) / COUNTA(_xlfn.TEXTSPLIT(D270," ")) &gt; 0.5,
      "Partial Match",
      "No Match"
   )
)</f>
        <v>No Match</v>
      </c>
      <c r="AG270" s="96"/>
      <c r="AH270" s="96"/>
      <c r="AI270" s="96"/>
      <c r="AJ270" s="96"/>
      <c r="AK270" s="96"/>
    </row>
    <row r="271" spans="4:37" ht="12.9" hidden="1">
      <c r="D271" s="118"/>
      <c r="K271" s="120" t="str" cm="1">
        <f t="array" aca="1" ref="K271" ca="1">IF(
   SUMPRODUCT(--ISNUMBER(SEARCH(_xlfn.TEXTSPLIT(D271," "), G271))) / COUNTA(_xlfn.TEXTSPLIT(D271," ")) = 1,
   "Full Match",
   IF(
      SUMPRODUCT(--ISNUMBER(SEARCH(_xlfn.TEXTSPLIT(D271," "), G271))) / COUNTA(_xlfn.TEXTSPLIT(D271," ")) &gt; 0.5,
      "Partial Match",
      "No Match"
   )
)</f>
        <v>No Match</v>
      </c>
      <c r="AG271" s="96"/>
      <c r="AH271" s="96"/>
      <c r="AI271" s="96"/>
      <c r="AJ271" s="96"/>
      <c r="AK271" s="96"/>
    </row>
    <row r="272" spans="4:37" ht="12.9" hidden="1">
      <c r="D272" s="118"/>
      <c r="K272" s="120" t="str" cm="1">
        <f t="array" aca="1" ref="K272" ca="1">IF(
   SUMPRODUCT(--ISNUMBER(SEARCH(_xlfn.TEXTSPLIT(D272," "), G272))) / COUNTA(_xlfn.TEXTSPLIT(D272," ")) = 1,
   "Full Match",
   IF(
      SUMPRODUCT(--ISNUMBER(SEARCH(_xlfn.TEXTSPLIT(D272," "), G272))) / COUNTA(_xlfn.TEXTSPLIT(D272," ")) &gt; 0.5,
      "Partial Match",
      "No Match"
   )
)</f>
        <v>No Match</v>
      </c>
      <c r="AG272" s="96"/>
      <c r="AH272" s="96"/>
      <c r="AI272" s="96"/>
      <c r="AJ272" s="96"/>
      <c r="AK272" s="96"/>
    </row>
    <row r="273" spans="4:37" ht="12.9" hidden="1">
      <c r="D273" s="118"/>
      <c r="K273" s="120" t="str" cm="1">
        <f t="array" aca="1" ref="K273" ca="1">IF(
   SUMPRODUCT(--ISNUMBER(SEARCH(_xlfn.TEXTSPLIT(D273," "), G273))) / COUNTA(_xlfn.TEXTSPLIT(D273," ")) = 1,
   "Full Match",
   IF(
      SUMPRODUCT(--ISNUMBER(SEARCH(_xlfn.TEXTSPLIT(D273," "), G273))) / COUNTA(_xlfn.TEXTSPLIT(D273," ")) &gt; 0.5,
      "Partial Match",
      "No Match"
   )
)</f>
        <v>No Match</v>
      </c>
      <c r="AG273" s="96"/>
      <c r="AH273" s="96"/>
      <c r="AI273" s="96"/>
      <c r="AJ273" s="96"/>
      <c r="AK273" s="96"/>
    </row>
    <row r="274" spans="4:37" ht="12.9" hidden="1">
      <c r="D274" s="118"/>
      <c r="K274" s="120" t="str" cm="1">
        <f t="array" aca="1" ref="K274" ca="1">IF(
   SUMPRODUCT(--ISNUMBER(SEARCH(_xlfn.TEXTSPLIT(D274," "), G274))) / COUNTA(_xlfn.TEXTSPLIT(D274," ")) = 1,
   "Full Match",
   IF(
      SUMPRODUCT(--ISNUMBER(SEARCH(_xlfn.TEXTSPLIT(D274," "), G274))) / COUNTA(_xlfn.TEXTSPLIT(D274," ")) &gt; 0.5,
      "Partial Match",
      "No Match"
   )
)</f>
        <v>No Match</v>
      </c>
      <c r="AG274" s="96"/>
      <c r="AH274" s="96"/>
      <c r="AI274" s="96"/>
      <c r="AJ274" s="96"/>
      <c r="AK274" s="96"/>
    </row>
    <row r="275" spans="4:37" ht="12.9" hidden="1">
      <c r="D275" s="118"/>
      <c r="K275" s="120" t="str" cm="1">
        <f t="array" aca="1" ref="K275" ca="1">IF(
   SUMPRODUCT(--ISNUMBER(SEARCH(_xlfn.TEXTSPLIT(D275," "), G275))) / COUNTA(_xlfn.TEXTSPLIT(D275," ")) = 1,
   "Full Match",
   IF(
      SUMPRODUCT(--ISNUMBER(SEARCH(_xlfn.TEXTSPLIT(D275," "), G275))) / COUNTA(_xlfn.TEXTSPLIT(D275," ")) &gt; 0.5,
      "Partial Match",
      "No Match"
   )
)</f>
        <v>No Match</v>
      </c>
      <c r="AG275" s="96"/>
      <c r="AH275" s="96"/>
      <c r="AI275" s="96"/>
      <c r="AJ275" s="96"/>
      <c r="AK275" s="96"/>
    </row>
    <row r="276" spans="4:37" ht="12.9" hidden="1">
      <c r="D276" s="118"/>
      <c r="K276" s="120" t="str" cm="1">
        <f t="array" aca="1" ref="K276" ca="1">IF(
   SUMPRODUCT(--ISNUMBER(SEARCH(_xlfn.TEXTSPLIT(D276," "), G276))) / COUNTA(_xlfn.TEXTSPLIT(D276," ")) = 1,
   "Full Match",
   IF(
      SUMPRODUCT(--ISNUMBER(SEARCH(_xlfn.TEXTSPLIT(D276," "), G276))) / COUNTA(_xlfn.TEXTSPLIT(D276," ")) &gt; 0.5,
      "Partial Match",
      "No Match"
   )
)</f>
        <v>No Match</v>
      </c>
      <c r="AG276" s="96"/>
      <c r="AH276" s="96"/>
      <c r="AI276" s="96"/>
      <c r="AJ276" s="96"/>
      <c r="AK276" s="96"/>
    </row>
    <row r="277" spans="4:37" ht="12.9" hidden="1">
      <c r="D277" s="118"/>
      <c r="K277" s="120" t="str" cm="1">
        <f t="array" aca="1" ref="K277" ca="1">IF(
   SUMPRODUCT(--ISNUMBER(SEARCH(_xlfn.TEXTSPLIT(D277," "), G277))) / COUNTA(_xlfn.TEXTSPLIT(D277," ")) = 1,
   "Full Match",
   IF(
      SUMPRODUCT(--ISNUMBER(SEARCH(_xlfn.TEXTSPLIT(D277," "), G277))) / COUNTA(_xlfn.TEXTSPLIT(D277," ")) &gt; 0.5,
      "Partial Match",
      "No Match"
   )
)</f>
        <v>No Match</v>
      </c>
      <c r="AG277" s="96"/>
      <c r="AH277" s="96"/>
      <c r="AI277" s="96"/>
      <c r="AJ277" s="96"/>
      <c r="AK277" s="96"/>
    </row>
    <row r="278" spans="4:37" ht="12.9" hidden="1">
      <c r="D278" s="118"/>
      <c r="K278" s="120" t="str" cm="1">
        <f t="array" aca="1" ref="K278" ca="1">IF(
   SUMPRODUCT(--ISNUMBER(SEARCH(_xlfn.TEXTSPLIT(D278," "), G278))) / COUNTA(_xlfn.TEXTSPLIT(D278," ")) = 1,
   "Full Match",
   IF(
      SUMPRODUCT(--ISNUMBER(SEARCH(_xlfn.TEXTSPLIT(D278," "), G278))) / COUNTA(_xlfn.TEXTSPLIT(D278," ")) &gt; 0.5,
      "Partial Match",
      "No Match"
   )
)</f>
        <v>No Match</v>
      </c>
      <c r="AG278" s="96"/>
      <c r="AH278" s="96"/>
      <c r="AI278" s="96"/>
      <c r="AJ278" s="96"/>
      <c r="AK278" s="96"/>
    </row>
    <row r="279" spans="4:37" ht="12.9" hidden="1">
      <c r="D279" s="118"/>
      <c r="K279" s="120" t="str" cm="1">
        <f t="array" aca="1" ref="K279" ca="1">IF(
   SUMPRODUCT(--ISNUMBER(SEARCH(_xlfn.TEXTSPLIT(D279," "), G279))) / COUNTA(_xlfn.TEXTSPLIT(D279," ")) = 1,
   "Full Match",
   IF(
      SUMPRODUCT(--ISNUMBER(SEARCH(_xlfn.TEXTSPLIT(D279," "), G279))) / COUNTA(_xlfn.TEXTSPLIT(D279," ")) &gt; 0.5,
      "Partial Match",
      "No Match"
   )
)</f>
        <v>No Match</v>
      </c>
      <c r="AG279" s="96"/>
      <c r="AH279" s="96"/>
      <c r="AI279" s="96"/>
      <c r="AJ279" s="96"/>
      <c r="AK279" s="96"/>
    </row>
    <row r="280" spans="4:37" ht="12.9" hidden="1">
      <c r="D280" s="118"/>
      <c r="K280" s="120" t="str" cm="1">
        <f t="array" aca="1" ref="K280" ca="1">IF(
   SUMPRODUCT(--ISNUMBER(SEARCH(_xlfn.TEXTSPLIT(D280," "), G280))) / COUNTA(_xlfn.TEXTSPLIT(D280," ")) = 1,
   "Full Match",
   IF(
      SUMPRODUCT(--ISNUMBER(SEARCH(_xlfn.TEXTSPLIT(D280," "), G280))) / COUNTA(_xlfn.TEXTSPLIT(D280," ")) &gt; 0.5,
      "Partial Match",
      "No Match"
   )
)</f>
        <v>No Match</v>
      </c>
      <c r="AG280" s="96"/>
      <c r="AH280" s="96"/>
      <c r="AI280" s="96"/>
      <c r="AJ280" s="96"/>
      <c r="AK280" s="96"/>
    </row>
    <row r="281" spans="4:37" ht="12.9" hidden="1">
      <c r="D281" s="118"/>
      <c r="K281" s="120" t="str" cm="1">
        <f t="array" aca="1" ref="K281" ca="1">IF(
   SUMPRODUCT(--ISNUMBER(SEARCH(_xlfn.TEXTSPLIT(D281," "), G281))) / COUNTA(_xlfn.TEXTSPLIT(D281," ")) = 1,
   "Full Match",
   IF(
      SUMPRODUCT(--ISNUMBER(SEARCH(_xlfn.TEXTSPLIT(D281," "), G281))) / COUNTA(_xlfn.TEXTSPLIT(D281," ")) &gt; 0.5,
      "Partial Match",
      "No Match"
   )
)</f>
        <v>No Match</v>
      </c>
      <c r="AG281" s="96"/>
      <c r="AH281" s="96"/>
      <c r="AI281" s="96"/>
      <c r="AJ281" s="96"/>
      <c r="AK281" s="96"/>
    </row>
    <row r="282" spans="4:37" ht="12.9" hidden="1">
      <c r="D282" s="118"/>
      <c r="K282" s="120" t="str" cm="1">
        <f t="array" aca="1" ref="K282" ca="1">IF(
   SUMPRODUCT(--ISNUMBER(SEARCH(_xlfn.TEXTSPLIT(D282," "), G282))) / COUNTA(_xlfn.TEXTSPLIT(D282," ")) = 1,
   "Full Match",
   IF(
      SUMPRODUCT(--ISNUMBER(SEARCH(_xlfn.TEXTSPLIT(D282," "), G282))) / COUNTA(_xlfn.TEXTSPLIT(D282," ")) &gt; 0.5,
      "Partial Match",
      "No Match"
   )
)</f>
        <v>No Match</v>
      </c>
      <c r="AG282" s="96"/>
      <c r="AH282" s="96"/>
      <c r="AI282" s="96"/>
      <c r="AJ282" s="96"/>
      <c r="AK282" s="96"/>
    </row>
    <row r="283" spans="4:37" ht="12.9" hidden="1">
      <c r="D283" s="118"/>
      <c r="K283" s="120" t="str" cm="1">
        <f t="array" aca="1" ref="K283" ca="1">IF(
   SUMPRODUCT(--ISNUMBER(SEARCH(_xlfn.TEXTSPLIT(D283," "), G283))) / COUNTA(_xlfn.TEXTSPLIT(D283," ")) = 1,
   "Full Match",
   IF(
      SUMPRODUCT(--ISNUMBER(SEARCH(_xlfn.TEXTSPLIT(D283," "), G283))) / COUNTA(_xlfn.TEXTSPLIT(D283," ")) &gt; 0.5,
      "Partial Match",
      "No Match"
   )
)</f>
        <v>No Match</v>
      </c>
      <c r="AG283" s="96"/>
      <c r="AH283" s="96"/>
      <c r="AI283" s="96"/>
      <c r="AJ283" s="96"/>
      <c r="AK283" s="96"/>
    </row>
    <row r="284" spans="4:37" ht="12.9" hidden="1">
      <c r="D284" s="118"/>
      <c r="K284" s="120" t="str" cm="1">
        <f t="array" aca="1" ref="K284" ca="1">IF(
   SUMPRODUCT(--ISNUMBER(SEARCH(_xlfn.TEXTSPLIT(D284," "), G284))) / COUNTA(_xlfn.TEXTSPLIT(D284," ")) = 1,
   "Full Match",
   IF(
      SUMPRODUCT(--ISNUMBER(SEARCH(_xlfn.TEXTSPLIT(D284," "), G284))) / COUNTA(_xlfn.TEXTSPLIT(D284," ")) &gt; 0.5,
      "Partial Match",
      "No Match"
   )
)</f>
        <v>No Match</v>
      </c>
      <c r="AG284" s="96"/>
      <c r="AH284" s="96"/>
      <c r="AI284" s="96"/>
      <c r="AJ284" s="96"/>
      <c r="AK284" s="96"/>
    </row>
    <row r="285" spans="4:37" ht="12.9" hidden="1">
      <c r="D285" s="118"/>
      <c r="K285" s="120" t="str" cm="1">
        <f t="array" aca="1" ref="K285" ca="1">IF(
   SUMPRODUCT(--ISNUMBER(SEARCH(_xlfn.TEXTSPLIT(D285," "), G285))) / COUNTA(_xlfn.TEXTSPLIT(D285," ")) = 1,
   "Full Match",
   IF(
      SUMPRODUCT(--ISNUMBER(SEARCH(_xlfn.TEXTSPLIT(D285," "), G285))) / COUNTA(_xlfn.TEXTSPLIT(D285," ")) &gt; 0.5,
      "Partial Match",
      "No Match"
   )
)</f>
        <v>No Match</v>
      </c>
      <c r="AG285" s="96"/>
      <c r="AH285" s="96"/>
      <c r="AI285" s="96"/>
      <c r="AJ285" s="96"/>
      <c r="AK285" s="96"/>
    </row>
    <row r="286" spans="4:37" ht="12.9" hidden="1">
      <c r="D286" s="118"/>
      <c r="K286" s="120" t="str" cm="1">
        <f t="array" aca="1" ref="K286" ca="1">IF(
   SUMPRODUCT(--ISNUMBER(SEARCH(_xlfn.TEXTSPLIT(D286," "), G286))) / COUNTA(_xlfn.TEXTSPLIT(D286," ")) = 1,
   "Full Match",
   IF(
      SUMPRODUCT(--ISNUMBER(SEARCH(_xlfn.TEXTSPLIT(D286," "), G286))) / COUNTA(_xlfn.TEXTSPLIT(D286," ")) &gt; 0.5,
      "Partial Match",
      "No Match"
   )
)</f>
        <v>No Match</v>
      </c>
      <c r="AG286" s="96"/>
      <c r="AH286" s="96"/>
      <c r="AI286" s="96"/>
      <c r="AJ286" s="96"/>
      <c r="AK286" s="96"/>
    </row>
    <row r="287" spans="4:37" ht="12.9" hidden="1">
      <c r="D287" s="118"/>
      <c r="K287" s="120" t="str" cm="1">
        <f t="array" aca="1" ref="K287" ca="1">IF(
   SUMPRODUCT(--ISNUMBER(SEARCH(_xlfn.TEXTSPLIT(D287," "), G287))) / COUNTA(_xlfn.TEXTSPLIT(D287," ")) = 1,
   "Full Match",
   IF(
      SUMPRODUCT(--ISNUMBER(SEARCH(_xlfn.TEXTSPLIT(D287," "), G287))) / COUNTA(_xlfn.TEXTSPLIT(D287," ")) &gt; 0.5,
      "Partial Match",
      "No Match"
   )
)</f>
        <v>No Match</v>
      </c>
      <c r="AG287" s="96"/>
      <c r="AH287" s="96"/>
      <c r="AI287" s="96"/>
      <c r="AJ287" s="96"/>
      <c r="AK287" s="96"/>
    </row>
    <row r="288" spans="4:37" ht="12.9" hidden="1">
      <c r="D288" s="118"/>
      <c r="K288" s="120" t="str" cm="1">
        <f t="array" aca="1" ref="K288" ca="1">IF(
   SUMPRODUCT(--ISNUMBER(SEARCH(_xlfn.TEXTSPLIT(D288," "), G288))) / COUNTA(_xlfn.TEXTSPLIT(D288," ")) = 1,
   "Full Match",
   IF(
      SUMPRODUCT(--ISNUMBER(SEARCH(_xlfn.TEXTSPLIT(D288," "), G288))) / COUNTA(_xlfn.TEXTSPLIT(D288," ")) &gt; 0.5,
      "Partial Match",
      "No Match"
   )
)</f>
        <v>No Match</v>
      </c>
      <c r="AG288" s="96"/>
      <c r="AH288" s="96"/>
      <c r="AI288" s="96"/>
      <c r="AJ288" s="96"/>
      <c r="AK288" s="96"/>
    </row>
    <row r="289" spans="4:37" ht="12.9" hidden="1">
      <c r="D289" s="118"/>
      <c r="K289" s="120" t="str" cm="1">
        <f t="array" aca="1" ref="K289" ca="1">IF(
   SUMPRODUCT(--ISNUMBER(SEARCH(_xlfn.TEXTSPLIT(D289," "), G289))) / COUNTA(_xlfn.TEXTSPLIT(D289," ")) = 1,
   "Full Match",
   IF(
      SUMPRODUCT(--ISNUMBER(SEARCH(_xlfn.TEXTSPLIT(D289," "), G289))) / COUNTA(_xlfn.TEXTSPLIT(D289," ")) &gt; 0.5,
      "Partial Match",
      "No Match"
   )
)</f>
        <v>No Match</v>
      </c>
      <c r="AG289" s="96"/>
      <c r="AH289" s="96"/>
      <c r="AI289" s="96"/>
      <c r="AJ289" s="96"/>
      <c r="AK289" s="96"/>
    </row>
    <row r="290" spans="4:37" ht="12.9" hidden="1">
      <c r="D290" s="118"/>
      <c r="K290" s="120" t="str" cm="1">
        <f t="array" aca="1" ref="K290" ca="1">IF(
   SUMPRODUCT(--ISNUMBER(SEARCH(_xlfn.TEXTSPLIT(D290," "), G290))) / COUNTA(_xlfn.TEXTSPLIT(D290," ")) = 1,
   "Full Match",
   IF(
      SUMPRODUCT(--ISNUMBER(SEARCH(_xlfn.TEXTSPLIT(D290," "), G290))) / COUNTA(_xlfn.TEXTSPLIT(D290," ")) &gt; 0.5,
      "Partial Match",
      "No Match"
   )
)</f>
        <v>No Match</v>
      </c>
      <c r="AG290" s="96"/>
      <c r="AH290" s="96"/>
      <c r="AI290" s="96"/>
      <c r="AJ290" s="96"/>
      <c r="AK290" s="96"/>
    </row>
    <row r="291" spans="4:37" ht="12.9" hidden="1">
      <c r="D291" s="118"/>
      <c r="K291" s="120" t="str" cm="1">
        <f t="array" aca="1" ref="K291" ca="1">IF(
   SUMPRODUCT(--ISNUMBER(SEARCH(_xlfn.TEXTSPLIT(D291," "), G291))) / COUNTA(_xlfn.TEXTSPLIT(D291," ")) = 1,
   "Full Match",
   IF(
      SUMPRODUCT(--ISNUMBER(SEARCH(_xlfn.TEXTSPLIT(D291," "), G291))) / COUNTA(_xlfn.TEXTSPLIT(D291," ")) &gt; 0.5,
      "Partial Match",
      "No Match"
   )
)</f>
        <v>No Match</v>
      </c>
      <c r="AG291" s="96"/>
      <c r="AH291" s="96"/>
      <c r="AI291" s="96"/>
      <c r="AJ291" s="96"/>
      <c r="AK291" s="96"/>
    </row>
    <row r="292" spans="4:37" ht="12.9" hidden="1">
      <c r="D292" s="118"/>
      <c r="K292" s="120" t="str" cm="1">
        <f t="array" aca="1" ref="K292" ca="1">IF(
   SUMPRODUCT(--ISNUMBER(SEARCH(_xlfn.TEXTSPLIT(D292," "), G292))) / COUNTA(_xlfn.TEXTSPLIT(D292," ")) = 1,
   "Full Match",
   IF(
      SUMPRODUCT(--ISNUMBER(SEARCH(_xlfn.TEXTSPLIT(D292," "), G292))) / COUNTA(_xlfn.TEXTSPLIT(D292," ")) &gt; 0.5,
      "Partial Match",
      "No Match"
   )
)</f>
        <v>No Match</v>
      </c>
      <c r="AG292" s="96"/>
      <c r="AH292" s="96"/>
      <c r="AI292" s="96"/>
      <c r="AJ292" s="96"/>
      <c r="AK292" s="96"/>
    </row>
    <row r="293" spans="4:37" ht="12.9" hidden="1">
      <c r="D293" s="118"/>
      <c r="K293" s="120" t="str" cm="1">
        <f t="array" aca="1" ref="K293" ca="1">IF(
   SUMPRODUCT(--ISNUMBER(SEARCH(_xlfn.TEXTSPLIT(D293," "), G293))) / COUNTA(_xlfn.TEXTSPLIT(D293," ")) = 1,
   "Full Match",
   IF(
      SUMPRODUCT(--ISNUMBER(SEARCH(_xlfn.TEXTSPLIT(D293," "), G293))) / COUNTA(_xlfn.TEXTSPLIT(D293," ")) &gt; 0.5,
      "Partial Match",
      "No Match"
   )
)</f>
        <v>No Match</v>
      </c>
      <c r="AG293" s="96"/>
      <c r="AH293" s="96"/>
      <c r="AI293" s="96"/>
      <c r="AJ293" s="96"/>
      <c r="AK293" s="96"/>
    </row>
    <row r="294" spans="4:37" ht="12.9" hidden="1">
      <c r="D294" s="118"/>
      <c r="K294" s="120" t="str" cm="1">
        <f t="array" aca="1" ref="K294" ca="1">IF(
   SUMPRODUCT(--ISNUMBER(SEARCH(_xlfn.TEXTSPLIT(D294," "), G294))) / COUNTA(_xlfn.TEXTSPLIT(D294," ")) = 1,
   "Full Match",
   IF(
      SUMPRODUCT(--ISNUMBER(SEARCH(_xlfn.TEXTSPLIT(D294," "), G294))) / COUNTA(_xlfn.TEXTSPLIT(D294," ")) &gt; 0.5,
      "Partial Match",
      "No Match"
   )
)</f>
        <v>No Match</v>
      </c>
      <c r="AG294" s="96"/>
      <c r="AH294" s="96"/>
      <c r="AI294" s="96"/>
      <c r="AJ294" s="96"/>
      <c r="AK294" s="96"/>
    </row>
    <row r="295" spans="4:37" ht="12.9" hidden="1">
      <c r="D295" s="118"/>
      <c r="K295" s="120" t="str" cm="1">
        <f t="array" aca="1" ref="K295" ca="1">IF(
   SUMPRODUCT(--ISNUMBER(SEARCH(_xlfn.TEXTSPLIT(D295," "), G295))) / COUNTA(_xlfn.TEXTSPLIT(D295," ")) = 1,
   "Full Match",
   IF(
      SUMPRODUCT(--ISNUMBER(SEARCH(_xlfn.TEXTSPLIT(D295," "), G295))) / COUNTA(_xlfn.TEXTSPLIT(D295," ")) &gt; 0.5,
      "Partial Match",
      "No Match"
   )
)</f>
        <v>No Match</v>
      </c>
      <c r="AG295" s="96"/>
      <c r="AH295" s="96"/>
      <c r="AI295" s="96"/>
      <c r="AJ295" s="96"/>
      <c r="AK295" s="96"/>
    </row>
    <row r="296" spans="4:37" ht="12.9" hidden="1">
      <c r="D296" s="118"/>
      <c r="K296" s="120" t="str" cm="1">
        <f t="array" aca="1" ref="K296" ca="1">IF(
   SUMPRODUCT(--ISNUMBER(SEARCH(_xlfn.TEXTSPLIT(D296," "), G296))) / COUNTA(_xlfn.TEXTSPLIT(D296," ")) = 1,
   "Full Match",
   IF(
      SUMPRODUCT(--ISNUMBER(SEARCH(_xlfn.TEXTSPLIT(D296," "), G296))) / COUNTA(_xlfn.TEXTSPLIT(D296," ")) &gt; 0.5,
      "Partial Match",
      "No Match"
   )
)</f>
        <v>No Match</v>
      </c>
      <c r="AG296" s="96"/>
      <c r="AH296" s="96"/>
      <c r="AI296" s="96"/>
      <c r="AJ296" s="96"/>
      <c r="AK296" s="96"/>
    </row>
    <row r="297" spans="4:37" ht="12.9" hidden="1">
      <c r="D297" s="118"/>
      <c r="K297" s="120" t="str" cm="1">
        <f t="array" aca="1" ref="K297" ca="1">IF(
   SUMPRODUCT(--ISNUMBER(SEARCH(_xlfn.TEXTSPLIT(D297," "), G297))) / COUNTA(_xlfn.TEXTSPLIT(D297," ")) = 1,
   "Full Match",
   IF(
      SUMPRODUCT(--ISNUMBER(SEARCH(_xlfn.TEXTSPLIT(D297," "), G297))) / COUNTA(_xlfn.TEXTSPLIT(D297," ")) &gt; 0.5,
      "Partial Match",
      "No Match"
   )
)</f>
        <v>No Match</v>
      </c>
      <c r="AG297" s="96"/>
      <c r="AH297" s="96"/>
      <c r="AI297" s="96"/>
      <c r="AJ297" s="96"/>
      <c r="AK297" s="96"/>
    </row>
    <row r="298" spans="4:37" ht="12.9" hidden="1">
      <c r="D298" s="118"/>
      <c r="K298" s="120" t="str" cm="1">
        <f t="array" aca="1" ref="K298" ca="1">IF(
   SUMPRODUCT(--ISNUMBER(SEARCH(_xlfn.TEXTSPLIT(D298," "), G298))) / COUNTA(_xlfn.TEXTSPLIT(D298," ")) = 1,
   "Full Match",
   IF(
      SUMPRODUCT(--ISNUMBER(SEARCH(_xlfn.TEXTSPLIT(D298," "), G298))) / COUNTA(_xlfn.TEXTSPLIT(D298," ")) &gt; 0.5,
      "Partial Match",
      "No Match"
   )
)</f>
        <v>No Match</v>
      </c>
      <c r="AG298" s="96"/>
      <c r="AH298" s="96"/>
      <c r="AI298" s="96"/>
      <c r="AJ298" s="96"/>
      <c r="AK298" s="96"/>
    </row>
    <row r="299" spans="4:37" ht="12.9" hidden="1">
      <c r="D299" s="118"/>
      <c r="K299" s="120" t="str" cm="1">
        <f t="array" aca="1" ref="K299" ca="1">IF(
   SUMPRODUCT(--ISNUMBER(SEARCH(_xlfn.TEXTSPLIT(D299," "), G299))) / COUNTA(_xlfn.TEXTSPLIT(D299," ")) = 1,
   "Full Match",
   IF(
      SUMPRODUCT(--ISNUMBER(SEARCH(_xlfn.TEXTSPLIT(D299," "), G299))) / COUNTA(_xlfn.TEXTSPLIT(D299," ")) &gt; 0.5,
      "Partial Match",
      "No Match"
   )
)</f>
        <v>No Match</v>
      </c>
      <c r="AG299" s="96"/>
      <c r="AH299" s="96"/>
      <c r="AI299" s="96"/>
      <c r="AJ299" s="96"/>
      <c r="AK299" s="96"/>
    </row>
    <row r="300" spans="4:37" ht="12.9" hidden="1">
      <c r="D300" s="118"/>
      <c r="K300" s="120" t="str" cm="1">
        <f t="array" aca="1" ref="K300" ca="1">IF(
   SUMPRODUCT(--ISNUMBER(SEARCH(_xlfn.TEXTSPLIT(D300," "), G300))) / COUNTA(_xlfn.TEXTSPLIT(D300," ")) = 1,
   "Full Match",
   IF(
      SUMPRODUCT(--ISNUMBER(SEARCH(_xlfn.TEXTSPLIT(D300," "), G300))) / COUNTA(_xlfn.TEXTSPLIT(D300," ")) &gt; 0.5,
      "Partial Match",
      "No Match"
   )
)</f>
        <v>No Match</v>
      </c>
      <c r="AG300" s="96"/>
      <c r="AH300" s="96"/>
      <c r="AI300" s="96"/>
      <c r="AJ300" s="96"/>
      <c r="AK300" s="96"/>
    </row>
    <row r="301" spans="4:37" ht="12.9" hidden="1">
      <c r="D301" s="118"/>
      <c r="K301" s="120" t="str" cm="1">
        <f t="array" aca="1" ref="K301" ca="1">IF(
   SUMPRODUCT(--ISNUMBER(SEARCH(_xlfn.TEXTSPLIT(D301," "), G301))) / COUNTA(_xlfn.TEXTSPLIT(D301," ")) = 1,
   "Full Match",
   IF(
      SUMPRODUCT(--ISNUMBER(SEARCH(_xlfn.TEXTSPLIT(D301," "), G301))) / COUNTA(_xlfn.TEXTSPLIT(D301," ")) &gt; 0.5,
      "Partial Match",
      "No Match"
   )
)</f>
        <v>No Match</v>
      </c>
      <c r="AG301" s="96"/>
      <c r="AH301" s="96"/>
      <c r="AI301" s="96"/>
      <c r="AJ301" s="96"/>
      <c r="AK301" s="96"/>
    </row>
    <row r="302" spans="4:37" ht="12.9" hidden="1">
      <c r="D302" s="118"/>
      <c r="K302" s="120" t="str" cm="1">
        <f t="array" aca="1" ref="K302" ca="1">IF(
   SUMPRODUCT(--ISNUMBER(SEARCH(_xlfn.TEXTSPLIT(D302," "), G302))) / COUNTA(_xlfn.TEXTSPLIT(D302," ")) = 1,
   "Full Match",
   IF(
      SUMPRODUCT(--ISNUMBER(SEARCH(_xlfn.TEXTSPLIT(D302," "), G302))) / COUNTA(_xlfn.TEXTSPLIT(D302," ")) &gt; 0.5,
      "Partial Match",
      "No Match"
   )
)</f>
        <v>No Match</v>
      </c>
      <c r="AG302" s="96"/>
      <c r="AH302" s="96"/>
      <c r="AI302" s="96"/>
      <c r="AJ302" s="96"/>
      <c r="AK302" s="96"/>
    </row>
    <row r="303" spans="4:37" ht="12.9" hidden="1">
      <c r="D303" s="118"/>
      <c r="K303" s="120" t="str" cm="1">
        <f t="array" aca="1" ref="K303" ca="1">IF(
   SUMPRODUCT(--ISNUMBER(SEARCH(_xlfn.TEXTSPLIT(D303," "), G303))) / COUNTA(_xlfn.TEXTSPLIT(D303," ")) = 1,
   "Full Match",
   IF(
      SUMPRODUCT(--ISNUMBER(SEARCH(_xlfn.TEXTSPLIT(D303," "), G303))) / COUNTA(_xlfn.TEXTSPLIT(D303," ")) &gt; 0.5,
      "Partial Match",
      "No Match"
   )
)</f>
        <v>No Match</v>
      </c>
      <c r="AG303" s="96"/>
      <c r="AH303" s="96"/>
      <c r="AI303" s="96"/>
      <c r="AJ303" s="96"/>
      <c r="AK303" s="96"/>
    </row>
    <row r="304" spans="4:37" ht="12.9" hidden="1">
      <c r="D304" s="118"/>
      <c r="K304" s="120" t="str" cm="1">
        <f t="array" aca="1" ref="K304" ca="1">IF(
   SUMPRODUCT(--ISNUMBER(SEARCH(_xlfn.TEXTSPLIT(D304," "), G304))) / COUNTA(_xlfn.TEXTSPLIT(D304," ")) = 1,
   "Full Match",
   IF(
      SUMPRODUCT(--ISNUMBER(SEARCH(_xlfn.TEXTSPLIT(D304," "), G304))) / COUNTA(_xlfn.TEXTSPLIT(D304," ")) &gt; 0.5,
      "Partial Match",
      "No Match"
   )
)</f>
        <v>No Match</v>
      </c>
      <c r="AG304" s="96"/>
      <c r="AH304" s="96"/>
      <c r="AI304" s="96"/>
      <c r="AJ304" s="96"/>
      <c r="AK304" s="96"/>
    </row>
    <row r="305" spans="4:37" ht="12.9" hidden="1">
      <c r="D305" s="118"/>
      <c r="K305" s="120" t="str" cm="1">
        <f t="array" aca="1" ref="K305" ca="1">IF(
   SUMPRODUCT(--ISNUMBER(SEARCH(_xlfn.TEXTSPLIT(D305," "), G305))) / COUNTA(_xlfn.TEXTSPLIT(D305," ")) = 1,
   "Full Match",
   IF(
      SUMPRODUCT(--ISNUMBER(SEARCH(_xlfn.TEXTSPLIT(D305," "), G305))) / COUNTA(_xlfn.TEXTSPLIT(D305," ")) &gt; 0.5,
      "Partial Match",
      "No Match"
   )
)</f>
        <v>No Match</v>
      </c>
      <c r="AG305" s="96"/>
      <c r="AH305" s="96"/>
      <c r="AI305" s="96"/>
      <c r="AJ305" s="96"/>
      <c r="AK305" s="96"/>
    </row>
    <row r="306" spans="4:37" ht="12.9" hidden="1">
      <c r="D306" s="118"/>
      <c r="K306" s="120" t="str" cm="1">
        <f t="array" aca="1" ref="K306" ca="1">IF(
   SUMPRODUCT(--ISNUMBER(SEARCH(_xlfn.TEXTSPLIT(D306," "), G306))) / COUNTA(_xlfn.TEXTSPLIT(D306," ")) = 1,
   "Full Match",
   IF(
      SUMPRODUCT(--ISNUMBER(SEARCH(_xlfn.TEXTSPLIT(D306," "), G306))) / COUNTA(_xlfn.TEXTSPLIT(D306," ")) &gt; 0.5,
      "Partial Match",
      "No Match"
   )
)</f>
        <v>No Match</v>
      </c>
      <c r="AG306" s="96"/>
      <c r="AH306" s="96"/>
      <c r="AI306" s="96"/>
      <c r="AJ306" s="96"/>
      <c r="AK306" s="96"/>
    </row>
    <row r="307" spans="4:37" ht="12.9" hidden="1">
      <c r="D307" s="118"/>
      <c r="K307" s="120" t="str" cm="1">
        <f t="array" aca="1" ref="K307" ca="1">IF(
   SUMPRODUCT(--ISNUMBER(SEARCH(_xlfn.TEXTSPLIT(D307," "), G307))) / COUNTA(_xlfn.TEXTSPLIT(D307," ")) = 1,
   "Full Match",
   IF(
      SUMPRODUCT(--ISNUMBER(SEARCH(_xlfn.TEXTSPLIT(D307," "), G307))) / COUNTA(_xlfn.TEXTSPLIT(D307," ")) &gt; 0.5,
      "Partial Match",
      "No Match"
   )
)</f>
        <v>No Match</v>
      </c>
      <c r="AG307" s="96"/>
      <c r="AH307" s="96"/>
      <c r="AI307" s="96"/>
      <c r="AJ307" s="96"/>
      <c r="AK307" s="96"/>
    </row>
    <row r="308" spans="4:37" ht="12.9" hidden="1">
      <c r="D308" s="118"/>
      <c r="K308" s="120" t="str" cm="1">
        <f t="array" aca="1" ref="K308" ca="1">IF(
   SUMPRODUCT(--ISNUMBER(SEARCH(_xlfn.TEXTSPLIT(D308," "), G308))) / COUNTA(_xlfn.TEXTSPLIT(D308," ")) = 1,
   "Full Match",
   IF(
      SUMPRODUCT(--ISNUMBER(SEARCH(_xlfn.TEXTSPLIT(D308," "), G308))) / COUNTA(_xlfn.TEXTSPLIT(D308," ")) &gt; 0.5,
      "Partial Match",
      "No Match"
   )
)</f>
        <v>No Match</v>
      </c>
      <c r="AG308" s="96"/>
      <c r="AH308" s="96"/>
      <c r="AI308" s="96"/>
      <c r="AJ308" s="96"/>
      <c r="AK308" s="96"/>
    </row>
    <row r="309" spans="4:37" ht="12.9" hidden="1">
      <c r="D309" s="118"/>
      <c r="K309" s="120" t="str" cm="1">
        <f t="array" aca="1" ref="K309" ca="1">IF(
   SUMPRODUCT(--ISNUMBER(SEARCH(_xlfn.TEXTSPLIT(D309," "), G309))) / COUNTA(_xlfn.TEXTSPLIT(D309," ")) = 1,
   "Full Match",
   IF(
      SUMPRODUCT(--ISNUMBER(SEARCH(_xlfn.TEXTSPLIT(D309," "), G309))) / COUNTA(_xlfn.TEXTSPLIT(D309," ")) &gt; 0.5,
      "Partial Match",
      "No Match"
   )
)</f>
        <v>No Match</v>
      </c>
      <c r="AG309" s="96"/>
      <c r="AH309" s="96"/>
      <c r="AI309" s="96"/>
      <c r="AJ309" s="96"/>
      <c r="AK309" s="96"/>
    </row>
    <row r="310" spans="4:37" ht="12.9" hidden="1">
      <c r="D310" s="118"/>
      <c r="K310" s="120" t="str" cm="1">
        <f t="array" aca="1" ref="K310" ca="1">IF(
   SUMPRODUCT(--ISNUMBER(SEARCH(_xlfn.TEXTSPLIT(D310," "), G310))) / COUNTA(_xlfn.TEXTSPLIT(D310," ")) = 1,
   "Full Match",
   IF(
      SUMPRODUCT(--ISNUMBER(SEARCH(_xlfn.TEXTSPLIT(D310," "), G310))) / COUNTA(_xlfn.TEXTSPLIT(D310," ")) &gt; 0.5,
      "Partial Match",
      "No Match"
   )
)</f>
        <v>No Match</v>
      </c>
      <c r="AG310" s="96"/>
      <c r="AH310" s="96"/>
      <c r="AI310" s="96"/>
      <c r="AJ310" s="96"/>
      <c r="AK310" s="96"/>
    </row>
    <row r="311" spans="4:37" ht="12.9" hidden="1">
      <c r="D311" s="118"/>
      <c r="K311" s="120" t="str" cm="1">
        <f t="array" aca="1" ref="K311" ca="1">IF(
   SUMPRODUCT(--ISNUMBER(SEARCH(_xlfn.TEXTSPLIT(D311," "), G311))) / COUNTA(_xlfn.TEXTSPLIT(D311," ")) = 1,
   "Full Match",
   IF(
      SUMPRODUCT(--ISNUMBER(SEARCH(_xlfn.TEXTSPLIT(D311," "), G311))) / COUNTA(_xlfn.TEXTSPLIT(D311," ")) &gt; 0.5,
      "Partial Match",
      "No Match"
   )
)</f>
        <v>No Match</v>
      </c>
      <c r="AG311" s="96"/>
      <c r="AH311" s="96"/>
      <c r="AI311" s="96"/>
      <c r="AJ311" s="96"/>
      <c r="AK311" s="96"/>
    </row>
    <row r="312" spans="4:37" ht="12.9" hidden="1">
      <c r="D312" s="118"/>
      <c r="K312" s="120" t="str" cm="1">
        <f t="array" aca="1" ref="K312" ca="1">IF(
   SUMPRODUCT(--ISNUMBER(SEARCH(_xlfn.TEXTSPLIT(D312," "), G312))) / COUNTA(_xlfn.TEXTSPLIT(D312," ")) = 1,
   "Full Match",
   IF(
      SUMPRODUCT(--ISNUMBER(SEARCH(_xlfn.TEXTSPLIT(D312," "), G312))) / COUNTA(_xlfn.TEXTSPLIT(D312," ")) &gt; 0.5,
      "Partial Match",
      "No Match"
   )
)</f>
        <v>No Match</v>
      </c>
      <c r="AG312" s="96"/>
      <c r="AH312" s="96"/>
      <c r="AI312" s="96"/>
      <c r="AJ312" s="96"/>
      <c r="AK312" s="96"/>
    </row>
    <row r="313" spans="4:37" ht="12.9" hidden="1">
      <c r="D313" s="118"/>
      <c r="K313" s="120" t="str" cm="1">
        <f t="array" aca="1" ref="K313" ca="1">IF(
   SUMPRODUCT(--ISNUMBER(SEARCH(_xlfn.TEXTSPLIT(D313," "), G313))) / COUNTA(_xlfn.TEXTSPLIT(D313," ")) = 1,
   "Full Match",
   IF(
      SUMPRODUCT(--ISNUMBER(SEARCH(_xlfn.TEXTSPLIT(D313," "), G313))) / COUNTA(_xlfn.TEXTSPLIT(D313," ")) &gt; 0.5,
      "Partial Match",
      "No Match"
   )
)</f>
        <v>No Match</v>
      </c>
      <c r="AG313" s="96"/>
      <c r="AH313" s="96"/>
      <c r="AI313" s="96"/>
      <c r="AJ313" s="96"/>
      <c r="AK313" s="96"/>
    </row>
    <row r="314" spans="4:37" ht="12.9" hidden="1">
      <c r="D314" s="118"/>
      <c r="K314" s="120" t="str" cm="1">
        <f t="array" aca="1" ref="K314" ca="1">IF(
   SUMPRODUCT(--ISNUMBER(SEARCH(_xlfn.TEXTSPLIT(D314," "), G314))) / COUNTA(_xlfn.TEXTSPLIT(D314," ")) = 1,
   "Full Match",
   IF(
      SUMPRODUCT(--ISNUMBER(SEARCH(_xlfn.TEXTSPLIT(D314," "), G314))) / COUNTA(_xlfn.TEXTSPLIT(D314," ")) &gt; 0.5,
      "Partial Match",
      "No Match"
   )
)</f>
        <v>No Match</v>
      </c>
      <c r="AG314" s="96"/>
      <c r="AH314" s="96"/>
      <c r="AI314" s="96"/>
      <c r="AJ314" s="96"/>
      <c r="AK314" s="96"/>
    </row>
    <row r="315" spans="4:37" ht="12.9" hidden="1">
      <c r="D315" s="118"/>
      <c r="K315" s="120" t="str" cm="1">
        <f t="array" aca="1" ref="K315" ca="1">IF(
   SUMPRODUCT(--ISNUMBER(SEARCH(_xlfn.TEXTSPLIT(D315," "), G315))) / COUNTA(_xlfn.TEXTSPLIT(D315," ")) = 1,
   "Full Match",
   IF(
      SUMPRODUCT(--ISNUMBER(SEARCH(_xlfn.TEXTSPLIT(D315," "), G315))) / COUNTA(_xlfn.TEXTSPLIT(D315," ")) &gt; 0.5,
      "Partial Match",
      "No Match"
   )
)</f>
        <v>No Match</v>
      </c>
      <c r="AG315" s="96"/>
      <c r="AH315" s="96"/>
      <c r="AI315" s="96"/>
      <c r="AJ315" s="96"/>
      <c r="AK315" s="96"/>
    </row>
    <row r="316" spans="4:37" ht="12.9" hidden="1">
      <c r="D316" s="118"/>
      <c r="K316" s="120" t="str" cm="1">
        <f t="array" aca="1" ref="K316" ca="1">IF(
   SUMPRODUCT(--ISNUMBER(SEARCH(_xlfn.TEXTSPLIT(D316," "), G316))) / COUNTA(_xlfn.TEXTSPLIT(D316," ")) = 1,
   "Full Match",
   IF(
      SUMPRODUCT(--ISNUMBER(SEARCH(_xlfn.TEXTSPLIT(D316," "), G316))) / COUNTA(_xlfn.TEXTSPLIT(D316," ")) &gt; 0.5,
      "Partial Match",
      "No Match"
   )
)</f>
        <v>No Match</v>
      </c>
      <c r="AG316" s="96"/>
      <c r="AH316" s="96"/>
      <c r="AI316" s="96"/>
      <c r="AJ316" s="96"/>
      <c r="AK316" s="96"/>
    </row>
    <row r="317" spans="4:37" ht="12.9" hidden="1">
      <c r="D317" s="118"/>
      <c r="K317" s="120" t="str" cm="1">
        <f t="array" aca="1" ref="K317" ca="1">IF(
   SUMPRODUCT(--ISNUMBER(SEARCH(_xlfn.TEXTSPLIT(D317," "), G317))) / COUNTA(_xlfn.TEXTSPLIT(D317," ")) = 1,
   "Full Match",
   IF(
      SUMPRODUCT(--ISNUMBER(SEARCH(_xlfn.TEXTSPLIT(D317," "), G317))) / COUNTA(_xlfn.TEXTSPLIT(D317," ")) &gt; 0.5,
      "Partial Match",
      "No Match"
   )
)</f>
        <v>No Match</v>
      </c>
      <c r="AG317" s="96"/>
      <c r="AH317" s="96"/>
      <c r="AI317" s="96"/>
      <c r="AJ317" s="96"/>
      <c r="AK317" s="96"/>
    </row>
    <row r="318" spans="4:37" ht="12.9" hidden="1">
      <c r="D318" s="118"/>
      <c r="K318" s="120" t="str" cm="1">
        <f t="array" aca="1" ref="K318" ca="1">IF(
   SUMPRODUCT(--ISNUMBER(SEARCH(_xlfn.TEXTSPLIT(D318," "), G318))) / COUNTA(_xlfn.TEXTSPLIT(D318," ")) = 1,
   "Full Match",
   IF(
      SUMPRODUCT(--ISNUMBER(SEARCH(_xlfn.TEXTSPLIT(D318," "), G318))) / COUNTA(_xlfn.TEXTSPLIT(D318," ")) &gt; 0.5,
      "Partial Match",
      "No Match"
   )
)</f>
        <v>No Match</v>
      </c>
      <c r="AG318" s="96"/>
      <c r="AH318" s="96"/>
      <c r="AI318" s="96"/>
      <c r="AJ318" s="96"/>
      <c r="AK318" s="96"/>
    </row>
    <row r="319" spans="4:37" ht="12.9" hidden="1">
      <c r="D319" s="118"/>
      <c r="K319" s="120" t="str" cm="1">
        <f t="array" aca="1" ref="K319" ca="1">IF(
   SUMPRODUCT(--ISNUMBER(SEARCH(_xlfn.TEXTSPLIT(D319," "), G319))) / COUNTA(_xlfn.TEXTSPLIT(D319," ")) = 1,
   "Full Match",
   IF(
      SUMPRODUCT(--ISNUMBER(SEARCH(_xlfn.TEXTSPLIT(D319," "), G319))) / COUNTA(_xlfn.TEXTSPLIT(D319," ")) &gt; 0.5,
      "Partial Match",
      "No Match"
   )
)</f>
        <v>No Match</v>
      </c>
      <c r="AG319" s="96"/>
      <c r="AH319" s="96"/>
      <c r="AI319" s="96"/>
      <c r="AJ319" s="96"/>
      <c r="AK319" s="96"/>
    </row>
    <row r="320" spans="4:37" ht="12.9" hidden="1">
      <c r="D320" s="118"/>
      <c r="K320" s="120" t="str" cm="1">
        <f t="array" aca="1" ref="K320" ca="1">IF(
   SUMPRODUCT(--ISNUMBER(SEARCH(_xlfn.TEXTSPLIT(D320," "), G320))) / COUNTA(_xlfn.TEXTSPLIT(D320," ")) = 1,
   "Full Match",
   IF(
      SUMPRODUCT(--ISNUMBER(SEARCH(_xlfn.TEXTSPLIT(D320," "), G320))) / COUNTA(_xlfn.TEXTSPLIT(D320," ")) &gt; 0.5,
      "Partial Match",
      "No Match"
   )
)</f>
        <v>No Match</v>
      </c>
      <c r="AG320" s="96"/>
      <c r="AH320" s="96"/>
      <c r="AI320" s="96"/>
      <c r="AJ320" s="96"/>
      <c r="AK320" s="96"/>
    </row>
    <row r="321" spans="4:37" ht="12.9" hidden="1">
      <c r="D321" s="118"/>
      <c r="K321" s="120" t="str" cm="1">
        <f t="array" aca="1" ref="K321" ca="1">IF(
   SUMPRODUCT(--ISNUMBER(SEARCH(_xlfn.TEXTSPLIT(D321," "), G321))) / COUNTA(_xlfn.TEXTSPLIT(D321," ")) = 1,
   "Full Match",
   IF(
      SUMPRODUCT(--ISNUMBER(SEARCH(_xlfn.TEXTSPLIT(D321," "), G321))) / COUNTA(_xlfn.TEXTSPLIT(D321," ")) &gt; 0.5,
      "Partial Match",
      "No Match"
   )
)</f>
        <v>No Match</v>
      </c>
      <c r="AG321" s="96"/>
      <c r="AH321" s="96"/>
      <c r="AI321" s="96"/>
      <c r="AJ321" s="96"/>
      <c r="AK321" s="96"/>
    </row>
    <row r="322" spans="4:37" ht="12.9" hidden="1">
      <c r="D322" s="118"/>
      <c r="K322" s="120" t="str" cm="1">
        <f t="array" aca="1" ref="K322" ca="1">IF(
   SUMPRODUCT(--ISNUMBER(SEARCH(_xlfn.TEXTSPLIT(D322," "), G322))) / COUNTA(_xlfn.TEXTSPLIT(D322," ")) = 1,
   "Full Match",
   IF(
      SUMPRODUCT(--ISNUMBER(SEARCH(_xlfn.TEXTSPLIT(D322," "), G322))) / COUNTA(_xlfn.TEXTSPLIT(D322," ")) &gt; 0.5,
      "Partial Match",
      "No Match"
   )
)</f>
        <v>No Match</v>
      </c>
      <c r="AG322" s="96"/>
      <c r="AH322" s="96"/>
      <c r="AI322" s="96"/>
      <c r="AJ322" s="96"/>
      <c r="AK322" s="96"/>
    </row>
    <row r="323" spans="4:37" ht="12.9" hidden="1">
      <c r="D323" s="118"/>
      <c r="K323" s="120" t="str" cm="1">
        <f t="array" aca="1" ref="K323" ca="1">IF(
   SUMPRODUCT(--ISNUMBER(SEARCH(_xlfn.TEXTSPLIT(D323," "), G323))) / COUNTA(_xlfn.TEXTSPLIT(D323," ")) = 1,
   "Full Match",
   IF(
      SUMPRODUCT(--ISNUMBER(SEARCH(_xlfn.TEXTSPLIT(D323," "), G323))) / COUNTA(_xlfn.TEXTSPLIT(D323," ")) &gt; 0.5,
      "Partial Match",
      "No Match"
   )
)</f>
        <v>No Match</v>
      </c>
      <c r="AG323" s="96"/>
      <c r="AH323" s="96"/>
      <c r="AI323" s="96"/>
      <c r="AJ323" s="96"/>
      <c r="AK323" s="96"/>
    </row>
    <row r="324" spans="4:37" ht="12.9" hidden="1">
      <c r="D324" s="118"/>
      <c r="K324" s="120" t="str" cm="1">
        <f t="array" aca="1" ref="K324" ca="1">IF(
   SUMPRODUCT(--ISNUMBER(SEARCH(_xlfn.TEXTSPLIT(D324," "), G324))) / COUNTA(_xlfn.TEXTSPLIT(D324," ")) = 1,
   "Full Match",
   IF(
      SUMPRODUCT(--ISNUMBER(SEARCH(_xlfn.TEXTSPLIT(D324," "), G324))) / COUNTA(_xlfn.TEXTSPLIT(D324," ")) &gt; 0.5,
      "Partial Match",
      "No Match"
   )
)</f>
        <v>No Match</v>
      </c>
      <c r="AG324" s="96"/>
      <c r="AH324" s="96"/>
      <c r="AI324" s="96"/>
      <c r="AJ324" s="96"/>
      <c r="AK324" s="96"/>
    </row>
    <row r="325" spans="4:37" ht="12.9" hidden="1">
      <c r="D325" s="118"/>
      <c r="K325" s="120" t="str" cm="1">
        <f t="array" aca="1" ref="K325" ca="1">IF(
   SUMPRODUCT(--ISNUMBER(SEARCH(_xlfn.TEXTSPLIT(D325," "), G325))) / COUNTA(_xlfn.TEXTSPLIT(D325," ")) = 1,
   "Full Match",
   IF(
      SUMPRODUCT(--ISNUMBER(SEARCH(_xlfn.TEXTSPLIT(D325," "), G325))) / COUNTA(_xlfn.TEXTSPLIT(D325," ")) &gt; 0.5,
      "Partial Match",
      "No Match"
   )
)</f>
        <v>No Match</v>
      </c>
      <c r="AG325" s="96"/>
      <c r="AH325" s="96"/>
      <c r="AI325" s="96"/>
      <c r="AJ325" s="96"/>
      <c r="AK325" s="96"/>
    </row>
    <row r="326" spans="4:37" ht="12.9" hidden="1">
      <c r="D326" s="118"/>
      <c r="K326" s="120" t="str" cm="1">
        <f t="array" aca="1" ref="K326" ca="1">IF(
   SUMPRODUCT(--ISNUMBER(SEARCH(_xlfn.TEXTSPLIT(D326," "), G326))) / COUNTA(_xlfn.TEXTSPLIT(D326," ")) = 1,
   "Full Match",
   IF(
      SUMPRODUCT(--ISNUMBER(SEARCH(_xlfn.TEXTSPLIT(D326," "), G326))) / COUNTA(_xlfn.TEXTSPLIT(D326," ")) &gt; 0.5,
      "Partial Match",
      "No Match"
   )
)</f>
        <v>No Match</v>
      </c>
      <c r="AG326" s="96"/>
      <c r="AH326" s="96"/>
      <c r="AI326" s="96"/>
      <c r="AJ326" s="96"/>
      <c r="AK326" s="96"/>
    </row>
    <row r="327" spans="4:37" ht="12.9" hidden="1">
      <c r="D327" s="118"/>
      <c r="K327" s="120" t="str" cm="1">
        <f t="array" aca="1" ref="K327" ca="1">IF(
   SUMPRODUCT(--ISNUMBER(SEARCH(_xlfn.TEXTSPLIT(D327," "), G327))) / COUNTA(_xlfn.TEXTSPLIT(D327," ")) = 1,
   "Full Match",
   IF(
      SUMPRODUCT(--ISNUMBER(SEARCH(_xlfn.TEXTSPLIT(D327," "), G327))) / COUNTA(_xlfn.TEXTSPLIT(D327," ")) &gt; 0.5,
      "Partial Match",
      "No Match"
   )
)</f>
        <v>No Match</v>
      </c>
      <c r="AG327" s="96"/>
      <c r="AH327" s="96"/>
      <c r="AI327" s="96"/>
      <c r="AJ327" s="96"/>
      <c r="AK327" s="96"/>
    </row>
    <row r="328" spans="4:37" ht="12.9" hidden="1">
      <c r="D328" s="118"/>
      <c r="K328" s="120" t="str" cm="1">
        <f t="array" aca="1" ref="K328" ca="1">IF(
   SUMPRODUCT(--ISNUMBER(SEARCH(_xlfn.TEXTSPLIT(D328," "), G328))) / COUNTA(_xlfn.TEXTSPLIT(D328," ")) = 1,
   "Full Match",
   IF(
      SUMPRODUCT(--ISNUMBER(SEARCH(_xlfn.TEXTSPLIT(D328," "), G328))) / COUNTA(_xlfn.TEXTSPLIT(D328," ")) &gt; 0.5,
      "Partial Match",
      "No Match"
   )
)</f>
        <v>No Match</v>
      </c>
      <c r="AG328" s="96"/>
      <c r="AH328" s="96"/>
      <c r="AI328" s="96"/>
      <c r="AJ328" s="96"/>
      <c r="AK328" s="96"/>
    </row>
    <row r="329" spans="4:37" ht="12.9" hidden="1">
      <c r="D329" s="118"/>
      <c r="K329" s="120" t="str" cm="1">
        <f t="array" aca="1" ref="K329" ca="1">IF(
   SUMPRODUCT(--ISNUMBER(SEARCH(_xlfn.TEXTSPLIT(D329," "), G329))) / COUNTA(_xlfn.TEXTSPLIT(D329," ")) = 1,
   "Full Match",
   IF(
      SUMPRODUCT(--ISNUMBER(SEARCH(_xlfn.TEXTSPLIT(D329," "), G329))) / COUNTA(_xlfn.TEXTSPLIT(D329," ")) &gt; 0.5,
      "Partial Match",
      "No Match"
   )
)</f>
        <v>No Match</v>
      </c>
      <c r="AG329" s="96"/>
      <c r="AH329" s="96"/>
      <c r="AI329" s="96"/>
      <c r="AJ329" s="96"/>
      <c r="AK329" s="96"/>
    </row>
    <row r="330" spans="4:37" ht="12.9" hidden="1">
      <c r="D330" s="118"/>
      <c r="K330" s="120" t="str" cm="1">
        <f t="array" aca="1" ref="K330" ca="1">IF(
   SUMPRODUCT(--ISNUMBER(SEARCH(_xlfn.TEXTSPLIT(D330," "), G330))) / COUNTA(_xlfn.TEXTSPLIT(D330," ")) = 1,
   "Full Match",
   IF(
      SUMPRODUCT(--ISNUMBER(SEARCH(_xlfn.TEXTSPLIT(D330," "), G330))) / COUNTA(_xlfn.TEXTSPLIT(D330," ")) &gt; 0.5,
      "Partial Match",
      "No Match"
   )
)</f>
        <v>No Match</v>
      </c>
      <c r="AG330" s="96"/>
      <c r="AH330" s="96"/>
      <c r="AI330" s="96"/>
      <c r="AJ330" s="96"/>
      <c r="AK330" s="96"/>
    </row>
    <row r="331" spans="4:37" ht="12.9" hidden="1">
      <c r="D331" s="118"/>
      <c r="K331" s="120" t="str" cm="1">
        <f t="array" aca="1" ref="K331" ca="1">IF(
   SUMPRODUCT(--ISNUMBER(SEARCH(_xlfn.TEXTSPLIT(D331," "), G331))) / COUNTA(_xlfn.TEXTSPLIT(D331," ")) = 1,
   "Full Match",
   IF(
      SUMPRODUCT(--ISNUMBER(SEARCH(_xlfn.TEXTSPLIT(D331," "), G331))) / COUNTA(_xlfn.TEXTSPLIT(D331," ")) &gt; 0.5,
      "Partial Match",
      "No Match"
   )
)</f>
        <v>No Match</v>
      </c>
      <c r="AG331" s="96"/>
      <c r="AH331" s="96"/>
      <c r="AI331" s="96"/>
      <c r="AJ331" s="96"/>
      <c r="AK331" s="96"/>
    </row>
    <row r="332" spans="4:37" ht="12.9" hidden="1">
      <c r="D332" s="118"/>
      <c r="K332" s="120" t="str" cm="1">
        <f t="array" aca="1" ref="K332" ca="1">IF(
   SUMPRODUCT(--ISNUMBER(SEARCH(_xlfn.TEXTSPLIT(D332," "), G332))) / COUNTA(_xlfn.TEXTSPLIT(D332," ")) = 1,
   "Full Match",
   IF(
      SUMPRODUCT(--ISNUMBER(SEARCH(_xlfn.TEXTSPLIT(D332," "), G332))) / COUNTA(_xlfn.TEXTSPLIT(D332," ")) &gt; 0.5,
      "Partial Match",
      "No Match"
   )
)</f>
        <v>No Match</v>
      </c>
      <c r="AG332" s="96"/>
      <c r="AH332" s="96"/>
      <c r="AI332" s="96"/>
      <c r="AJ332" s="96"/>
      <c r="AK332" s="96"/>
    </row>
    <row r="333" spans="4:37" ht="12.9" hidden="1">
      <c r="D333" s="118"/>
      <c r="K333" s="120" t="str" cm="1">
        <f t="array" aca="1" ref="K333" ca="1">IF(
   SUMPRODUCT(--ISNUMBER(SEARCH(_xlfn.TEXTSPLIT(D333," "), G333))) / COUNTA(_xlfn.TEXTSPLIT(D333," ")) = 1,
   "Full Match",
   IF(
      SUMPRODUCT(--ISNUMBER(SEARCH(_xlfn.TEXTSPLIT(D333," "), G333))) / COUNTA(_xlfn.TEXTSPLIT(D333," ")) &gt; 0.5,
      "Partial Match",
      "No Match"
   )
)</f>
        <v>No Match</v>
      </c>
      <c r="AG333" s="96"/>
      <c r="AH333" s="96"/>
      <c r="AI333" s="96"/>
      <c r="AJ333" s="96"/>
      <c r="AK333" s="96"/>
    </row>
    <row r="334" spans="4:37" ht="12.9" hidden="1">
      <c r="D334" s="118"/>
      <c r="K334" s="120" t="str" cm="1">
        <f t="array" aca="1" ref="K334" ca="1">IF(
   SUMPRODUCT(--ISNUMBER(SEARCH(_xlfn.TEXTSPLIT(D334," "), G334))) / COUNTA(_xlfn.TEXTSPLIT(D334," ")) = 1,
   "Full Match",
   IF(
      SUMPRODUCT(--ISNUMBER(SEARCH(_xlfn.TEXTSPLIT(D334," "), G334))) / COUNTA(_xlfn.TEXTSPLIT(D334," ")) &gt; 0.5,
      "Partial Match",
      "No Match"
   )
)</f>
        <v>No Match</v>
      </c>
      <c r="AG334" s="96"/>
      <c r="AH334" s="96"/>
      <c r="AI334" s="96"/>
      <c r="AJ334" s="96"/>
      <c r="AK334" s="96"/>
    </row>
    <row r="335" spans="4:37" ht="12.9" hidden="1">
      <c r="D335" s="118"/>
      <c r="K335" s="120" t="str" cm="1">
        <f t="array" aca="1" ref="K335" ca="1">IF(
   SUMPRODUCT(--ISNUMBER(SEARCH(_xlfn.TEXTSPLIT(D335," "), G335))) / COUNTA(_xlfn.TEXTSPLIT(D335," ")) = 1,
   "Full Match",
   IF(
      SUMPRODUCT(--ISNUMBER(SEARCH(_xlfn.TEXTSPLIT(D335," "), G335))) / COUNTA(_xlfn.TEXTSPLIT(D335," ")) &gt; 0.5,
      "Partial Match",
      "No Match"
   )
)</f>
        <v>No Match</v>
      </c>
      <c r="AG335" s="96"/>
      <c r="AH335" s="96"/>
      <c r="AI335" s="96"/>
      <c r="AJ335" s="96"/>
      <c r="AK335" s="96"/>
    </row>
    <row r="336" spans="4:37" ht="12.9" hidden="1">
      <c r="D336" s="118"/>
      <c r="K336" s="120" t="str" cm="1">
        <f t="array" aca="1" ref="K336" ca="1">IF(
   SUMPRODUCT(--ISNUMBER(SEARCH(_xlfn.TEXTSPLIT(D336," "), G336))) / COUNTA(_xlfn.TEXTSPLIT(D336," ")) = 1,
   "Full Match",
   IF(
      SUMPRODUCT(--ISNUMBER(SEARCH(_xlfn.TEXTSPLIT(D336," "), G336))) / COUNTA(_xlfn.TEXTSPLIT(D336," ")) &gt; 0.5,
      "Partial Match",
      "No Match"
   )
)</f>
        <v>No Match</v>
      </c>
      <c r="AG336" s="96"/>
      <c r="AH336" s="96"/>
      <c r="AI336" s="96"/>
      <c r="AJ336" s="96"/>
      <c r="AK336" s="96"/>
    </row>
    <row r="337" spans="4:37" ht="12.9" hidden="1">
      <c r="D337" s="118"/>
      <c r="K337" s="120" t="str" cm="1">
        <f t="array" aca="1" ref="K337" ca="1">IF(
   SUMPRODUCT(--ISNUMBER(SEARCH(_xlfn.TEXTSPLIT(D337," "), G337))) / COUNTA(_xlfn.TEXTSPLIT(D337," ")) = 1,
   "Full Match",
   IF(
      SUMPRODUCT(--ISNUMBER(SEARCH(_xlfn.TEXTSPLIT(D337," "), G337))) / COUNTA(_xlfn.TEXTSPLIT(D337," ")) &gt; 0.5,
      "Partial Match",
      "No Match"
   )
)</f>
        <v>No Match</v>
      </c>
      <c r="AG337" s="96"/>
      <c r="AH337" s="96"/>
      <c r="AI337" s="96"/>
      <c r="AJ337" s="96"/>
      <c r="AK337" s="96"/>
    </row>
    <row r="338" spans="4:37" ht="12.9" hidden="1">
      <c r="D338" s="118"/>
      <c r="K338" s="120" t="str" cm="1">
        <f t="array" aca="1" ref="K338" ca="1">IF(
   SUMPRODUCT(--ISNUMBER(SEARCH(_xlfn.TEXTSPLIT(D338," "), G338))) / COUNTA(_xlfn.TEXTSPLIT(D338," ")) = 1,
   "Full Match",
   IF(
      SUMPRODUCT(--ISNUMBER(SEARCH(_xlfn.TEXTSPLIT(D338," "), G338))) / COUNTA(_xlfn.TEXTSPLIT(D338," ")) &gt; 0.5,
      "Partial Match",
      "No Match"
   )
)</f>
        <v>No Match</v>
      </c>
      <c r="AG338" s="96"/>
      <c r="AH338" s="96"/>
      <c r="AI338" s="96"/>
      <c r="AJ338" s="96"/>
      <c r="AK338" s="96"/>
    </row>
    <row r="339" spans="4:37" ht="12.9" hidden="1">
      <c r="D339" s="118"/>
      <c r="K339" s="120" t="str" cm="1">
        <f t="array" aca="1" ref="K339" ca="1">IF(
   SUMPRODUCT(--ISNUMBER(SEARCH(_xlfn.TEXTSPLIT(D339," "), G339))) / COUNTA(_xlfn.TEXTSPLIT(D339," ")) = 1,
   "Full Match",
   IF(
      SUMPRODUCT(--ISNUMBER(SEARCH(_xlfn.TEXTSPLIT(D339," "), G339))) / COUNTA(_xlfn.TEXTSPLIT(D339," ")) &gt; 0.5,
      "Partial Match",
      "No Match"
   )
)</f>
        <v>No Match</v>
      </c>
      <c r="AG339" s="96"/>
      <c r="AH339" s="96"/>
      <c r="AI339" s="96"/>
      <c r="AJ339" s="96"/>
      <c r="AK339" s="96"/>
    </row>
    <row r="340" spans="4:37" ht="12.9" hidden="1">
      <c r="D340" s="118"/>
      <c r="K340" s="120" t="str" cm="1">
        <f t="array" aca="1" ref="K340" ca="1">IF(
   SUMPRODUCT(--ISNUMBER(SEARCH(_xlfn.TEXTSPLIT(D340," "), G340))) / COUNTA(_xlfn.TEXTSPLIT(D340," ")) = 1,
   "Full Match",
   IF(
      SUMPRODUCT(--ISNUMBER(SEARCH(_xlfn.TEXTSPLIT(D340," "), G340))) / COUNTA(_xlfn.TEXTSPLIT(D340," ")) &gt; 0.5,
      "Partial Match",
      "No Match"
   )
)</f>
        <v>No Match</v>
      </c>
      <c r="AG340" s="96"/>
      <c r="AH340" s="96"/>
      <c r="AI340" s="96"/>
      <c r="AJ340" s="96"/>
      <c r="AK340" s="96"/>
    </row>
    <row r="341" spans="4:37" ht="12.9" hidden="1">
      <c r="D341" s="118"/>
      <c r="K341" s="120" t="str" cm="1">
        <f t="array" aca="1" ref="K341" ca="1">IF(
   SUMPRODUCT(--ISNUMBER(SEARCH(_xlfn.TEXTSPLIT(D341," "), G341))) / COUNTA(_xlfn.TEXTSPLIT(D341," ")) = 1,
   "Full Match",
   IF(
      SUMPRODUCT(--ISNUMBER(SEARCH(_xlfn.TEXTSPLIT(D341," "), G341))) / COUNTA(_xlfn.TEXTSPLIT(D341," ")) &gt; 0.5,
      "Partial Match",
      "No Match"
   )
)</f>
        <v>No Match</v>
      </c>
      <c r="AG341" s="96"/>
      <c r="AH341" s="96"/>
      <c r="AI341" s="96"/>
      <c r="AJ341" s="96"/>
      <c r="AK341" s="96"/>
    </row>
    <row r="342" spans="4:37" ht="12.9" hidden="1">
      <c r="D342" s="118"/>
      <c r="K342" s="120" t="str" cm="1">
        <f t="array" aca="1" ref="K342" ca="1">IF(
   SUMPRODUCT(--ISNUMBER(SEARCH(_xlfn.TEXTSPLIT(D342," "), G342))) / COUNTA(_xlfn.TEXTSPLIT(D342," ")) = 1,
   "Full Match",
   IF(
      SUMPRODUCT(--ISNUMBER(SEARCH(_xlfn.TEXTSPLIT(D342," "), G342))) / COUNTA(_xlfn.TEXTSPLIT(D342," ")) &gt; 0.5,
      "Partial Match",
      "No Match"
   )
)</f>
        <v>No Match</v>
      </c>
      <c r="AG342" s="96"/>
      <c r="AH342" s="96"/>
      <c r="AI342" s="96"/>
      <c r="AJ342" s="96"/>
      <c r="AK342" s="96"/>
    </row>
    <row r="343" spans="4:37" ht="12.9" hidden="1">
      <c r="D343" s="118"/>
      <c r="K343" s="120" t="str" cm="1">
        <f t="array" aca="1" ref="K343" ca="1">IF(
   SUMPRODUCT(--ISNUMBER(SEARCH(_xlfn.TEXTSPLIT(D343," "), G343))) / COUNTA(_xlfn.TEXTSPLIT(D343," ")) = 1,
   "Full Match",
   IF(
      SUMPRODUCT(--ISNUMBER(SEARCH(_xlfn.TEXTSPLIT(D343," "), G343))) / COUNTA(_xlfn.TEXTSPLIT(D343," ")) &gt; 0.5,
      "Partial Match",
      "No Match"
   )
)</f>
        <v>No Match</v>
      </c>
      <c r="AG343" s="96"/>
      <c r="AH343" s="96"/>
      <c r="AI343" s="96"/>
      <c r="AJ343" s="96"/>
      <c r="AK343" s="96"/>
    </row>
    <row r="344" spans="4:37" ht="12.9" hidden="1">
      <c r="D344" s="118"/>
      <c r="K344" s="120" t="str" cm="1">
        <f t="array" aca="1" ref="K344" ca="1">IF(
   SUMPRODUCT(--ISNUMBER(SEARCH(_xlfn.TEXTSPLIT(D344," "), G344))) / COUNTA(_xlfn.TEXTSPLIT(D344," ")) = 1,
   "Full Match",
   IF(
      SUMPRODUCT(--ISNUMBER(SEARCH(_xlfn.TEXTSPLIT(D344," "), G344))) / COUNTA(_xlfn.TEXTSPLIT(D344," ")) &gt; 0.5,
      "Partial Match",
      "No Match"
   )
)</f>
        <v>No Match</v>
      </c>
      <c r="AG344" s="96"/>
      <c r="AH344" s="96"/>
      <c r="AI344" s="96"/>
      <c r="AJ344" s="96"/>
      <c r="AK344" s="96"/>
    </row>
    <row r="345" spans="4:37" ht="12.9" hidden="1">
      <c r="D345" s="118"/>
      <c r="K345" s="120" t="str" cm="1">
        <f t="array" aca="1" ref="K345" ca="1">IF(
   SUMPRODUCT(--ISNUMBER(SEARCH(_xlfn.TEXTSPLIT(D345," "), G345))) / COUNTA(_xlfn.TEXTSPLIT(D345," ")) = 1,
   "Full Match",
   IF(
      SUMPRODUCT(--ISNUMBER(SEARCH(_xlfn.TEXTSPLIT(D345," "), G345))) / COUNTA(_xlfn.TEXTSPLIT(D345," ")) &gt; 0.5,
      "Partial Match",
      "No Match"
   )
)</f>
        <v>No Match</v>
      </c>
      <c r="AG345" s="96"/>
      <c r="AH345" s="96"/>
      <c r="AI345" s="96"/>
      <c r="AJ345" s="96"/>
      <c r="AK345" s="96"/>
    </row>
    <row r="346" spans="4:37" ht="12.9" hidden="1">
      <c r="D346" s="118"/>
      <c r="K346" s="120" t="str" cm="1">
        <f t="array" aca="1" ref="K346" ca="1">IF(
   SUMPRODUCT(--ISNUMBER(SEARCH(_xlfn.TEXTSPLIT(D346," "), G346))) / COUNTA(_xlfn.TEXTSPLIT(D346," ")) = 1,
   "Full Match",
   IF(
      SUMPRODUCT(--ISNUMBER(SEARCH(_xlfn.TEXTSPLIT(D346," "), G346))) / COUNTA(_xlfn.TEXTSPLIT(D346," ")) &gt; 0.5,
      "Partial Match",
      "No Match"
   )
)</f>
        <v>No Match</v>
      </c>
      <c r="AG346" s="96"/>
      <c r="AH346" s="96"/>
      <c r="AI346" s="96"/>
      <c r="AJ346" s="96"/>
      <c r="AK346" s="96"/>
    </row>
    <row r="347" spans="4:37" ht="12.9" hidden="1">
      <c r="D347" s="118"/>
      <c r="K347" s="120" t="str" cm="1">
        <f t="array" aca="1" ref="K347" ca="1">IF(
   SUMPRODUCT(--ISNUMBER(SEARCH(_xlfn.TEXTSPLIT(D347," "), G347))) / COUNTA(_xlfn.TEXTSPLIT(D347," ")) = 1,
   "Full Match",
   IF(
      SUMPRODUCT(--ISNUMBER(SEARCH(_xlfn.TEXTSPLIT(D347," "), G347))) / COUNTA(_xlfn.TEXTSPLIT(D347," ")) &gt; 0.5,
      "Partial Match",
      "No Match"
   )
)</f>
        <v>No Match</v>
      </c>
      <c r="AG347" s="96"/>
      <c r="AH347" s="96"/>
      <c r="AI347" s="96"/>
      <c r="AJ347" s="96"/>
      <c r="AK347" s="96"/>
    </row>
    <row r="348" spans="4:37" ht="12.9" hidden="1">
      <c r="D348" s="118"/>
      <c r="K348" s="120" t="str" cm="1">
        <f t="array" aca="1" ref="K348" ca="1">IF(
   SUMPRODUCT(--ISNUMBER(SEARCH(_xlfn.TEXTSPLIT(D348," "), G348))) / COUNTA(_xlfn.TEXTSPLIT(D348," ")) = 1,
   "Full Match",
   IF(
      SUMPRODUCT(--ISNUMBER(SEARCH(_xlfn.TEXTSPLIT(D348," "), G348))) / COUNTA(_xlfn.TEXTSPLIT(D348," ")) &gt; 0.5,
      "Partial Match",
      "No Match"
   )
)</f>
        <v>No Match</v>
      </c>
      <c r="AG348" s="96"/>
      <c r="AH348" s="96"/>
      <c r="AI348" s="96"/>
      <c r="AJ348" s="96"/>
      <c r="AK348" s="96"/>
    </row>
    <row r="349" spans="4:37" ht="12.9" hidden="1">
      <c r="D349" s="118"/>
      <c r="K349" s="120" t="str" cm="1">
        <f t="array" aca="1" ref="K349" ca="1">IF(
   SUMPRODUCT(--ISNUMBER(SEARCH(_xlfn.TEXTSPLIT(D349," "), G349))) / COUNTA(_xlfn.TEXTSPLIT(D349," ")) = 1,
   "Full Match",
   IF(
      SUMPRODUCT(--ISNUMBER(SEARCH(_xlfn.TEXTSPLIT(D349," "), G349))) / COUNTA(_xlfn.TEXTSPLIT(D349," ")) &gt; 0.5,
      "Partial Match",
      "No Match"
   )
)</f>
        <v>No Match</v>
      </c>
      <c r="AG349" s="96"/>
      <c r="AH349" s="96"/>
      <c r="AI349" s="96"/>
      <c r="AJ349" s="96"/>
      <c r="AK349" s="96"/>
    </row>
    <row r="350" spans="4:37" ht="12.9" hidden="1">
      <c r="D350" s="118"/>
      <c r="K350" s="120" t="str" cm="1">
        <f t="array" aca="1" ref="K350" ca="1">IF(
   SUMPRODUCT(--ISNUMBER(SEARCH(_xlfn.TEXTSPLIT(D350," "), G350))) / COUNTA(_xlfn.TEXTSPLIT(D350," ")) = 1,
   "Full Match",
   IF(
      SUMPRODUCT(--ISNUMBER(SEARCH(_xlfn.TEXTSPLIT(D350," "), G350))) / COUNTA(_xlfn.TEXTSPLIT(D350," ")) &gt; 0.5,
      "Partial Match",
      "No Match"
   )
)</f>
        <v>No Match</v>
      </c>
      <c r="AG350" s="96"/>
      <c r="AH350" s="96"/>
      <c r="AI350" s="96"/>
      <c r="AJ350" s="96"/>
      <c r="AK350" s="96"/>
    </row>
    <row r="351" spans="4:37" ht="12.9" hidden="1">
      <c r="D351" s="118"/>
      <c r="K351" s="120" t="str" cm="1">
        <f t="array" aca="1" ref="K351" ca="1">IF(
   SUMPRODUCT(--ISNUMBER(SEARCH(_xlfn.TEXTSPLIT(D351," "), G351))) / COUNTA(_xlfn.TEXTSPLIT(D351," ")) = 1,
   "Full Match",
   IF(
      SUMPRODUCT(--ISNUMBER(SEARCH(_xlfn.TEXTSPLIT(D351," "), G351))) / COUNTA(_xlfn.TEXTSPLIT(D351," ")) &gt; 0.5,
      "Partial Match",
      "No Match"
   )
)</f>
        <v>No Match</v>
      </c>
      <c r="AG351" s="96"/>
      <c r="AH351" s="96"/>
      <c r="AI351" s="96"/>
      <c r="AJ351" s="96"/>
      <c r="AK351" s="96"/>
    </row>
    <row r="352" spans="4:37" ht="12.9" hidden="1">
      <c r="D352" s="118"/>
      <c r="K352" s="120" t="str" cm="1">
        <f t="array" aca="1" ref="K352" ca="1">IF(
   SUMPRODUCT(--ISNUMBER(SEARCH(_xlfn.TEXTSPLIT(D352," "), G352))) / COUNTA(_xlfn.TEXTSPLIT(D352," ")) = 1,
   "Full Match",
   IF(
      SUMPRODUCT(--ISNUMBER(SEARCH(_xlfn.TEXTSPLIT(D352," "), G352))) / COUNTA(_xlfn.TEXTSPLIT(D352," ")) &gt; 0.5,
      "Partial Match",
      "No Match"
   )
)</f>
        <v>No Match</v>
      </c>
      <c r="AG352" s="96"/>
      <c r="AH352" s="96"/>
      <c r="AI352" s="96"/>
      <c r="AJ352" s="96"/>
      <c r="AK352" s="96"/>
    </row>
    <row r="353" spans="4:37" ht="12.9" hidden="1">
      <c r="D353" s="118"/>
      <c r="K353" s="120" t="str" cm="1">
        <f t="array" aca="1" ref="K353" ca="1">IF(
   SUMPRODUCT(--ISNUMBER(SEARCH(_xlfn.TEXTSPLIT(D353," "), G353))) / COUNTA(_xlfn.TEXTSPLIT(D353," ")) = 1,
   "Full Match",
   IF(
      SUMPRODUCT(--ISNUMBER(SEARCH(_xlfn.TEXTSPLIT(D353," "), G353))) / COUNTA(_xlfn.TEXTSPLIT(D353," ")) &gt; 0.5,
      "Partial Match",
      "No Match"
   )
)</f>
        <v>No Match</v>
      </c>
      <c r="AG353" s="96"/>
      <c r="AH353" s="96"/>
      <c r="AI353" s="96"/>
      <c r="AJ353" s="96"/>
      <c r="AK353" s="96"/>
    </row>
    <row r="354" spans="4:37" ht="12.9" hidden="1">
      <c r="D354" s="118"/>
      <c r="K354" s="120" t="str" cm="1">
        <f t="array" aca="1" ref="K354" ca="1">IF(
   SUMPRODUCT(--ISNUMBER(SEARCH(_xlfn.TEXTSPLIT(D354," "), G354))) / COUNTA(_xlfn.TEXTSPLIT(D354," ")) = 1,
   "Full Match",
   IF(
      SUMPRODUCT(--ISNUMBER(SEARCH(_xlfn.TEXTSPLIT(D354," "), G354))) / COUNTA(_xlfn.TEXTSPLIT(D354," ")) &gt; 0.5,
      "Partial Match",
      "No Match"
   )
)</f>
        <v>No Match</v>
      </c>
      <c r="AG354" s="96"/>
      <c r="AH354" s="96"/>
      <c r="AI354" s="96"/>
      <c r="AJ354" s="96"/>
      <c r="AK354" s="96"/>
    </row>
    <row r="355" spans="4:37" ht="12.9" hidden="1">
      <c r="D355" s="118"/>
      <c r="K355" s="120" t="str" cm="1">
        <f t="array" aca="1" ref="K355" ca="1">IF(
   SUMPRODUCT(--ISNUMBER(SEARCH(_xlfn.TEXTSPLIT(D355," "), G355))) / COUNTA(_xlfn.TEXTSPLIT(D355," ")) = 1,
   "Full Match",
   IF(
      SUMPRODUCT(--ISNUMBER(SEARCH(_xlfn.TEXTSPLIT(D355," "), G355))) / COUNTA(_xlfn.TEXTSPLIT(D355," ")) &gt; 0.5,
      "Partial Match",
      "No Match"
   )
)</f>
        <v>No Match</v>
      </c>
      <c r="AG355" s="96"/>
      <c r="AH355" s="96"/>
      <c r="AI355" s="96"/>
      <c r="AJ355" s="96"/>
      <c r="AK355" s="96"/>
    </row>
    <row r="356" spans="4:37" ht="12.9" hidden="1">
      <c r="D356" s="118"/>
      <c r="K356" s="120" t="str" cm="1">
        <f t="array" aca="1" ref="K356" ca="1">IF(
   SUMPRODUCT(--ISNUMBER(SEARCH(_xlfn.TEXTSPLIT(D356," "), G356))) / COUNTA(_xlfn.TEXTSPLIT(D356," ")) = 1,
   "Full Match",
   IF(
      SUMPRODUCT(--ISNUMBER(SEARCH(_xlfn.TEXTSPLIT(D356," "), G356))) / COUNTA(_xlfn.TEXTSPLIT(D356," ")) &gt; 0.5,
      "Partial Match",
      "No Match"
   )
)</f>
        <v>No Match</v>
      </c>
      <c r="AG356" s="96"/>
      <c r="AH356" s="96"/>
      <c r="AI356" s="96"/>
      <c r="AJ356" s="96"/>
      <c r="AK356" s="96"/>
    </row>
    <row r="357" spans="4:37" ht="12.9" hidden="1">
      <c r="D357" s="118"/>
      <c r="K357" s="120" t="str" cm="1">
        <f t="array" aca="1" ref="K357" ca="1">IF(
   SUMPRODUCT(--ISNUMBER(SEARCH(_xlfn.TEXTSPLIT(D357," "), G357))) / COUNTA(_xlfn.TEXTSPLIT(D357," ")) = 1,
   "Full Match",
   IF(
      SUMPRODUCT(--ISNUMBER(SEARCH(_xlfn.TEXTSPLIT(D357," "), G357))) / COUNTA(_xlfn.TEXTSPLIT(D357," ")) &gt; 0.5,
      "Partial Match",
      "No Match"
   )
)</f>
        <v>No Match</v>
      </c>
      <c r="AG357" s="96"/>
      <c r="AH357" s="96"/>
      <c r="AI357" s="96"/>
      <c r="AJ357" s="96"/>
      <c r="AK357" s="96"/>
    </row>
    <row r="358" spans="4:37" ht="12.9" hidden="1">
      <c r="D358" s="118"/>
      <c r="K358" s="120" t="str" cm="1">
        <f t="array" aca="1" ref="K358" ca="1">IF(
   SUMPRODUCT(--ISNUMBER(SEARCH(_xlfn.TEXTSPLIT(D358," "), G358))) / COUNTA(_xlfn.TEXTSPLIT(D358," ")) = 1,
   "Full Match",
   IF(
      SUMPRODUCT(--ISNUMBER(SEARCH(_xlfn.TEXTSPLIT(D358," "), G358))) / COUNTA(_xlfn.TEXTSPLIT(D358," ")) &gt; 0.5,
      "Partial Match",
      "No Match"
   )
)</f>
        <v>No Match</v>
      </c>
      <c r="AG358" s="96"/>
      <c r="AH358" s="96"/>
      <c r="AI358" s="96"/>
      <c r="AJ358" s="96"/>
      <c r="AK358" s="96"/>
    </row>
    <row r="359" spans="4:37" ht="12.9" hidden="1">
      <c r="D359" s="118"/>
      <c r="K359" s="120" t="str" cm="1">
        <f t="array" aca="1" ref="K359" ca="1">IF(
   SUMPRODUCT(--ISNUMBER(SEARCH(_xlfn.TEXTSPLIT(D359," "), G359))) / COUNTA(_xlfn.TEXTSPLIT(D359," ")) = 1,
   "Full Match",
   IF(
      SUMPRODUCT(--ISNUMBER(SEARCH(_xlfn.TEXTSPLIT(D359," "), G359))) / COUNTA(_xlfn.TEXTSPLIT(D359," ")) &gt; 0.5,
      "Partial Match",
      "No Match"
   )
)</f>
        <v>No Match</v>
      </c>
      <c r="AG359" s="96"/>
      <c r="AH359" s="96"/>
      <c r="AI359" s="96"/>
      <c r="AJ359" s="96"/>
      <c r="AK359" s="96"/>
    </row>
    <row r="360" spans="4:37" ht="12.9" hidden="1">
      <c r="D360" s="118"/>
      <c r="K360" s="120" t="str" cm="1">
        <f t="array" aca="1" ref="K360" ca="1">IF(
   SUMPRODUCT(--ISNUMBER(SEARCH(_xlfn.TEXTSPLIT(D360," "), G360))) / COUNTA(_xlfn.TEXTSPLIT(D360," ")) = 1,
   "Full Match",
   IF(
      SUMPRODUCT(--ISNUMBER(SEARCH(_xlfn.TEXTSPLIT(D360," "), G360))) / COUNTA(_xlfn.TEXTSPLIT(D360," ")) &gt; 0.5,
      "Partial Match",
      "No Match"
   )
)</f>
        <v>No Match</v>
      </c>
      <c r="AG360" s="96"/>
      <c r="AH360" s="96"/>
      <c r="AI360" s="96"/>
      <c r="AJ360" s="96"/>
      <c r="AK360" s="96"/>
    </row>
    <row r="361" spans="4:37" ht="12.9" hidden="1">
      <c r="D361" s="118"/>
      <c r="K361" s="120" t="str" cm="1">
        <f t="array" aca="1" ref="K361" ca="1">IF(
   SUMPRODUCT(--ISNUMBER(SEARCH(_xlfn.TEXTSPLIT(D361," "), G361))) / COUNTA(_xlfn.TEXTSPLIT(D361," ")) = 1,
   "Full Match",
   IF(
      SUMPRODUCT(--ISNUMBER(SEARCH(_xlfn.TEXTSPLIT(D361," "), G361))) / COUNTA(_xlfn.TEXTSPLIT(D361," ")) &gt; 0.5,
      "Partial Match",
      "No Match"
   )
)</f>
        <v>No Match</v>
      </c>
      <c r="AG361" s="96"/>
      <c r="AH361" s="96"/>
      <c r="AI361" s="96"/>
      <c r="AJ361" s="96"/>
      <c r="AK361" s="96"/>
    </row>
    <row r="362" spans="4:37" ht="12.9" hidden="1">
      <c r="D362" s="118"/>
      <c r="K362" s="120" t="str" cm="1">
        <f t="array" aca="1" ref="K362" ca="1">IF(
   SUMPRODUCT(--ISNUMBER(SEARCH(_xlfn.TEXTSPLIT(D362," "), G362))) / COUNTA(_xlfn.TEXTSPLIT(D362," ")) = 1,
   "Full Match",
   IF(
      SUMPRODUCT(--ISNUMBER(SEARCH(_xlfn.TEXTSPLIT(D362," "), G362))) / COUNTA(_xlfn.TEXTSPLIT(D362," ")) &gt; 0.5,
      "Partial Match",
      "No Match"
   )
)</f>
        <v>No Match</v>
      </c>
      <c r="AG362" s="96"/>
      <c r="AH362" s="96"/>
      <c r="AI362" s="96"/>
      <c r="AJ362" s="96"/>
      <c r="AK362" s="96"/>
    </row>
    <row r="363" spans="4:37" ht="12.9" hidden="1">
      <c r="D363" s="118"/>
      <c r="K363" s="120" t="str" cm="1">
        <f t="array" aca="1" ref="K363" ca="1">IF(
   SUMPRODUCT(--ISNUMBER(SEARCH(_xlfn.TEXTSPLIT(D363," "), G363))) / COUNTA(_xlfn.TEXTSPLIT(D363," ")) = 1,
   "Full Match",
   IF(
      SUMPRODUCT(--ISNUMBER(SEARCH(_xlfn.TEXTSPLIT(D363," "), G363))) / COUNTA(_xlfn.TEXTSPLIT(D363," ")) &gt; 0.5,
      "Partial Match",
      "No Match"
   )
)</f>
        <v>No Match</v>
      </c>
      <c r="AG363" s="96"/>
      <c r="AH363" s="96"/>
      <c r="AI363" s="96"/>
      <c r="AJ363" s="96"/>
      <c r="AK363" s="96"/>
    </row>
    <row r="364" spans="4:37" ht="12.9" hidden="1">
      <c r="D364" s="118"/>
      <c r="K364" s="120" t="str" cm="1">
        <f t="array" aca="1" ref="K364" ca="1">IF(
   SUMPRODUCT(--ISNUMBER(SEARCH(_xlfn.TEXTSPLIT(D364," "), G364))) / COUNTA(_xlfn.TEXTSPLIT(D364," ")) = 1,
   "Full Match",
   IF(
      SUMPRODUCT(--ISNUMBER(SEARCH(_xlfn.TEXTSPLIT(D364," "), G364))) / COUNTA(_xlfn.TEXTSPLIT(D364," ")) &gt; 0.5,
      "Partial Match",
      "No Match"
   )
)</f>
        <v>No Match</v>
      </c>
      <c r="AG364" s="96"/>
      <c r="AH364" s="96"/>
      <c r="AI364" s="96"/>
      <c r="AJ364" s="96"/>
      <c r="AK364" s="96"/>
    </row>
    <row r="365" spans="4:37" ht="12.9" hidden="1">
      <c r="D365" s="118"/>
      <c r="K365" s="120" t="str" cm="1">
        <f t="array" aca="1" ref="K365" ca="1">IF(
   SUMPRODUCT(--ISNUMBER(SEARCH(_xlfn.TEXTSPLIT(D365," "), G365))) / COUNTA(_xlfn.TEXTSPLIT(D365," ")) = 1,
   "Full Match",
   IF(
      SUMPRODUCT(--ISNUMBER(SEARCH(_xlfn.TEXTSPLIT(D365," "), G365))) / COUNTA(_xlfn.TEXTSPLIT(D365," ")) &gt; 0.5,
      "Partial Match",
      "No Match"
   )
)</f>
        <v>No Match</v>
      </c>
      <c r="AG365" s="96"/>
      <c r="AH365" s="96"/>
      <c r="AI365" s="96"/>
      <c r="AJ365" s="96"/>
      <c r="AK365" s="96"/>
    </row>
    <row r="366" spans="4:37" ht="12.9" hidden="1">
      <c r="D366" s="118"/>
      <c r="K366" s="120" t="str" cm="1">
        <f t="array" aca="1" ref="K366" ca="1">IF(
   SUMPRODUCT(--ISNUMBER(SEARCH(_xlfn.TEXTSPLIT(D366," "), G366))) / COUNTA(_xlfn.TEXTSPLIT(D366," ")) = 1,
   "Full Match",
   IF(
      SUMPRODUCT(--ISNUMBER(SEARCH(_xlfn.TEXTSPLIT(D366," "), G366))) / COUNTA(_xlfn.TEXTSPLIT(D366," ")) &gt; 0.5,
      "Partial Match",
      "No Match"
   )
)</f>
        <v>No Match</v>
      </c>
      <c r="AG366" s="96"/>
      <c r="AH366" s="96"/>
      <c r="AI366" s="96"/>
      <c r="AJ366" s="96"/>
      <c r="AK366" s="96"/>
    </row>
    <row r="367" spans="4:37" ht="12.9" hidden="1">
      <c r="D367" s="118"/>
      <c r="K367" s="120" t="str" cm="1">
        <f t="array" aca="1" ref="K367" ca="1">IF(
   SUMPRODUCT(--ISNUMBER(SEARCH(_xlfn.TEXTSPLIT(D367," "), G367))) / COUNTA(_xlfn.TEXTSPLIT(D367," ")) = 1,
   "Full Match",
   IF(
      SUMPRODUCT(--ISNUMBER(SEARCH(_xlfn.TEXTSPLIT(D367," "), G367))) / COUNTA(_xlfn.TEXTSPLIT(D367," ")) &gt; 0.5,
      "Partial Match",
      "No Match"
   )
)</f>
        <v>No Match</v>
      </c>
      <c r="AG367" s="96"/>
      <c r="AH367" s="96"/>
      <c r="AI367" s="96"/>
      <c r="AJ367" s="96"/>
      <c r="AK367" s="96"/>
    </row>
    <row r="368" spans="4:37" ht="12.9" hidden="1">
      <c r="D368" s="118"/>
      <c r="K368" s="120" t="str" cm="1">
        <f t="array" aca="1" ref="K368" ca="1">IF(
   SUMPRODUCT(--ISNUMBER(SEARCH(_xlfn.TEXTSPLIT(D368," "), G368))) / COUNTA(_xlfn.TEXTSPLIT(D368," ")) = 1,
   "Full Match",
   IF(
      SUMPRODUCT(--ISNUMBER(SEARCH(_xlfn.TEXTSPLIT(D368," "), G368))) / COUNTA(_xlfn.TEXTSPLIT(D368," ")) &gt; 0.5,
      "Partial Match",
      "No Match"
   )
)</f>
        <v>No Match</v>
      </c>
      <c r="AG368" s="96"/>
      <c r="AH368" s="96"/>
      <c r="AI368" s="96"/>
      <c r="AJ368" s="96"/>
      <c r="AK368" s="96"/>
    </row>
    <row r="369" spans="4:37" ht="12.9" hidden="1">
      <c r="D369" s="118"/>
      <c r="K369" s="120" t="str" cm="1">
        <f t="array" aca="1" ref="K369" ca="1">IF(
   SUMPRODUCT(--ISNUMBER(SEARCH(_xlfn.TEXTSPLIT(D369," "), G369))) / COUNTA(_xlfn.TEXTSPLIT(D369," ")) = 1,
   "Full Match",
   IF(
      SUMPRODUCT(--ISNUMBER(SEARCH(_xlfn.TEXTSPLIT(D369," "), G369))) / COUNTA(_xlfn.TEXTSPLIT(D369," ")) &gt; 0.5,
      "Partial Match",
      "No Match"
   )
)</f>
        <v>No Match</v>
      </c>
      <c r="AG369" s="96"/>
      <c r="AH369" s="96"/>
      <c r="AI369" s="96"/>
      <c r="AJ369" s="96"/>
      <c r="AK369" s="96"/>
    </row>
    <row r="370" spans="4:37" ht="12.9" hidden="1">
      <c r="D370" s="118"/>
      <c r="K370" s="120" t="str" cm="1">
        <f t="array" aca="1" ref="K370" ca="1">IF(
   SUMPRODUCT(--ISNUMBER(SEARCH(_xlfn.TEXTSPLIT(D370," "), G370))) / COUNTA(_xlfn.TEXTSPLIT(D370," ")) = 1,
   "Full Match",
   IF(
      SUMPRODUCT(--ISNUMBER(SEARCH(_xlfn.TEXTSPLIT(D370," "), G370))) / COUNTA(_xlfn.TEXTSPLIT(D370," ")) &gt; 0.5,
      "Partial Match",
      "No Match"
   )
)</f>
        <v>No Match</v>
      </c>
      <c r="AG370" s="96"/>
      <c r="AH370" s="96"/>
      <c r="AI370" s="96"/>
      <c r="AJ370" s="96"/>
      <c r="AK370" s="96"/>
    </row>
    <row r="371" spans="4:37" ht="12.9" hidden="1">
      <c r="D371" s="118"/>
      <c r="K371" s="120" t="str" cm="1">
        <f t="array" aca="1" ref="K371" ca="1">IF(
   SUMPRODUCT(--ISNUMBER(SEARCH(_xlfn.TEXTSPLIT(D371," "), G371))) / COUNTA(_xlfn.TEXTSPLIT(D371," ")) = 1,
   "Full Match",
   IF(
      SUMPRODUCT(--ISNUMBER(SEARCH(_xlfn.TEXTSPLIT(D371," "), G371))) / COUNTA(_xlfn.TEXTSPLIT(D371," ")) &gt; 0.5,
      "Partial Match",
      "No Match"
   )
)</f>
        <v>No Match</v>
      </c>
      <c r="AG371" s="96"/>
      <c r="AH371" s="96"/>
      <c r="AI371" s="96"/>
      <c r="AJ371" s="96"/>
      <c r="AK371" s="96"/>
    </row>
    <row r="372" spans="4:37" ht="12.9" hidden="1">
      <c r="D372" s="118"/>
      <c r="K372" s="120" t="str" cm="1">
        <f t="array" aca="1" ref="K372" ca="1">IF(
   SUMPRODUCT(--ISNUMBER(SEARCH(_xlfn.TEXTSPLIT(D372," "), G372))) / COUNTA(_xlfn.TEXTSPLIT(D372," ")) = 1,
   "Full Match",
   IF(
      SUMPRODUCT(--ISNUMBER(SEARCH(_xlfn.TEXTSPLIT(D372," "), G372))) / COUNTA(_xlfn.TEXTSPLIT(D372," ")) &gt; 0.5,
      "Partial Match",
      "No Match"
   )
)</f>
        <v>No Match</v>
      </c>
      <c r="AG372" s="96"/>
      <c r="AH372" s="96"/>
      <c r="AI372" s="96"/>
      <c r="AJ372" s="96"/>
      <c r="AK372" s="96"/>
    </row>
    <row r="373" spans="4:37" ht="12.9" hidden="1">
      <c r="D373" s="118"/>
      <c r="K373" s="120" t="str" cm="1">
        <f t="array" aca="1" ref="K373" ca="1">IF(
   SUMPRODUCT(--ISNUMBER(SEARCH(_xlfn.TEXTSPLIT(D373," "), G373))) / COUNTA(_xlfn.TEXTSPLIT(D373," ")) = 1,
   "Full Match",
   IF(
      SUMPRODUCT(--ISNUMBER(SEARCH(_xlfn.TEXTSPLIT(D373," "), G373))) / COUNTA(_xlfn.TEXTSPLIT(D373," ")) &gt; 0.5,
      "Partial Match",
      "No Match"
   )
)</f>
        <v>No Match</v>
      </c>
      <c r="AG373" s="96"/>
      <c r="AH373" s="96"/>
      <c r="AI373" s="96"/>
      <c r="AJ373" s="96"/>
      <c r="AK373" s="96"/>
    </row>
    <row r="374" spans="4:37" ht="12.9" hidden="1">
      <c r="D374" s="118"/>
      <c r="K374" s="120" t="str" cm="1">
        <f t="array" aca="1" ref="K374" ca="1">IF(
   SUMPRODUCT(--ISNUMBER(SEARCH(_xlfn.TEXTSPLIT(D374," "), G374))) / COUNTA(_xlfn.TEXTSPLIT(D374," ")) = 1,
   "Full Match",
   IF(
      SUMPRODUCT(--ISNUMBER(SEARCH(_xlfn.TEXTSPLIT(D374," "), G374))) / COUNTA(_xlfn.TEXTSPLIT(D374," ")) &gt; 0.5,
      "Partial Match",
      "No Match"
   )
)</f>
        <v>No Match</v>
      </c>
      <c r="AG374" s="96"/>
      <c r="AH374" s="96"/>
      <c r="AI374" s="96"/>
      <c r="AJ374" s="96"/>
      <c r="AK374" s="96"/>
    </row>
    <row r="375" spans="4:37" ht="12.9" hidden="1">
      <c r="D375" s="118"/>
      <c r="K375" s="120" t="str" cm="1">
        <f t="array" aca="1" ref="K375" ca="1">IF(
   SUMPRODUCT(--ISNUMBER(SEARCH(_xlfn.TEXTSPLIT(D375," "), G375))) / COUNTA(_xlfn.TEXTSPLIT(D375," ")) = 1,
   "Full Match",
   IF(
      SUMPRODUCT(--ISNUMBER(SEARCH(_xlfn.TEXTSPLIT(D375," "), G375))) / COUNTA(_xlfn.TEXTSPLIT(D375," ")) &gt; 0.5,
      "Partial Match",
      "No Match"
   )
)</f>
        <v>No Match</v>
      </c>
      <c r="AG375" s="96"/>
      <c r="AH375" s="96"/>
      <c r="AI375" s="96"/>
      <c r="AJ375" s="96"/>
      <c r="AK375" s="96"/>
    </row>
    <row r="376" spans="4:37" ht="12.9" hidden="1">
      <c r="D376" s="118"/>
      <c r="K376" s="120" t="str" cm="1">
        <f t="array" aca="1" ref="K376" ca="1">IF(
   SUMPRODUCT(--ISNUMBER(SEARCH(_xlfn.TEXTSPLIT(D376," "), G376))) / COUNTA(_xlfn.TEXTSPLIT(D376," ")) = 1,
   "Full Match",
   IF(
      SUMPRODUCT(--ISNUMBER(SEARCH(_xlfn.TEXTSPLIT(D376," "), G376))) / COUNTA(_xlfn.TEXTSPLIT(D376," ")) &gt; 0.5,
      "Partial Match",
      "No Match"
   )
)</f>
        <v>No Match</v>
      </c>
      <c r="AG376" s="96"/>
      <c r="AH376" s="96"/>
      <c r="AI376" s="96"/>
      <c r="AJ376" s="96"/>
      <c r="AK376" s="96"/>
    </row>
    <row r="377" spans="4:37" ht="12.9" hidden="1">
      <c r="D377" s="118"/>
      <c r="K377" s="120" t="str" cm="1">
        <f t="array" aca="1" ref="K377" ca="1">IF(
   SUMPRODUCT(--ISNUMBER(SEARCH(_xlfn.TEXTSPLIT(D377," "), G377))) / COUNTA(_xlfn.TEXTSPLIT(D377," ")) = 1,
   "Full Match",
   IF(
      SUMPRODUCT(--ISNUMBER(SEARCH(_xlfn.TEXTSPLIT(D377," "), G377))) / COUNTA(_xlfn.TEXTSPLIT(D377," ")) &gt; 0.5,
      "Partial Match",
      "No Match"
   )
)</f>
        <v>No Match</v>
      </c>
      <c r="AG377" s="96"/>
      <c r="AH377" s="96"/>
      <c r="AI377" s="96"/>
      <c r="AJ377" s="96"/>
      <c r="AK377" s="96"/>
    </row>
    <row r="378" spans="4:37" ht="12.9" hidden="1">
      <c r="D378" s="118"/>
      <c r="K378" s="120" t="str" cm="1">
        <f t="array" aca="1" ref="K378" ca="1">IF(
   SUMPRODUCT(--ISNUMBER(SEARCH(_xlfn.TEXTSPLIT(D378," "), G378))) / COUNTA(_xlfn.TEXTSPLIT(D378," ")) = 1,
   "Full Match",
   IF(
      SUMPRODUCT(--ISNUMBER(SEARCH(_xlfn.TEXTSPLIT(D378," "), G378))) / COUNTA(_xlfn.TEXTSPLIT(D378," ")) &gt; 0.5,
      "Partial Match",
      "No Match"
   )
)</f>
        <v>No Match</v>
      </c>
      <c r="AG378" s="96"/>
      <c r="AH378" s="96"/>
      <c r="AI378" s="96"/>
      <c r="AJ378" s="96"/>
      <c r="AK378" s="96"/>
    </row>
    <row r="379" spans="4:37" ht="12.9" hidden="1">
      <c r="D379" s="118"/>
      <c r="K379" s="120" t="str" cm="1">
        <f t="array" aca="1" ref="K379" ca="1">IF(
   SUMPRODUCT(--ISNUMBER(SEARCH(_xlfn.TEXTSPLIT(D379," "), G379))) / COUNTA(_xlfn.TEXTSPLIT(D379," ")) = 1,
   "Full Match",
   IF(
      SUMPRODUCT(--ISNUMBER(SEARCH(_xlfn.TEXTSPLIT(D379," "), G379))) / COUNTA(_xlfn.TEXTSPLIT(D379," ")) &gt; 0.5,
      "Partial Match",
      "No Match"
   )
)</f>
        <v>No Match</v>
      </c>
      <c r="AG379" s="96"/>
      <c r="AH379" s="96"/>
      <c r="AI379" s="96"/>
      <c r="AJ379" s="96"/>
      <c r="AK379" s="96"/>
    </row>
    <row r="380" spans="4:37" ht="12.9" hidden="1">
      <c r="D380" s="118"/>
      <c r="K380" s="120" t="str" cm="1">
        <f t="array" aca="1" ref="K380" ca="1">IF(
   SUMPRODUCT(--ISNUMBER(SEARCH(_xlfn.TEXTSPLIT(D380," "), G380))) / COUNTA(_xlfn.TEXTSPLIT(D380," ")) = 1,
   "Full Match",
   IF(
      SUMPRODUCT(--ISNUMBER(SEARCH(_xlfn.TEXTSPLIT(D380," "), G380))) / COUNTA(_xlfn.TEXTSPLIT(D380," ")) &gt; 0.5,
      "Partial Match",
      "No Match"
   )
)</f>
        <v>No Match</v>
      </c>
      <c r="AG380" s="96"/>
      <c r="AH380" s="96"/>
      <c r="AI380" s="96"/>
      <c r="AJ380" s="96"/>
      <c r="AK380" s="96"/>
    </row>
    <row r="381" spans="4:37" ht="12.9" hidden="1">
      <c r="D381" s="118"/>
      <c r="K381" s="120" t="str" cm="1">
        <f t="array" aca="1" ref="K381" ca="1">IF(
   SUMPRODUCT(--ISNUMBER(SEARCH(_xlfn.TEXTSPLIT(D381," "), G381))) / COUNTA(_xlfn.TEXTSPLIT(D381," ")) = 1,
   "Full Match",
   IF(
      SUMPRODUCT(--ISNUMBER(SEARCH(_xlfn.TEXTSPLIT(D381," "), G381))) / COUNTA(_xlfn.TEXTSPLIT(D381," ")) &gt; 0.5,
      "Partial Match",
      "No Match"
   )
)</f>
        <v>No Match</v>
      </c>
      <c r="AG381" s="96"/>
      <c r="AH381" s="96"/>
      <c r="AI381" s="96"/>
      <c r="AJ381" s="96"/>
      <c r="AK381" s="96"/>
    </row>
    <row r="382" spans="4:37" ht="12.9" hidden="1">
      <c r="D382" s="118"/>
      <c r="K382" s="120" t="str" cm="1">
        <f t="array" aca="1" ref="K382" ca="1">IF(
   SUMPRODUCT(--ISNUMBER(SEARCH(_xlfn.TEXTSPLIT(D382," "), G382))) / COUNTA(_xlfn.TEXTSPLIT(D382," ")) = 1,
   "Full Match",
   IF(
      SUMPRODUCT(--ISNUMBER(SEARCH(_xlfn.TEXTSPLIT(D382," "), G382))) / COUNTA(_xlfn.TEXTSPLIT(D382," ")) &gt; 0.5,
      "Partial Match",
      "No Match"
   )
)</f>
        <v>No Match</v>
      </c>
      <c r="AG382" s="96"/>
      <c r="AH382" s="96"/>
      <c r="AI382" s="96"/>
      <c r="AJ382" s="96"/>
      <c r="AK382" s="96"/>
    </row>
    <row r="383" spans="4:37" ht="12.9" hidden="1">
      <c r="D383" s="118"/>
      <c r="K383" s="120" t="str" cm="1">
        <f t="array" aca="1" ref="K383" ca="1">IF(
   SUMPRODUCT(--ISNUMBER(SEARCH(_xlfn.TEXTSPLIT(D383," "), G383))) / COUNTA(_xlfn.TEXTSPLIT(D383," ")) = 1,
   "Full Match",
   IF(
      SUMPRODUCT(--ISNUMBER(SEARCH(_xlfn.TEXTSPLIT(D383," "), G383))) / COUNTA(_xlfn.TEXTSPLIT(D383," ")) &gt; 0.5,
      "Partial Match",
      "No Match"
   )
)</f>
        <v>No Match</v>
      </c>
      <c r="AG383" s="96"/>
      <c r="AH383" s="96"/>
      <c r="AI383" s="96"/>
      <c r="AJ383" s="96"/>
      <c r="AK383" s="96"/>
    </row>
    <row r="384" spans="4:37" ht="12.9" hidden="1">
      <c r="D384" s="118"/>
      <c r="K384" s="120" t="str" cm="1">
        <f t="array" aca="1" ref="K384" ca="1">IF(
   SUMPRODUCT(--ISNUMBER(SEARCH(_xlfn.TEXTSPLIT(D384," "), G384))) / COUNTA(_xlfn.TEXTSPLIT(D384," ")) = 1,
   "Full Match",
   IF(
      SUMPRODUCT(--ISNUMBER(SEARCH(_xlfn.TEXTSPLIT(D384," "), G384))) / COUNTA(_xlfn.TEXTSPLIT(D384," ")) &gt; 0.5,
      "Partial Match",
      "No Match"
   )
)</f>
        <v>No Match</v>
      </c>
      <c r="AG384" s="96"/>
      <c r="AH384" s="96"/>
      <c r="AI384" s="96"/>
      <c r="AJ384" s="96"/>
      <c r="AK384" s="96"/>
    </row>
    <row r="385" spans="4:37" ht="12.9" hidden="1">
      <c r="D385" s="118"/>
      <c r="K385" s="120" t="str" cm="1">
        <f t="array" aca="1" ref="K385" ca="1">IF(
   SUMPRODUCT(--ISNUMBER(SEARCH(_xlfn.TEXTSPLIT(D385," "), G385))) / COUNTA(_xlfn.TEXTSPLIT(D385," ")) = 1,
   "Full Match",
   IF(
      SUMPRODUCT(--ISNUMBER(SEARCH(_xlfn.TEXTSPLIT(D385," "), G385))) / COUNTA(_xlfn.TEXTSPLIT(D385," ")) &gt; 0.5,
      "Partial Match",
      "No Match"
   )
)</f>
        <v>No Match</v>
      </c>
      <c r="AG385" s="96"/>
      <c r="AH385" s="96"/>
      <c r="AI385" s="96"/>
      <c r="AJ385" s="96"/>
      <c r="AK385" s="96"/>
    </row>
    <row r="386" spans="4:37" ht="12.9" hidden="1">
      <c r="D386" s="118"/>
      <c r="K386" s="120" t="str" cm="1">
        <f t="array" aca="1" ref="K386" ca="1">IF(
   SUMPRODUCT(--ISNUMBER(SEARCH(_xlfn.TEXTSPLIT(D386," "), G386))) / COUNTA(_xlfn.TEXTSPLIT(D386," ")) = 1,
   "Full Match",
   IF(
      SUMPRODUCT(--ISNUMBER(SEARCH(_xlfn.TEXTSPLIT(D386," "), G386))) / COUNTA(_xlfn.TEXTSPLIT(D386," ")) &gt; 0.5,
      "Partial Match",
      "No Match"
   )
)</f>
        <v>No Match</v>
      </c>
      <c r="AG386" s="96"/>
      <c r="AH386" s="96"/>
      <c r="AI386" s="96"/>
      <c r="AJ386" s="96"/>
      <c r="AK386" s="96"/>
    </row>
    <row r="387" spans="4:37" ht="12.9" hidden="1">
      <c r="D387" s="118"/>
      <c r="K387" s="120" t="str" cm="1">
        <f t="array" aca="1" ref="K387" ca="1">IF(
   SUMPRODUCT(--ISNUMBER(SEARCH(_xlfn.TEXTSPLIT(D387," "), G387))) / COUNTA(_xlfn.TEXTSPLIT(D387," ")) = 1,
   "Full Match",
   IF(
      SUMPRODUCT(--ISNUMBER(SEARCH(_xlfn.TEXTSPLIT(D387," "), G387))) / COUNTA(_xlfn.TEXTSPLIT(D387," ")) &gt; 0.5,
      "Partial Match",
      "No Match"
   )
)</f>
        <v>No Match</v>
      </c>
      <c r="AG387" s="96"/>
      <c r="AH387" s="96"/>
      <c r="AI387" s="96"/>
      <c r="AJ387" s="96"/>
      <c r="AK387" s="96"/>
    </row>
    <row r="388" spans="4:37" ht="12.9" hidden="1">
      <c r="D388" s="118"/>
      <c r="K388" s="120" t="str" cm="1">
        <f t="array" aca="1" ref="K388" ca="1">IF(
   SUMPRODUCT(--ISNUMBER(SEARCH(_xlfn.TEXTSPLIT(D388," "), G388))) / COUNTA(_xlfn.TEXTSPLIT(D388," ")) = 1,
   "Full Match",
   IF(
      SUMPRODUCT(--ISNUMBER(SEARCH(_xlfn.TEXTSPLIT(D388," "), G388))) / COUNTA(_xlfn.TEXTSPLIT(D388," ")) &gt; 0.5,
      "Partial Match",
      "No Match"
   )
)</f>
        <v>No Match</v>
      </c>
      <c r="AG388" s="96"/>
      <c r="AH388" s="96"/>
      <c r="AI388" s="96"/>
      <c r="AJ388" s="96"/>
      <c r="AK388" s="96"/>
    </row>
    <row r="389" spans="4:37" ht="12.9" hidden="1">
      <c r="D389" s="118"/>
      <c r="K389" s="120" t="str" cm="1">
        <f t="array" aca="1" ref="K389" ca="1">IF(
   SUMPRODUCT(--ISNUMBER(SEARCH(_xlfn.TEXTSPLIT(D389," "), G389))) / COUNTA(_xlfn.TEXTSPLIT(D389," ")) = 1,
   "Full Match",
   IF(
      SUMPRODUCT(--ISNUMBER(SEARCH(_xlfn.TEXTSPLIT(D389," "), G389))) / COUNTA(_xlfn.TEXTSPLIT(D389," ")) &gt; 0.5,
      "Partial Match",
      "No Match"
   )
)</f>
        <v>No Match</v>
      </c>
      <c r="AG389" s="96"/>
      <c r="AH389" s="96"/>
      <c r="AI389" s="96"/>
      <c r="AJ389" s="96"/>
      <c r="AK389" s="96"/>
    </row>
    <row r="390" spans="4:37" ht="12.9" hidden="1">
      <c r="D390" s="118"/>
      <c r="K390" s="120" t="str" cm="1">
        <f t="array" aca="1" ref="K390" ca="1">IF(
   SUMPRODUCT(--ISNUMBER(SEARCH(_xlfn.TEXTSPLIT(D390," "), G390))) / COUNTA(_xlfn.TEXTSPLIT(D390," ")) = 1,
   "Full Match",
   IF(
      SUMPRODUCT(--ISNUMBER(SEARCH(_xlfn.TEXTSPLIT(D390," "), G390))) / COUNTA(_xlfn.TEXTSPLIT(D390," ")) &gt; 0.5,
      "Partial Match",
      "No Match"
   )
)</f>
        <v>No Match</v>
      </c>
      <c r="AG390" s="96"/>
      <c r="AH390" s="96"/>
      <c r="AI390" s="96"/>
      <c r="AJ390" s="96"/>
      <c r="AK390" s="96"/>
    </row>
    <row r="391" spans="4:37" ht="12.9" hidden="1">
      <c r="D391" s="118"/>
      <c r="K391" s="120" t="str" cm="1">
        <f t="array" aca="1" ref="K391" ca="1">IF(
   SUMPRODUCT(--ISNUMBER(SEARCH(_xlfn.TEXTSPLIT(D391," "), G391))) / COUNTA(_xlfn.TEXTSPLIT(D391," ")) = 1,
   "Full Match",
   IF(
      SUMPRODUCT(--ISNUMBER(SEARCH(_xlfn.TEXTSPLIT(D391," "), G391))) / COUNTA(_xlfn.TEXTSPLIT(D391," ")) &gt; 0.5,
      "Partial Match",
      "No Match"
   )
)</f>
        <v>No Match</v>
      </c>
      <c r="AG391" s="96"/>
      <c r="AH391" s="96"/>
      <c r="AI391" s="96"/>
      <c r="AJ391" s="96"/>
      <c r="AK391" s="96"/>
    </row>
    <row r="392" spans="4:37" ht="12.9" hidden="1">
      <c r="D392" s="118"/>
      <c r="K392" s="120" t="str" cm="1">
        <f t="array" aca="1" ref="K392" ca="1">IF(
   SUMPRODUCT(--ISNUMBER(SEARCH(_xlfn.TEXTSPLIT(D392," "), G392))) / COUNTA(_xlfn.TEXTSPLIT(D392," ")) = 1,
   "Full Match",
   IF(
      SUMPRODUCT(--ISNUMBER(SEARCH(_xlfn.TEXTSPLIT(D392," "), G392))) / COUNTA(_xlfn.TEXTSPLIT(D392," ")) &gt; 0.5,
      "Partial Match",
      "No Match"
   )
)</f>
        <v>No Match</v>
      </c>
      <c r="AG392" s="96"/>
      <c r="AH392" s="96"/>
      <c r="AI392" s="96"/>
      <c r="AJ392" s="96"/>
      <c r="AK392" s="96"/>
    </row>
    <row r="393" spans="4:37" ht="12.9" hidden="1">
      <c r="D393" s="118"/>
      <c r="K393" s="120" t="str" cm="1">
        <f t="array" aca="1" ref="K393" ca="1">IF(
   SUMPRODUCT(--ISNUMBER(SEARCH(_xlfn.TEXTSPLIT(D393," "), G393))) / COUNTA(_xlfn.TEXTSPLIT(D393," ")) = 1,
   "Full Match",
   IF(
      SUMPRODUCT(--ISNUMBER(SEARCH(_xlfn.TEXTSPLIT(D393," "), G393))) / COUNTA(_xlfn.TEXTSPLIT(D393," ")) &gt; 0.5,
      "Partial Match",
      "No Match"
   )
)</f>
        <v>No Match</v>
      </c>
      <c r="AG393" s="96"/>
      <c r="AH393" s="96"/>
      <c r="AI393" s="96"/>
      <c r="AJ393" s="96"/>
      <c r="AK393" s="96"/>
    </row>
    <row r="394" spans="4:37" ht="12.9" hidden="1">
      <c r="D394" s="118"/>
      <c r="K394" s="120" t="str" cm="1">
        <f t="array" aca="1" ref="K394" ca="1">IF(
   SUMPRODUCT(--ISNUMBER(SEARCH(_xlfn.TEXTSPLIT(D394," "), G394))) / COUNTA(_xlfn.TEXTSPLIT(D394," ")) = 1,
   "Full Match",
   IF(
      SUMPRODUCT(--ISNUMBER(SEARCH(_xlfn.TEXTSPLIT(D394," "), G394))) / COUNTA(_xlfn.TEXTSPLIT(D394," ")) &gt; 0.5,
      "Partial Match",
      "No Match"
   )
)</f>
        <v>No Match</v>
      </c>
      <c r="AG394" s="96"/>
      <c r="AH394" s="96"/>
      <c r="AI394" s="96"/>
      <c r="AJ394" s="96"/>
      <c r="AK394" s="96"/>
    </row>
    <row r="395" spans="4:37" ht="12.9" hidden="1">
      <c r="D395" s="118"/>
      <c r="K395" s="120" t="str" cm="1">
        <f t="array" aca="1" ref="K395" ca="1">IF(
   SUMPRODUCT(--ISNUMBER(SEARCH(_xlfn.TEXTSPLIT(D395," "), G395))) / COUNTA(_xlfn.TEXTSPLIT(D395," ")) = 1,
   "Full Match",
   IF(
      SUMPRODUCT(--ISNUMBER(SEARCH(_xlfn.TEXTSPLIT(D395," "), G395))) / COUNTA(_xlfn.TEXTSPLIT(D395," ")) &gt; 0.5,
      "Partial Match",
      "No Match"
   )
)</f>
        <v>No Match</v>
      </c>
      <c r="AG395" s="96"/>
      <c r="AH395" s="96"/>
      <c r="AI395" s="96"/>
      <c r="AJ395" s="96"/>
      <c r="AK395" s="96"/>
    </row>
    <row r="396" spans="4:37" ht="12.9" hidden="1">
      <c r="D396" s="118"/>
      <c r="K396" s="120" t="str" cm="1">
        <f t="array" aca="1" ref="K396" ca="1">IF(
   SUMPRODUCT(--ISNUMBER(SEARCH(_xlfn.TEXTSPLIT(D396," "), G396))) / COUNTA(_xlfn.TEXTSPLIT(D396," ")) = 1,
   "Full Match",
   IF(
      SUMPRODUCT(--ISNUMBER(SEARCH(_xlfn.TEXTSPLIT(D396," "), G396))) / COUNTA(_xlfn.TEXTSPLIT(D396," ")) &gt; 0.5,
      "Partial Match",
      "No Match"
   )
)</f>
        <v>No Match</v>
      </c>
      <c r="AG396" s="96"/>
      <c r="AH396" s="96"/>
      <c r="AI396" s="96"/>
      <c r="AJ396" s="96"/>
      <c r="AK396" s="96"/>
    </row>
    <row r="397" spans="4:37" ht="12.9" hidden="1">
      <c r="D397" s="118"/>
      <c r="K397" s="120" t="str" cm="1">
        <f t="array" aca="1" ref="K397" ca="1">IF(
   SUMPRODUCT(--ISNUMBER(SEARCH(_xlfn.TEXTSPLIT(D397," "), G397))) / COUNTA(_xlfn.TEXTSPLIT(D397," ")) = 1,
   "Full Match",
   IF(
      SUMPRODUCT(--ISNUMBER(SEARCH(_xlfn.TEXTSPLIT(D397," "), G397))) / COUNTA(_xlfn.TEXTSPLIT(D397," ")) &gt; 0.5,
      "Partial Match",
      "No Match"
   )
)</f>
        <v>No Match</v>
      </c>
      <c r="AG397" s="96"/>
      <c r="AH397" s="96"/>
      <c r="AI397" s="96"/>
      <c r="AJ397" s="96"/>
      <c r="AK397" s="96"/>
    </row>
    <row r="398" spans="4:37" ht="12.9" hidden="1">
      <c r="D398" s="118"/>
      <c r="K398" s="120" t="str" cm="1">
        <f t="array" aca="1" ref="K398" ca="1">IF(
   SUMPRODUCT(--ISNUMBER(SEARCH(_xlfn.TEXTSPLIT(D398," "), G398))) / COUNTA(_xlfn.TEXTSPLIT(D398," ")) = 1,
   "Full Match",
   IF(
      SUMPRODUCT(--ISNUMBER(SEARCH(_xlfn.TEXTSPLIT(D398," "), G398))) / COUNTA(_xlfn.TEXTSPLIT(D398," ")) &gt; 0.5,
      "Partial Match",
      "No Match"
   )
)</f>
        <v>No Match</v>
      </c>
      <c r="AG398" s="96"/>
      <c r="AH398" s="96"/>
      <c r="AI398" s="96"/>
      <c r="AJ398" s="96"/>
      <c r="AK398" s="96"/>
    </row>
    <row r="399" spans="4:37" ht="12.9" hidden="1">
      <c r="D399" s="118"/>
      <c r="K399" s="120" t="str" cm="1">
        <f t="array" aca="1" ref="K399" ca="1">IF(
   SUMPRODUCT(--ISNUMBER(SEARCH(_xlfn.TEXTSPLIT(D399," "), G399))) / COUNTA(_xlfn.TEXTSPLIT(D399," ")) = 1,
   "Full Match",
   IF(
      SUMPRODUCT(--ISNUMBER(SEARCH(_xlfn.TEXTSPLIT(D399," "), G399))) / COUNTA(_xlfn.TEXTSPLIT(D399," ")) &gt; 0.5,
      "Partial Match",
      "No Match"
   )
)</f>
        <v>No Match</v>
      </c>
      <c r="AG399" s="96"/>
      <c r="AH399" s="96"/>
      <c r="AI399" s="96"/>
      <c r="AJ399" s="96"/>
      <c r="AK399" s="96"/>
    </row>
    <row r="400" spans="4:37" ht="12.9" hidden="1">
      <c r="D400" s="118"/>
      <c r="K400" s="120" t="str" cm="1">
        <f t="array" aca="1" ref="K400" ca="1">IF(
   SUMPRODUCT(--ISNUMBER(SEARCH(_xlfn.TEXTSPLIT(D400," "), G400))) / COUNTA(_xlfn.TEXTSPLIT(D400," ")) = 1,
   "Full Match",
   IF(
      SUMPRODUCT(--ISNUMBER(SEARCH(_xlfn.TEXTSPLIT(D400," "), G400))) / COUNTA(_xlfn.TEXTSPLIT(D400," ")) &gt; 0.5,
      "Partial Match",
      "No Match"
   )
)</f>
        <v>No Match</v>
      </c>
      <c r="AG400" s="96"/>
      <c r="AH400" s="96"/>
      <c r="AI400" s="96"/>
      <c r="AJ400" s="96"/>
      <c r="AK400" s="96"/>
    </row>
    <row r="401" spans="4:37" ht="12.9" hidden="1">
      <c r="D401" s="118"/>
      <c r="K401" s="120" t="str" cm="1">
        <f t="array" aca="1" ref="K401" ca="1">IF(
   SUMPRODUCT(--ISNUMBER(SEARCH(_xlfn.TEXTSPLIT(D401," "), G401))) / COUNTA(_xlfn.TEXTSPLIT(D401," ")) = 1,
   "Full Match",
   IF(
      SUMPRODUCT(--ISNUMBER(SEARCH(_xlfn.TEXTSPLIT(D401," "), G401))) / COUNTA(_xlfn.TEXTSPLIT(D401," ")) &gt; 0.5,
      "Partial Match",
      "No Match"
   )
)</f>
        <v>No Match</v>
      </c>
      <c r="AG401" s="96"/>
      <c r="AH401" s="96"/>
      <c r="AI401" s="96"/>
      <c r="AJ401" s="96"/>
      <c r="AK401" s="96"/>
    </row>
    <row r="402" spans="4:37" ht="12.9" hidden="1">
      <c r="D402" s="118"/>
      <c r="K402" s="120" t="str" cm="1">
        <f t="array" aca="1" ref="K402" ca="1">IF(
   SUMPRODUCT(--ISNUMBER(SEARCH(_xlfn.TEXTSPLIT(D402," "), G402))) / COUNTA(_xlfn.TEXTSPLIT(D402," ")) = 1,
   "Full Match",
   IF(
      SUMPRODUCT(--ISNUMBER(SEARCH(_xlfn.TEXTSPLIT(D402," "), G402))) / COUNTA(_xlfn.TEXTSPLIT(D402," ")) &gt; 0.5,
      "Partial Match",
      "No Match"
   )
)</f>
        <v>No Match</v>
      </c>
      <c r="AG402" s="96"/>
      <c r="AH402" s="96"/>
      <c r="AI402" s="96"/>
      <c r="AJ402" s="96"/>
      <c r="AK402" s="96"/>
    </row>
    <row r="403" spans="4:37" ht="12.9" hidden="1">
      <c r="D403" s="118"/>
      <c r="K403" s="120" t="str" cm="1">
        <f t="array" aca="1" ref="K403" ca="1">IF(
   SUMPRODUCT(--ISNUMBER(SEARCH(_xlfn.TEXTSPLIT(D403," "), G403))) / COUNTA(_xlfn.TEXTSPLIT(D403," ")) = 1,
   "Full Match",
   IF(
      SUMPRODUCT(--ISNUMBER(SEARCH(_xlfn.TEXTSPLIT(D403," "), G403))) / COUNTA(_xlfn.TEXTSPLIT(D403," ")) &gt; 0.5,
      "Partial Match",
      "No Match"
   )
)</f>
        <v>No Match</v>
      </c>
      <c r="AG403" s="96"/>
      <c r="AH403" s="96"/>
      <c r="AI403" s="96"/>
      <c r="AJ403" s="96"/>
      <c r="AK403" s="96"/>
    </row>
    <row r="404" spans="4:37" ht="12.9" hidden="1">
      <c r="D404" s="118"/>
      <c r="K404" s="120" t="str" cm="1">
        <f t="array" aca="1" ref="K404" ca="1">IF(
   SUMPRODUCT(--ISNUMBER(SEARCH(_xlfn.TEXTSPLIT(D404," "), G404))) / COUNTA(_xlfn.TEXTSPLIT(D404," ")) = 1,
   "Full Match",
   IF(
      SUMPRODUCT(--ISNUMBER(SEARCH(_xlfn.TEXTSPLIT(D404," "), G404))) / COUNTA(_xlfn.TEXTSPLIT(D404," ")) &gt; 0.5,
      "Partial Match",
      "No Match"
   )
)</f>
        <v>No Match</v>
      </c>
      <c r="AG404" s="96"/>
      <c r="AH404" s="96"/>
      <c r="AI404" s="96"/>
      <c r="AJ404" s="96"/>
      <c r="AK404" s="96"/>
    </row>
    <row r="405" spans="4:37" ht="12.9" hidden="1">
      <c r="D405" s="118"/>
      <c r="K405" s="120" t="str" cm="1">
        <f t="array" aca="1" ref="K405" ca="1">IF(
   SUMPRODUCT(--ISNUMBER(SEARCH(_xlfn.TEXTSPLIT(D405," "), G405))) / COUNTA(_xlfn.TEXTSPLIT(D405," ")) = 1,
   "Full Match",
   IF(
      SUMPRODUCT(--ISNUMBER(SEARCH(_xlfn.TEXTSPLIT(D405," "), G405))) / COUNTA(_xlfn.TEXTSPLIT(D405," ")) &gt; 0.5,
      "Partial Match",
      "No Match"
   )
)</f>
        <v>No Match</v>
      </c>
      <c r="AG405" s="96"/>
      <c r="AH405" s="96"/>
      <c r="AI405" s="96"/>
      <c r="AJ405" s="96"/>
      <c r="AK405" s="96"/>
    </row>
    <row r="406" spans="4:37" ht="12.9" hidden="1">
      <c r="D406" s="118"/>
      <c r="K406" s="120" t="str" cm="1">
        <f t="array" aca="1" ref="K406" ca="1">IF(
   SUMPRODUCT(--ISNUMBER(SEARCH(_xlfn.TEXTSPLIT(D406," "), G406))) / COUNTA(_xlfn.TEXTSPLIT(D406," ")) = 1,
   "Full Match",
   IF(
      SUMPRODUCT(--ISNUMBER(SEARCH(_xlfn.TEXTSPLIT(D406," "), G406))) / COUNTA(_xlfn.TEXTSPLIT(D406," ")) &gt; 0.5,
      "Partial Match",
      "No Match"
   )
)</f>
        <v>No Match</v>
      </c>
      <c r="AG406" s="96"/>
      <c r="AH406" s="96"/>
      <c r="AI406" s="96"/>
      <c r="AJ406" s="96"/>
      <c r="AK406" s="96"/>
    </row>
    <row r="407" spans="4:37" ht="12.9" hidden="1">
      <c r="D407" s="118"/>
      <c r="K407" s="120" t="str" cm="1">
        <f t="array" aca="1" ref="K407" ca="1">IF(
   SUMPRODUCT(--ISNUMBER(SEARCH(_xlfn.TEXTSPLIT(D407," "), G407))) / COUNTA(_xlfn.TEXTSPLIT(D407," ")) = 1,
   "Full Match",
   IF(
      SUMPRODUCT(--ISNUMBER(SEARCH(_xlfn.TEXTSPLIT(D407," "), G407))) / COUNTA(_xlfn.TEXTSPLIT(D407," ")) &gt; 0.5,
      "Partial Match",
      "No Match"
   )
)</f>
        <v>No Match</v>
      </c>
      <c r="AG407" s="96"/>
      <c r="AH407" s="96"/>
      <c r="AI407" s="96"/>
      <c r="AJ407" s="96"/>
      <c r="AK407" s="96"/>
    </row>
    <row r="408" spans="4:37" ht="12.9" hidden="1">
      <c r="D408" s="118"/>
      <c r="K408" s="120" t="str" cm="1">
        <f t="array" aca="1" ref="K408" ca="1">IF(
   SUMPRODUCT(--ISNUMBER(SEARCH(_xlfn.TEXTSPLIT(D408," "), G408))) / COUNTA(_xlfn.TEXTSPLIT(D408," ")) = 1,
   "Full Match",
   IF(
      SUMPRODUCT(--ISNUMBER(SEARCH(_xlfn.TEXTSPLIT(D408," "), G408))) / COUNTA(_xlfn.TEXTSPLIT(D408," ")) &gt; 0.5,
      "Partial Match",
      "No Match"
   )
)</f>
        <v>No Match</v>
      </c>
      <c r="AG408" s="96"/>
      <c r="AH408" s="96"/>
      <c r="AI408" s="96"/>
      <c r="AJ408" s="96"/>
      <c r="AK408" s="96"/>
    </row>
    <row r="409" spans="4:37" ht="12.9" hidden="1">
      <c r="D409" s="118"/>
      <c r="K409" s="120" t="str" cm="1">
        <f t="array" aca="1" ref="K409" ca="1">IF(
   SUMPRODUCT(--ISNUMBER(SEARCH(_xlfn.TEXTSPLIT(D409," "), G409))) / COUNTA(_xlfn.TEXTSPLIT(D409," ")) = 1,
   "Full Match",
   IF(
      SUMPRODUCT(--ISNUMBER(SEARCH(_xlfn.TEXTSPLIT(D409," "), G409))) / COUNTA(_xlfn.TEXTSPLIT(D409," ")) &gt; 0.5,
      "Partial Match",
      "No Match"
   )
)</f>
        <v>No Match</v>
      </c>
      <c r="AG409" s="96"/>
      <c r="AH409" s="96"/>
      <c r="AI409" s="96"/>
      <c r="AJ409" s="96"/>
      <c r="AK409" s="96"/>
    </row>
    <row r="410" spans="4:37" ht="12.9" hidden="1">
      <c r="D410" s="118"/>
      <c r="K410" s="120" t="str" cm="1">
        <f t="array" aca="1" ref="K410" ca="1">IF(
   SUMPRODUCT(--ISNUMBER(SEARCH(_xlfn.TEXTSPLIT(D410," "), G410))) / COUNTA(_xlfn.TEXTSPLIT(D410," ")) = 1,
   "Full Match",
   IF(
      SUMPRODUCT(--ISNUMBER(SEARCH(_xlfn.TEXTSPLIT(D410," "), G410))) / COUNTA(_xlfn.TEXTSPLIT(D410," ")) &gt; 0.5,
      "Partial Match",
      "No Match"
   )
)</f>
        <v>No Match</v>
      </c>
      <c r="AG410" s="96"/>
      <c r="AH410" s="96"/>
      <c r="AI410" s="96"/>
      <c r="AJ410" s="96"/>
      <c r="AK410" s="96"/>
    </row>
    <row r="411" spans="4:37" ht="12.9" hidden="1">
      <c r="D411" s="118"/>
      <c r="K411" s="120" t="str" cm="1">
        <f t="array" aca="1" ref="K411" ca="1">IF(
   SUMPRODUCT(--ISNUMBER(SEARCH(_xlfn.TEXTSPLIT(D411," "), G411))) / COUNTA(_xlfn.TEXTSPLIT(D411," ")) = 1,
   "Full Match",
   IF(
      SUMPRODUCT(--ISNUMBER(SEARCH(_xlfn.TEXTSPLIT(D411," "), G411))) / COUNTA(_xlfn.TEXTSPLIT(D411," ")) &gt; 0.5,
      "Partial Match",
      "No Match"
   )
)</f>
        <v>No Match</v>
      </c>
      <c r="AG411" s="96"/>
      <c r="AH411" s="96"/>
      <c r="AI411" s="96"/>
      <c r="AJ411" s="96"/>
      <c r="AK411" s="96"/>
    </row>
    <row r="412" spans="4:37" ht="12.9" hidden="1">
      <c r="D412" s="118"/>
      <c r="K412" s="120" t="str" cm="1">
        <f t="array" aca="1" ref="K412" ca="1">IF(
   SUMPRODUCT(--ISNUMBER(SEARCH(_xlfn.TEXTSPLIT(D412," "), G412))) / COUNTA(_xlfn.TEXTSPLIT(D412," ")) = 1,
   "Full Match",
   IF(
      SUMPRODUCT(--ISNUMBER(SEARCH(_xlfn.TEXTSPLIT(D412," "), G412))) / COUNTA(_xlfn.TEXTSPLIT(D412," ")) &gt; 0.5,
      "Partial Match",
      "No Match"
   )
)</f>
        <v>No Match</v>
      </c>
      <c r="AG412" s="96"/>
      <c r="AH412" s="96"/>
      <c r="AI412" s="96"/>
      <c r="AJ412" s="96"/>
      <c r="AK412" s="96"/>
    </row>
    <row r="413" spans="4:37" ht="12.9" hidden="1">
      <c r="D413" s="118"/>
      <c r="K413" s="120" t="str" cm="1">
        <f t="array" aca="1" ref="K413" ca="1">IF(
   SUMPRODUCT(--ISNUMBER(SEARCH(_xlfn.TEXTSPLIT(D413," "), G413))) / COUNTA(_xlfn.TEXTSPLIT(D413," ")) = 1,
   "Full Match",
   IF(
      SUMPRODUCT(--ISNUMBER(SEARCH(_xlfn.TEXTSPLIT(D413," "), G413))) / COUNTA(_xlfn.TEXTSPLIT(D413," ")) &gt; 0.5,
      "Partial Match",
      "No Match"
   )
)</f>
        <v>No Match</v>
      </c>
      <c r="AG413" s="96"/>
      <c r="AH413" s="96"/>
      <c r="AI413" s="96"/>
      <c r="AJ413" s="96"/>
      <c r="AK413" s="96"/>
    </row>
    <row r="414" spans="4:37" ht="12.9" hidden="1">
      <c r="D414" s="118"/>
      <c r="K414" s="120" t="str" cm="1">
        <f t="array" aca="1" ref="K414" ca="1">IF(
   SUMPRODUCT(--ISNUMBER(SEARCH(_xlfn.TEXTSPLIT(D414," "), G414))) / COUNTA(_xlfn.TEXTSPLIT(D414," ")) = 1,
   "Full Match",
   IF(
      SUMPRODUCT(--ISNUMBER(SEARCH(_xlfn.TEXTSPLIT(D414," "), G414))) / COUNTA(_xlfn.TEXTSPLIT(D414," ")) &gt; 0.5,
      "Partial Match",
      "No Match"
   )
)</f>
        <v>No Match</v>
      </c>
      <c r="AG414" s="96"/>
      <c r="AH414" s="96"/>
      <c r="AI414" s="96"/>
      <c r="AJ414" s="96"/>
      <c r="AK414" s="96"/>
    </row>
    <row r="415" spans="4:37" ht="12.9" hidden="1">
      <c r="D415" s="118"/>
      <c r="K415" s="120" t="str" cm="1">
        <f t="array" aca="1" ref="K415" ca="1">IF(
   SUMPRODUCT(--ISNUMBER(SEARCH(_xlfn.TEXTSPLIT(D415," "), G415))) / COUNTA(_xlfn.TEXTSPLIT(D415," ")) = 1,
   "Full Match",
   IF(
      SUMPRODUCT(--ISNUMBER(SEARCH(_xlfn.TEXTSPLIT(D415," "), G415))) / COUNTA(_xlfn.TEXTSPLIT(D415," ")) &gt; 0.5,
      "Partial Match",
      "No Match"
   )
)</f>
        <v>No Match</v>
      </c>
      <c r="AG415" s="96"/>
      <c r="AH415" s="96"/>
      <c r="AI415" s="96"/>
      <c r="AJ415" s="96"/>
      <c r="AK415" s="96"/>
    </row>
    <row r="416" spans="4:37" ht="12.9" hidden="1">
      <c r="D416" s="118"/>
      <c r="K416" s="120" t="str" cm="1">
        <f t="array" aca="1" ref="K416" ca="1">IF(
   SUMPRODUCT(--ISNUMBER(SEARCH(_xlfn.TEXTSPLIT(D416," "), G416))) / COUNTA(_xlfn.TEXTSPLIT(D416," ")) = 1,
   "Full Match",
   IF(
      SUMPRODUCT(--ISNUMBER(SEARCH(_xlfn.TEXTSPLIT(D416," "), G416))) / COUNTA(_xlfn.TEXTSPLIT(D416," ")) &gt; 0.5,
      "Partial Match",
      "No Match"
   )
)</f>
        <v>No Match</v>
      </c>
      <c r="AG416" s="96"/>
      <c r="AH416" s="96"/>
      <c r="AI416" s="96"/>
      <c r="AJ416" s="96"/>
      <c r="AK416" s="96"/>
    </row>
    <row r="417" spans="4:37" ht="12.9" hidden="1">
      <c r="D417" s="118"/>
      <c r="K417" s="120" t="str" cm="1">
        <f t="array" aca="1" ref="K417" ca="1">IF(
   SUMPRODUCT(--ISNUMBER(SEARCH(_xlfn.TEXTSPLIT(D417," "), G417))) / COUNTA(_xlfn.TEXTSPLIT(D417," ")) = 1,
   "Full Match",
   IF(
      SUMPRODUCT(--ISNUMBER(SEARCH(_xlfn.TEXTSPLIT(D417," "), G417))) / COUNTA(_xlfn.TEXTSPLIT(D417," ")) &gt; 0.5,
      "Partial Match",
      "No Match"
   )
)</f>
        <v>No Match</v>
      </c>
      <c r="AG417" s="96"/>
      <c r="AH417" s="96"/>
      <c r="AI417" s="96"/>
      <c r="AJ417" s="96"/>
      <c r="AK417" s="96"/>
    </row>
    <row r="418" spans="4:37" ht="12.9" hidden="1">
      <c r="D418" s="118"/>
      <c r="K418" s="120" t="str" cm="1">
        <f t="array" aca="1" ref="K418" ca="1">IF(
   SUMPRODUCT(--ISNUMBER(SEARCH(_xlfn.TEXTSPLIT(D418," "), G418))) / COUNTA(_xlfn.TEXTSPLIT(D418," ")) = 1,
   "Full Match",
   IF(
      SUMPRODUCT(--ISNUMBER(SEARCH(_xlfn.TEXTSPLIT(D418," "), G418))) / COUNTA(_xlfn.TEXTSPLIT(D418," ")) &gt; 0.5,
      "Partial Match",
      "No Match"
   )
)</f>
        <v>No Match</v>
      </c>
      <c r="AG418" s="96"/>
      <c r="AH418" s="96"/>
      <c r="AI418" s="96"/>
      <c r="AJ418" s="96"/>
      <c r="AK418" s="96"/>
    </row>
    <row r="419" spans="4:37" ht="12.9" hidden="1">
      <c r="D419" s="118"/>
      <c r="K419" s="120" t="str" cm="1">
        <f t="array" aca="1" ref="K419" ca="1">IF(
   SUMPRODUCT(--ISNUMBER(SEARCH(_xlfn.TEXTSPLIT(D419," "), G419))) / COUNTA(_xlfn.TEXTSPLIT(D419," ")) = 1,
   "Full Match",
   IF(
      SUMPRODUCT(--ISNUMBER(SEARCH(_xlfn.TEXTSPLIT(D419," "), G419))) / COUNTA(_xlfn.TEXTSPLIT(D419," ")) &gt; 0.5,
      "Partial Match",
      "No Match"
   )
)</f>
        <v>No Match</v>
      </c>
      <c r="AG419" s="96"/>
      <c r="AH419" s="96"/>
      <c r="AI419" s="96"/>
      <c r="AJ419" s="96"/>
      <c r="AK419" s="96"/>
    </row>
    <row r="420" spans="4:37" ht="12.9" hidden="1">
      <c r="D420" s="118"/>
      <c r="K420" s="120" t="str" cm="1">
        <f t="array" aca="1" ref="K420" ca="1">IF(
   SUMPRODUCT(--ISNUMBER(SEARCH(_xlfn.TEXTSPLIT(D420," "), G420))) / COUNTA(_xlfn.TEXTSPLIT(D420," ")) = 1,
   "Full Match",
   IF(
      SUMPRODUCT(--ISNUMBER(SEARCH(_xlfn.TEXTSPLIT(D420," "), G420))) / COUNTA(_xlfn.TEXTSPLIT(D420," ")) &gt; 0.5,
      "Partial Match",
      "No Match"
   )
)</f>
        <v>No Match</v>
      </c>
      <c r="AG420" s="96"/>
      <c r="AH420" s="96"/>
      <c r="AI420" s="96"/>
      <c r="AJ420" s="96"/>
      <c r="AK420" s="96"/>
    </row>
    <row r="421" spans="4:37" ht="12.9" hidden="1">
      <c r="D421" s="118"/>
      <c r="K421" s="120" t="str" cm="1">
        <f t="array" aca="1" ref="K421" ca="1">IF(
   SUMPRODUCT(--ISNUMBER(SEARCH(_xlfn.TEXTSPLIT(D421," "), G421))) / COUNTA(_xlfn.TEXTSPLIT(D421," ")) = 1,
   "Full Match",
   IF(
      SUMPRODUCT(--ISNUMBER(SEARCH(_xlfn.TEXTSPLIT(D421," "), G421))) / COUNTA(_xlfn.TEXTSPLIT(D421," ")) &gt; 0.5,
      "Partial Match",
      "No Match"
   )
)</f>
        <v>No Match</v>
      </c>
      <c r="AG421" s="96"/>
      <c r="AH421" s="96"/>
      <c r="AI421" s="96"/>
      <c r="AJ421" s="96"/>
      <c r="AK421" s="96"/>
    </row>
    <row r="422" spans="4:37" ht="12.9" hidden="1">
      <c r="D422" s="118"/>
      <c r="K422" s="120" t="str" cm="1">
        <f t="array" aca="1" ref="K422" ca="1">IF(
   SUMPRODUCT(--ISNUMBER(SEARCH(_xlfn.TEXTSPLIT(D422," "), G422))) / COUNTA(_xlfn.TEXTSPLIT(D422," ")) = 1,
   "Full Match",
   IF(
      SUMPRODUCT(--ISNUMBER(SEARCH(_xlfn.TEXTSPLIT(D422," "), G422))) / COUNTA(_xlfn.TEXTSPLIT(D422," ")) &gt; 0.5,
      "Partial Match",
      "No Match"
   )
)</f>
        <v>No Match</v>
      </c>
      <c r="AG422" s="96"/>
      <c r="AH422" s="96"/>
      <c r="AI422" s="96"/>
      <c r="AJ422" s="96"/>
      <c r="AK422" s="96"/>
    </row>
    <row r="423" spans="4:37" ht="12.9" hidden="1">
      <c r="D423" s="118"/>
      <c r="K423" s="120" t="str" cm="1">
        <f t="array" aca="1" ref="K423" ca="1">IF(
   SUMPRODUCT(--ISNUMBER(SEARCH(_xlfn.TEXTSPLIT(D423," "), G423))) / COUNTA(_xlfn.TEXTSPLIT(D423," ")) = 1,
   "Full Match",
   IF(
      SUMPRODUCT(--ISNUMBER(SEARCH(_xlfn.TEXTSPLIT(D423," "), G423))) / COUNTA(_xlfn.TEXTSPLIT(D423," ")) &gt; 0.5,
      "Partial Match",
      "No Match"
   )
)</f>
        <v>No Match</v>
      </c>
      <c r="AG423" s="96"/>
      <c r="AH423" s="96"/>
      <c r="AI423" s="96"/>
      <c r="AJ423" s="96"/>
      <c r="AK423" s="96"/>
    </row>
    <row r="424" spans="4:37" ht="12.9" hidden="1">
      <c r="D424" s="118"/>
      <c r="K424" s="120" t="str" cm="1">
        <f t="array" aca="1" ref="K424" ca="1">IF(
   SUMPRODUCT(--ISNUMBER(SEARCH(_xlfn.TEXTSPLIT(D424," "), G424))) / COUNTA(_xlfn.TEXTSPLIT(D424," ")) = 1,
   "Full Match",
   IF(
      SUMPRODUCT(--ISNUMBER(SEARCH(_xlfn.TEXTSPLIT(D424," "), G424))) / COUNTA(_xlfn.TEXTSPLIT(D424," ")) &gt; 0.5,
      "Partial Match",
      "No Match"
   )
)</f>
        <v>No Match</v>
      </c>
      <c r="AG424" s="96"/>
      <c r="AH424" s="96"/>
      <c r="AI424" s="96"/>
      <c r="AJ424" s="96"/>
      <c r="AK424" s="96"/>
    </row>
    <row r="425" spans="4:37" ht="12.9" hidden="1">
      <c r="D425" s="118"/>
      <c r="K425" s="120" t="str" cm="1">
        <f t="array" aca="1" ref="K425" ca="1">IF(
   SUMPRODUCT(--ISNUMBER(SEARCH(_xlfn.TEXTSPLIT(D425," "), G425))) / COUNTA(_xlfn.TEXTSPLIT(D425," ")) = 1,
   "Full Match",
   IF(
      SUMPRODUCT(--ISNUMBER(SEARCH(_xlfn.TEXTSPLIT(D425," "), G425))) / COUNTA(_xlfn.TEXTSPLIT(D425," ")) &gt; 0.5,
      "Partial Match",
      "No Match"
   )
)</f>
        <v>No Match</v>
      </c>
      <c r="AG425" s="96"/>
      <c r="AH425" s="96"/>
      <c r="AI425" s="96"/>
      <c r="AJ425" s="96"/>
      <c r="AK425" s="96"/>
    </row>
    <row r="426" spans="4:37" ht="12.9" hidden="1">
      <c r="D426" s="118"/>
      <c r="K426" s="120" t="str" cm="1">
        <f t="array" aca="1" ref="K426" ca="1">IF(
   SUMPRODUCT(--ISNUMBER(SEARCH(_xlfn.TEXTSPLIT(D426," "), G426))) / COUNTA(_xlfn.TEXTSPLIT(D426," ")) = 1,
   "Full Match",
   IF(
      SUMPRODUCT(--ISNUMBER(SEARCH(_xlfn.TEXTSPLIT(D426," "), G426))) / COUNTA(_xlfn.TEXTSPLIT(D426," ")) &gt; 0.5,
      "Partial Match",
      "No Match"
   )
)</f>
        <v>No Match</v>
      </c>
      <c r="AG426" s="96"/>
      <c r="AH426" s="96"/>
      <c r="AI426" s="96"/>
      <c r="AJ426" s="96"/>
      <c r="AK426" s="96"/>
    </row>
    <row r="427" spans="4:37" ht="12.9" hidden="1">
      <c r="D427" s="118"/>
      <c r="K427" s="120" t="str" cm="1">
        <f t="array" aca="1" ref="K427" ca="1">IF(
   SUMPRODUCT(--ISNUMBER(SEARCH(_xlfn.TEXTSPLIT(D427," "), G427))) / COUNTA(_xlfn.TEXTSPLIT(D427," ")) = 1,
   "Full Match",
   IF(
      SUMPRODUCT(--ISNUMBER(SEARCH(_xlfn.TEXTSPLIT(D427," "), G427))) / COUNTA(_xlfn.TEXTSPLIT(D427," ")) &gt; 0.5,
      "Partial Match",
      "No Match"
   )
)</f>
        <v>No Match</v>
      </c>
      <c r="AG427" s="96"/>
      <c r="AH427" s="96"/>
      <c r="AI427" s="96"/>
      <c r="AJ427" s="96"/>
      <c r="AK427" s="96"/>
    </row>
    <row r="428" spans="4:37" ht="12.9" hidden="1">
      <c r="D428" s="118"/>
      <c r="K428" s="120" t="str" cm="1">
        <f t="array" aca="1" ref="K428" ca="1">IF(
   SUMPRODUCT(--ISNUMBER(SEARCH(_xlfn.TEXTSPLIT(D428," "), G428))) / COUNTA(_xlfn.TEXTSPLIT(D428," ")) = 1,
   "Full Match",
   IF(
      SUMPRODUCT(--ISNUMBER(SEARCH(_xlfn.TEXTSPLIT(D428," "), G428))) / COUNTA(_xlfn.TEXTSPLIT(D428," ")) &gt; 0.5,
      "Partial Match",
      "No Match"
   )
)</f>
        <v>No Match</v>
      </c>
      <c r="AG428" s="96"/>
      <c r="AH428" s="96"/>
      <c r="AI428" s="96"/>
      <c r="AJ428" s="96"/>
      <c r="AK428" s="96"/>
    </row>
    <row r="429" spans="4:37" ht="12.9" hidden="1">
      <c r="D429" s="118"/>
      <c r="K429" s="120" t="str" cm="1">
        <f t="array" aca="1" ref="K429" ca="1">IF(
   SUMPRODUCT(--ISNUMBER(SEARCH(_xlfn.TEXTSPLIT(D429," "), G429))) / COUNTA(_xlfn.TEXTSPLIT(D429," ")) = 1,
   "Full Match",
   IF(
      SUMPRODUCT(--ISNUMBER(SEARCH(_xlfn.TEXTSPLIT(D429," "), G429))) / COUNTA(_xlfn.TEXTSPLIT(D429," ")) &gt; 0.5,
      "Partial Match",
      "No Match"
   )
)</f>
        <v>No Match</v>
      </c>
      <c r="AG429" s="96"/>
      <c r="AH429" s="96"/>
      <c r="AI429" s="96"/>
      <c r="AJ429" s="96"/>
      <c r="AK429" s="96"/>
    </row>
    <row r="430" spans="4:37" ht="12.9" hidden="1">
      <c r="D430" s="118"/>
      <c r="K430" s="120" t="str" cm="1">
        <f t="array" aca="1" ref="K430" ca="1">IF(
   SUMPRODUCT(--ISNUMBER(SEARCH(_xlfn.TEXTSPLIT(D430," "), G430))) / COUNTA(_xlfn.TEXTSPLIT(D430," ")) = 1,
   "Full Match",
   IF(
      SUMPRODUCT(--ISNUMBER(SEARCH(_xlfn.TEXTSPLIT(D430," "), G430))) / COUNTA(_xlfn.TEXTSPLIT(D430," ")) &gt; 0.5,
      "Partial Match",
      "No Match"
   )
)</f>
        <v>No Match</v>
      </c>
      <c r="AG430" s="96"/>
      <c r="AH430" s="96"/>
      <c r="AI430" s="96"/>
      <c r="AJ430" s="96"/>
      <c r="AK430" s="96"/>
    </row>
    <row r="431" spans="4:37" ht="12.9" hidden="1">
      <c r="D431" s="118"/>
      <c r="K431" s="120" t="str" cm="1">
        <f t="array" aca="1" ref="K431" ca="1">IF(
   SUMPRODUCT(--ISNUMBER(SEARCH(_xlfn.TEXTSPLIT(D431," "), G431))) / COUNTA(_xlfn.TEXTSPLIT(D431," ")) = 1,
   "Full Match",
   IF(
      SUMPRODUCT(--ISNUMBER(SEARCH(_xlfn.TEXTSPLIT(D431," "), G431))) / COUNTA(_xlfn.TEXTSPLIT(D431," ")) &gt; 0.5,
      "Partial Match",
      "No Match"
   )
)</f>
        <v>No Match</v>
      </c>
      <c r="AG431" s="96"/>
      <c r="AH431" s="96"/>
      <c r="AI431" s="96"/>
      <c r="AJ431" s="96"/>
      <c r="AK431" s="96"/>
    </row>
    <row r="432" spans="4:37" ht="12.9" hidden="1">
      <c r="D432" s="118"/>
      <c r="K432" s="120" t="str" cm="1">
        <f t="array" aca="1" ref="K432" ca="1">IF(
   SUMPRODUCT(--ISNUMBER(SEARCH(_xlfn.TEXTSPLIT(D432," "), G432))) / COUNTA(_xlfn.TEXTSPLIT(D432," ")) = 1,
   "Full Match",
   IF(
      SUMPRODUCT(--ISNUMBER(SEARCH(_xlfn.TEXTSPLIT(D432," "), G432))) / COUNTA(_xlfn.TEXTSPLIT(D432," ")) &gt; 0.5,
      "Partial Match",
      "No Match"
   )
)</f>
        <v>No Match</v>
      </c>
      <c r="AG432" s="96"/>
      <c r="AH432" s="96"/>
      <c r="AI432" s="96"/>
      <c r="AJ432" s="96"/>
      <c r="AK432" s="96"/>
    </row>
    <row r="433" spans="4:37" ht="12.9" hidden="1">
      <c r="D433" s="118"/>
      <c r="K433" s="120" t="str" cm="1">
        <f t="array" aca="1" ref="K433" ca="1">IF(
   SUMPRODUCT(--ISNUMBER(SEARCH(_xlfn.TEXTSPLIT(D433," "), G433))) / COUNTA(_xlfn.TEXTSPLIT(D433," ")) = 1,
   "Full Match",
   IF(
      SUMPRODUCT(--ISNUMBER(SEARCH(_xlfn.TEXTSPLIT(D433," "), G433))) / COUNTA(_xlfn.TEXTSPLIT(D433," ")) &gt; 0.5,
      "Partial Match",
      "No Match"
   )
)</f>
        <v>No Match</v>
      </c>
      <c r="AG433" s="96"/>
      <c r="AH433" s="96"/>
      <c r="AI433" s="96"/>
      <c r="AJ433" s="96"/>
      <c r="AK433" s="96"/>
    </row>
    <row r="434" spans="4:37" ht="12.9" hidden="1">
      <c r="D434" s="118"/>
      <c r="K434" s="120" t="str" cm="1">
        <f t="array" aca="1" ref="K434" ca="1">IF(
   SUMPRODUCT(--ISNUMBER(SEARCH(_xlfn.TEXTSPLIT(D434," "), G434))) / COUNTA(_xlfn.TEXTSPLIT(D434," ")) = 1,
   "Full Match",
   IF(
      SUMPRODUCT(--ISNUMBER(SEARCH(_xlfn.TEXTSPLIT(D434," "), G434))) / COUNTA(_xlfn.TEXTSPLIT(D434," ")) &gt; 0.5,
      "Partial Match",
      "No Match"
   )
)</f>
        <v>No Match</v>
      </c>
      <c r="AG434" s="96"/>
      <c r="AH434" s="96"/>
      <c r="AI434" s="96"/>
      <c r="AJ434" s="96"/>
      <c r="AK434" s="96"/>
    </row>
    <row r="435" spans="4:37" ht="12.9" hidden="1">
      <c r="D435" s="118"/>
      <c r="K435" s="120" t="str" cm="1">
        <f t="array" aca="1" ref="K435" ca="1">IF(
   SUMPRODUCT(--ISNUMBER(SEARCH(_xlfn.TEXTSPLIT(D435," "), G435))) / COUNTA(_xlfn.TEXTSPLIT(D435," ")) = 1,
   "Full Match",
   IF(
      SUMPRODUCT(--ISNUMBER(SEARCH(_xlfn.TEXTSPLIT(D435," "), G435))) / COUNTA(_xlfn.TEXTSPLIT(D435," ")) &gt; 0.5,
      "Partial Match",
      "No Match"
   )
)</f>
        <v>No Match</v>
      </c>
      <c r="AG435" s="96"/>
      <c r="AH435" s="96"/>
      <c r="AI435" s="96"/>
      <c r="AJ435" s="96"/>
      <c r="AK435" s="96"/>
    </row>
    <row r="436" spans="4:37" ht="12.9" hidden="1">
      <c r="D436" s="118"/>
      <c r="K436" s="120" t="str" cm="1">
        <f t="array" aca="1" ref="K436" ca="1">IF(
   SUMPRODUCT(--ISNUMBER(SEARCH(_xlfn.TEXTSPLIT(D436," "), G436))) / COUNTA(_xlfn.TEXTSPLIT(D436," ")) = 1,
   "Full Match",
   IF(
      SUMPRODUCT(--ISNUMBER(SEARCH(_xlfn.TEXTSPLIT(D436," "), G436))) / COUNTA(_xlfn.TEXTSPLIT(D436," ")) &gt; 0.5,
      "Partial Match",
      "No Match"
   )
)</f>
        <v>No Match</v>
      </c>
      <c r="AG436" s="96"/>
      <c r="AH436" s="96"/>
      <c r="AI436" s="96"/>
      <c r="AJ436" s="96"/>
      <c r="AK436" s="96"/>
    </row>
    <row r="437" spans="4:37" ht="12.9" hidden="1">
      <c r="D437" s="118"/>
      <c r="K437" s="120" t="str" cm="1">
        <f t="array" aca="1" ref="K437" ca="1">IF(
   SUMPRODUCT(--ISNUMBER(SEARCH(_xlfn.TEXTSPLIT(D437," "), G437))) / COUNTA(_xlfn.TEXTSPLIT(D437," ")) = 1,
   "Full Match",
   IF(
      SUMPRODUCT(--ISNUMBER(SEARCH(_xlfn.TEXTSPLIT(D437," "), G437))) / COUNTA(_xlfn.TEXTSPLIT(D437," ")) &gt; 0.5,
      "Partial Match",
      "No Match"
   )
)</f>
        <v>No Match</v>
      </c>
      <c r="AG437" s="96"/>
      <c r="AH437" s="96"/>
      <c r="AI437" s="96"/>
      <c r="AJ437" s="96"/>
      <c r="AK437" s="96"/>
    </row>
    <row r="438" spans="4:37" ht="12.9" hidden="1">
      <c r="D438" s="118"/>
      <c r="K438" s="120" t="str" cm="1">
        <f t="array" aca="1" ref="K438" ca="1">IF(
   SUMPRODUCT(--ISNUMBER(SEARCH(_xlfn.TEXTSPLIT(D438," "), G438))) / COUNTA(_xlfn.TEXTSPLIT(D438," ")) = 1,
   "Full Match",
   IF(
      SUMPRODUCT(--ISNUMBER(SEARCH(_xlfn.TEXTSPLIT(D438," "), G438))) / COUNTA(_xlfn.TEXTSPLIT(D438," ")) &gt; 0.5,
      "Partial Match",
      "No Match"
   )
)</f>
        <v>No Match</v>
      </c>
      <c r="AG438" s="96"/>
      <c r="AH438" s="96"/>
      <c r="AI438" s="96"/>
      <c r="AJ438" s="96"/>
      <c r="AK438" s="96"/>
    </row>
    <row r="439" spans="4:37" ht="12.9" hidden="1">
      <c r="D439" s="118"/>
      <c r="K439" s="120" t="str" cm="1">
        <f t="array" aca="1" ref="K439" ca="1">IF(
   SUMPRODUCT(--ISNUMBER(SEARCH(_xlfn.TEXTSPLIT(D439," "), G439))) / COUNTA(_xlfn.TEXTSPLIT(D439," ")) = 1,
   "Full Match",
   IF(
      SUMPRODUCT(--ISNUMBER(SEARCH(_xlfn.TEXTSPLIT(D439," "), G439))) / COUNTA(_xlfn.TEXTSPLIT(D439," ")) &gt; 0.5,
      "Partial Match",
      "No Match"
   )
)</f>
        <v>No Match</v>
      </c>
      <c r="AG439" s="96"/>
      <c r="AH439" s="96"/>
      <c r="AI439" s="96"/>
      <c r="AJ439" s="96"/>
      <c r="AK439" s="96"/>
    </row>
    <row r="440" spans="4:37" ht="12.9" hidden="1">
      <c r="D440" s="118"/>
      <c r="K440" s="120" t="str" cm="1">
        <f t="array" aca="1" ref="K440" ca="1">IF(
   SUMPRODUCT(--ISNUMBER(SEARCH(_xlfn.TEXTSPLIT(D440," "), G440))) / COUNTA(_xlfn.TEXTSPLIT(D440," ")) = 1,
   "Full Match",
   IF(
      SUMPRODUCT(--ISNUMBER(SEARCH(_xlfn.TEXTSPLIT(D440," "), G440))) / COUNTA(_xlfn.TEXTSPLIT(D440," ")) &gt; 0.5,
      "Partial Match",
      "No Match"
   )
)</f>
        <v>No Match</v>
      </c>
      <c r="AG440" s="96"/>
      <c r="AH440" s="96"/>
      <c r="AI440" s="96"/>
      <c r="AJ440" s="96"/>
      <c r="AK440" s="96"/>
    </row>
    <row r="441" spans="4:37" ht="12.9" hidden="1">
      <c r="D441" s="118"/>
      <c r="K441" s="120" t="str" cm="1">
        <f t="array" aca="1" ref="K441" ca="1">IF(
   SUMPRODUCT(--ISNUMBER(SEARCH(_xlfn.TEXTSPLIT(D441," "), G441))) / COUNTA(_xlfn.TEXTSPLIT(D441," ")) = 1,
   "Full Match",
   IF(
      SUMPRODUCT(--ISNUMBER(SEARCH(_xlfn.TEXTSPLIT(D441," "), G441))) / COUNTA(_xlfn.TEXTSPLIT(D441," ")) &gt; 0.5,
      "Partial Match",
      "No Match"
   )
)</f>
        <v>No Match</v>
      </c>
      <c r="AG441" s="96"/>
      <c r="AH441" s="96"/>
      <c r="AI441" s="96"/>
      <c r="AJ441" s="96"/>
      <c r="AK441" s="96"/>
    </row>
    <row r="442" spans="4:37" ht="12.9" hidden="1">
      <c r="D442" s="118"/>
      <c r="K442" s="120" t="str" cm="1">
        <f t="array" aca="1" ref="K442" ca="1">IF(
   SUMPRODUCT(--ISNUMBER(SEARCH(_xlfn.TEXTSPLIT(D442," "), G442))) / COUNTA(_xlfn.TEXTSPLIT(D442," ")) = 1,
   "Full Match",
   IF(
      SUMPRODUCT(--ISNUMBER(SEARCH(_xlfn.TEXTSPLIT(D442," "), G442))) / COUNTA(_xlfn.TEXTSPLIT(D442," ")) &gt; 0.5,
      "Partial Match",
      "No Match"
   )
)</f>
        <v>No Match</v>
      </c>
      <c r="AG442" s="96"/>
      <c r="AH442" s="96"/>
      <c r="AI442" s="96"/>
      <c r="AJ442" s="96"/>
      <c r="AK442" s="96"/>
    </row>
    <row r="443" spans="4:37" ht="12.9" hidden="1">
      <c r="D443" s="118"/>
      <c r="K443" s="120" t="str" cm="1">
        <f t="array" aca="1" ref="K443" ca="1">IF(
   SUMPRODUCT(--ISNUMBER(SEARCH(_xlfn.TEXTSPLIT(D443," "), G443))) / COUNTA(_xlfn.TEXTSPLIT(D443," ")) = 1,
   "Full Match",
   IF(
      SUMPRODUCT(--ISNUMBER(SEARCH(_xlfn.TEXTSPLIT(D443," "), G443))) / COUNTA(_xlfn.TEXTSPLIT(D443," ")) &gt; 0.5,
      "Partial Match",
      "No Match"
   )
)</f>
        <v>No Match</v>
      </c>
      <c r="AG443" s="96"/>
      <c r="AH443" s="96"/>
      <c r="AI443" s="96"/>
      <c r="AJ443" s="96"/>
      <c r="AK443" s="96"/>
    </row>
    <row r="444" spans="4:37" ht="12.9" hidden="1">
      <c r="D444" s="118"/>
      <c r="K444" s="120" t="str" cm="1">
        <f t="array" aca="1" ref="K444" ca="1">IF(
   SUMPRODUCT(--ISNUMBER(SEARCH(_xlfn.TEXTSPLIT(D444," "), G444))) / COUNTA(_xlfn.TEXTSPLIT(D444," ")) = 1,
   "Full Match",
   IF(
      SUMPRODUCT(--ISNUMBER(SEARCH(_xlfn.TEXTSPLIT(D444," "), G444))) / COUNTA(_xlfn.TEXTSPLIT(D444," ")) &gt; 0.5,
      "Partial Match",
      "No Match"
   )
)</f>
        <v>No Match</v>
      </c>
      <c r="AG444" s="96"/>
      <c r="AH444" s="96"/>
      <c r="AI444" s="96"/>
      <c r="AJ444" s="96"/>
      <c r="AK444" s="96"/>
    </row>
    <row r="445" spans="4:37" ht="12.9" hidden="1">
      <c r="D445" s="118"/>
      <c r="K445" s="120" t="str" cm="1">
        <f t="array" aca="1" ref="K445" ca="1">IF(
   SUMPRODUCT(--ISNUMBER(SEARCH(_xlfn.TEXTSPLIT(D445," "), G445))) / COUNTA(_xlfn.TEXTSPLIT(D445," ")) = 1,
   "Full Match",
   IF(
      SUMPRODUCT(--ISNUMBER(SEARCH(_xlfn.TEXTSPLIT(D445," "), G445))) / COUNTA(_xlfn.TEXTSPLIT(D445," ")) &gt; 0.5,
      "Partial Match",
      "No Match"
   )
)</f>
        <v>No Match</v>
      </c>
      <c r="AG445" s="96"/>
      <c r="AH445" s="96"/>
      <c r="AI445" s="96"/>
      <c r="AJ445" s="96"/>
      <c r="AK445" s="96"/>
    </row>
    <row r="446" spans="4:37" ht="12.9" hidden="1">
      <c r="D446" s="118"/>
      <c r="K446" s="120" t="str" cm="1">
        <f t="array" aca="1" ref="K446" ca="1">IF(
   SUMPRODUCT(--ISNUMBER(SEARCH(_xlfn.TEXTSPLIT(D446," "), G446))) / COUNTA(_xlfn.TEXTSPLIT(D446," ")) = 1,
   "Full Match",
   IF(
      SUMPRODUCT(--ISNUMBER(SEARCH(_xlfn.TEXTSPLIT(D446," "), G446))) / COUNTA(_xlfn.TEXTSPLIT(D446," ")) &gt; 0.5,
      "Partial Match",
      "No Match"
   )
)</f>
        <v>No Match</v>
      </c>
      <c r="AG446" s="96"/>
      <c r="AH446" s="96"/>
      <c r="AI446" s="96"/>
      <c r="AJ446" s="96"/>
      <c r="AK446" s="96"/>
    </row>
    <row r="447" spans="4:37" ht="12.9" hidden="1">
      <c r="D447" s="118"/>
      <c r="K447" s="120" t="str" cm="1">
        <f t="array" aca="1" ref="K447" ca="1">IF(
   SUMPRODUCT(--ISNUMBER(SEARCH(_xlfn.TEXTSPLIT(D447," "), G447))) / COUNTA(_xlfn.TEXTSPLIT(D447," ")) = 1,
   "Full Match",
   IF(
      SUMPRODUCT(--ISNUMBER(SEARCH(_xlfn.TEXTSPLIT(D447," "), G447))) / COUNTA(_xlfn.TEXTSPLIT(D447," ")) &gt; 0.5,
      "Partial Match",
      "No Match"
   )
)</f>
        <v>No Match</v>
      </c>
      <c r="AG447" s="96"/>
      <c r="AH447" s="96"/>
      <c r="AI447" s="96"/>
      <c r="AJ447" s="96"/>
      <c r="AK447" s="96"/>
    </row>
    <row r="448" spans="4:37" ht="12.9" hidden="1">
      <c r="D448" s="118"/>
      <c r="K448" s="120" t="str" cm="1">
        <f t="array" aca="1" ref="K448" ca="1">IF(
   SUMPRODUCT(--ISNUMBER(SEARCH(_xlfn.TEXTSPLIT(D448," "), G448))) / COUNTA(_xlfn.TEXTSPLIT(D448," ")) = 1,
   "Full Match",
   IF(
      SUMPRODUCT(--ISNUMBER(SEARCH(_xlfn.TEXTSPLIT(D448," "), G448))) / COUNTA(_xlfn.TEXTSPLIT(D448," ")) &gt; 0.5,
      "Partial Match",
      "No Match"
   )
)</f>
        <v>No Match</v>
      </c>
      <c r="AG448" s="96"/>
      <c r="AH448" s="96"/>
      <c r="AI448" s="96"/>
      <c r="AJ448" s="96"/>
      <c r="AK448" s="96"/>
    </row>
    <row r="449" spans="4:37" ht="12.9" hidden="1">
      <c r="D449" s="118"/>
      <c r="K449" s="120" t="str" cm="1">
        <f t="array" aca="1" ref="K449" ca="1">IF(
   SUMPRODUCT(--ISNUMBER(SEARCH(_xlfn.TEXTSPLIT(D449," "), G449))) / COUNTA(_xlfn.TEXTSPLIT(D449," ")) = 1,
   "Full Match",
   IF(
      SUMPRODUCT(--ISNUMBER(SEARCH(_xlfn.TEXTSPLIT(D449," "), G449))) / COUNTA(_xlfn.TEXTSPLIT(D449," ")) &gt; 0.5,
      "Partial Match",
      "No Match"
   )
)</f>
        <v>No Match</v>
      </c>
      <c r="AG449" s="96"/>
      <c r="AH449" s="96"/>
      <c r="AI449" s="96"/>
      <c r="AJ449" s="96"/>
      <c r="AK449" s="96"/>
    </row>
    <row r="450" spans="4:37" ht="12.9" hidden="1">
      <c r="D450" s="118"/>
      <c r="K450" s="120" t="str" cm="1">
        <f t="array" aca="1" ref="K450" ca="1">IF(
   SUMPRODUCT(--ISNUMBER(SEARCH(_xlfn.TEXTSPLIT(D450," "), G450))) / COUNTA(_xlfn.TEXTSPLIT(D450," ")) = 1,
   "Full Match",
   IF(
      SUMPRODUCT(--ISNUMBER(SEARCH(_xlfn.TEXTSPLIT(D450," "), G450))) / COUNTA(_xlfn.TEXTSPLIT(D450," ")) &gt; 0.5,
      "Partial Match",
      "No Match"
   )
)</f>
        <v>No Match</v>
      </c>
      <c r="AG450" s="96"/>
      <c r="AH450" s="96"/>
      <c r="AI450" s="96"/>
      <c r="AJ450" s="96"/>
      <c r="AK450" s="96"/>
    </row>
    <row r="451" spans="4:37" ht="12.9" hidden="1">
      <c r="D451" s="118"/>
      <c r="K451" s="120" t="str" cm="1">
        <f t="array" aca="1" ref="K451" ca="1">IF(
   SUMPRODUCT(--ISNUMBER(SEARCH(_xlfn.TEXTSPLIT(D451," "), G451))) / COUNTA(_xlfn.TEXTSPLIT(D451," ")) = 1,
   "Full Match",
   IF(
      SUMPRODUCT(--ISNUMBER(SEARCH(_xlfn.TEXTSPLIT(D451," "), G451))) / COUNTA(_xlfn.TEXTSPLIT(D451," ")) &gt; 0.5,
      "Partial Match",
      "No Match"
   )
)</f>
        <v>No Match</v>
      </c>
      <c r="AG451" s="96"/>
      <c r="AH451" s="96"/>
      <c r="AI451" s="96"/>
      <c r="AJ451" s="96"/>
      <c r="AK451" s="96"/>
    </row>
    <row r="452" spans="4:37" ht="12.9" hidden="1">
      <c r="D452" s="118"/>
      <c r="K452" s="120" t="str" cm="1">
        <f t="array" aca="1" ref="K452" ca="1">IF(
   SUMPRODUCT(--ISNUMBER(SEARCH(_xlfn.TEXTSPLIT(D452," "), G452))) / COUNTA(_xlfn.TEXTSPLIT(D452," ")) = 1,
   "Full Match",
   IF(
      SUMPRODUCT(--ISNUMBER(SEARCH(_xlfn.TEXTSPLIT(D452," "), G452))) / COUNTA(_xlfn.TEXTSPLIT(D452," ")) &gt; 0.5,
      "Partial Match",
      "No Match"
   )
)</f>
        <v>No Match</v>
      </c>
      <c r="AG452" s="96"/>
      <c r="AH452" s="96"/>
      <c r="AI452" s="96"/>
      <c r="AJ452" s="96"/>
      <c r="AK452" s="96"/>
    </row>
    <row r="453" spans="4:37" ht="12.9" hidden="1">
      <c r="D453" s="118"/>
      <c r="K453" s="120" t="str" cm="1">
        <f t="array" aca="1" ref="K453" ca="1">IF(
   SUMPRODUCT(--ISNUMBER(SEARCH(_xlfn.TEXTSPLIT(D453," "), G453))) / COUNTA(_xlfn.TEXTSPLIT(D453," ")) = 1,
   "Full Match",
   IF(
      SUMPRODUCT(--ISNUMBER(SEARCH(_xlfn.TEXTSPLIT(D453," "), G453))) / COUNTA(_xlfn.TEXTSPLIT(D453," ")) &gt; 0.5,
      "Partial Match",
      "No Match"
   )
)</f>
        <v>No Match</v>
      </c>
      <c r="AG453" s="96"/>
      <c r="AH453" s="96"/>
      <c r="AI453" s="96"/>
      <c r="AJ453" s="96"/>
      <c r="AK453" s="96"/>
    </row>
    <row r="454" spans="4:37" ht="12.9" hidden="1">
      <c r="D454" s="118"/>
      <c r="K454" s="120" t="str" cm="1">
        <f t="array" aca="1" ref="K454" ca="1">IF(
   SUMPRODUCT(--ISNUMBER(SEARCH(_xlfn.TEXTSPLIT(D454," "), G454))) / COUNTA(_xlfn.TEXTSPLIT(D454," ")) = 1,
   "Full Match",
   IF(
      SUMPRODUCT(--ISNUMBER(SEARCH(_xlfn.TEXTSPLIT(D454," "), G454))) / COUNTA(_xlfn.TEXTSPLIT(D454," ")) &gt; 0.5,
      "Partial Match",
      "No Match"
   )
)</f>
        <v>No Match</v>
      </c>
      <c r="AG454" s="96"/>
      <c r="AH454" s="96"/>
      <c r="AI454" s="96"/>
      <c r="AJ454" s="96"/>
      <c r="AK454" s="96"/>
    </row>
    <row r="455" spans="4:37" ht="12.9" hidden="1">
      <c r="D455" s="118"/>
      <c r="K455" s="120" t="str" cm="1">
        <f t="array" aca="1" ref="K455" ca="1">IF(
   SUMPRODUCT(--ISNUMBER(SEARCH(_xlfn.TEXTSPLIT(D455," "), G455))) / COUNTA(_xlfn.TEXTSPLIT(D455," ")) = 1,
   "Full Match",
   IF(
      SUMPRODUCT(--ISNUMBER(SEARCH(_xlfn.TEXTSPLIT(D455," "), G455))) / COUNTA(_xlfn.TEXTSPLIT(D455," ")) &gt; 0.5,
      "Partial Match",
      "No Match"
   )
)</f>
        <v>No Match</v>
      </c>
      <c r="AG455" s="96"/>
      <c r="AH455" s="96"/>
      <c r="AI455" s="96"/>
      <c r="AJ455" s="96"/>
      <c r="AK455" s="96"/>
    </row>
    <row r="456" spans="4:37" ht="12.9" hidden="1">
      <c r="D456" s="118"/>
      <c r="K456" s="120" t="str" cm="1">
        <f t="array" aca="1" ref="K456" ca="1">IF(
   SUMPRODUCT(--ISNUMBER(SEARCH(_xlfn.TEXTSPLIT(D456," "), G456))) / COUNTA(_xlfn.TEXTSPLIT(D456," ")) = 1,
   "Full Match",
   IF(
      SUMPRODUCT(--ISNUMBER(SEARCH(_xlfn.TEXTSPLIT(D456," "), G456))) / COUNTA(_xlfn.TEXTSPLIT(D456," ")) &gt; 0.5,
      "Partial Match",
      "No Match"
   )
)</f>
        <v>No Match</v>
      </c>
      <c r="AG456" s="96"/>
      <c r="AH456" s="96"/>
      <c r="AI456" s="96"/>
      <c r="AJ456" s="96"/>
      <c r="AK456" s="96"/>
    </row>
    <row r="457" spans="4:37" ht="12.9" hidden="1">
      <c r="D457" s="118"/>
      <c r="K457" s="120" t="str" cm="1">
        <f t="array" aca="1" ref="K457" ca="1">IF(
   SUMPRODUCT(--ISNUMBER(SEARCH(_xlfn.TEXTSPLIT(D457," "), G457))) / COUNTA(_xlfn.TEXTSPLIT(D457," ")) = 1,
   "Full Match",
   IF(
      SUMPRODUCT(--ISNUMBER(SEARCH(_xlfn.TEXTSPLIT(D457," "), G457))) / COUNTA(_xlfn.TEXTSPLIT(D457," ")) &gt; 0.5,
      "Partial Match",
      "No Match"
   )
)</f>
        <v>No Match</v>
      </c>
      <c r="AG457" s="96"/>
      <c r="AH457" s="96"/>
      <c r="AI457" s="96"/>
      <c r="AJ457" s="96"/>
      <c r="AK457" s="96"/>
    </row>
    <row r="458" spans="4:37" ht="12.9" hidden="1">
      <c r="D458" s="118"/>
      <c r="K458" s="120" t="str" cm="1">
        <f t="array" aca="1" ref="K458" ca="1">IF(
   SUMPRODUCT(--ISNUMBER(SEARCH(_xlfn.TEXTSPLIT(D458," "), G458))) / COUNTA(_xlfn.TEXTSPLIT(D458," ")) = 1,
   "Full Match",
   IF(
      SUMPRODUCT(--ISNUMBER(SEARCH(_xlfn.TEXTSPLIT(D458," "), G458))) / COUNTA(_xlfn.TEXTSPLIT(D458," ")) &gt; 0.5,
      "Partial Match",
      "No Match"
   )
)</f>
        <v>No Match</v>
      </c>
      <c r="AG458" s="96"/>
      <c r="AH458" s="96"/>
      <c r="AI458" s="96"/>
      <c r="AJ458" s="96"/>
      <c r="AK458" s="96"/>
    </row>
    <row r="459" spans="4:37" ht="12.9" hidden="1">
      <c r="D459" s="118"/>
      <c r="K459" s="120" t="str" cm="1">
        <f t="array" aca="1" ref="K459" ca="1">IF(
   SUMPRODUCT(--ISNUMBER(SEARCH(_xlfn.TEXTSPLIT(D459," "), G459))) / COUNTA(_xlfn.TEXTSPLIT(D459," ")) = 1,
   "Full Match",
   IF(
      SUMPRODUCT(--ISNUMBER(SEARCH(_xlfn.TEXTSPLIT(D459," "), G459))) / COUNTA(_xlfn.TEXTSPLIT(D459," ")) &gt; 0.5,
      "Partial Match",
      "No Match"
   )
)</f>
        <v>No Match</v>
      </c>
      <c r="AG459" s="96"/>
      <c r="AH459" s="96"/>
      <c r="AI459" s="96"/>
      <c r="AJ459" s="96"/>
      <c r="AK459" s="96"/>
    </row>
    <row r="460" spans="4:37" ht="12.9" hidden="1">
      <c r="D460" s="118"/>
      <c r="K460" s="120" t="str" cm="1">
        <f t="array" aca="1" ref="K460" ca="1">IF(
   SUMPRODUCT(--ISNUMBER(SEARCH(_xlfn.TEXTSPLIT(D460," "), G460))) / COUNTA(_xlfn.TEXTSPLIT(D460," ")) = 1,
   "Full Match",
   IF(
      SUMPRODUCT(--ISNUMBER(SEARCH(_xlfn.TEXTSPLIT(D460," "), G460))) / COUNTA(_xlfn.TEXTSPLIT(D460," ")) &gt; 0.5,
      "Partial Match",
      "No Match"
   )
)</f>
        <v>No Match</v>
      </c>
      <c r="AG460" s="96"/>
      <c r="AH460" s="96"/>
      <c r="AI460" s="96"/>
      <c r="AJ460" s="96"/>
      <c r="AK460" s="96"/>
    </row>
    <row r="461" spans="4:37" ht="12.9" hidden="1">
      <c r="D461" s="118"/>
      <c r="K461" s="120" t="str" cm="1">
        <f t="array" aca="1" ref="K461" ca="1">IF(
   SUMPRODUCT(--ISNUMBER(SEARCH(_xlfn.TEXTSPLIT(D461," "), G461))) / COUNTA(_xlfn.TEXTSPLIT(D461," ")) = 1,
   "Full Match",
   IF(
      SUMPRODUCT(--ISNUMBER(SEARCH(_xlfn.TEXTSPLIT(D461," "), G461))) / COUNTA(_xlfn.TEXTSPLIT(D461," ")) &gt; 0.5,
      "Partial Match",
      "No Match"
   )
)</f>
        <v>No Match</v>
      </c>
      <c r="AG461" s="96"/>
      <c r="AH461" s="96"/>
      <c r="AI461" s="96"/>
      <c r="AJ461" s="96"/>
      <c r="AK461" s="96"/>
    </row>
    <row r="462" spans="4:37" ht="12.9" hidden="1">
      <c r="D462" s="118"/>
      <c r="K462" s="120" t="str" cm="1">
        <f t="array" aca="1" ref="K462" ca="1">IF(
   SUMPRODUCT(--ISNUMBER(SEARCH(_xlfn.TEXTSPLIT(D462," "), G462))) / COUNTA(_xlfn.TEXTSPLIT(D462," ")) = 1,
   "Full Match",
   IF(
      SUMPRODUCT(--ISNUMBER(SEARCH(_xlfn.TEXTSPLIT(D462," "), G462))) / COUNTA(_xlfn.TEXTSPLIT(D462," ")) &gt; 0.5,
      "Partial Match",
      "No Match"
   )
)</f>
        <v>No Match</v>
      </c>
      <c r="AG462" s="96"/>
      <c r="AH462" s="96"/>
      <c r="AI462" s="96"/>
      <c r="AJ462" s="96"/>
      <c r="AK462" s="96"/>
    </row>
    <row r="463" spans="4:37" ht="12.9" hidden="1">
      <c r="D463" s="118"/>
      <c r="K463" s="120" t="str" cm="1">
        <f t="array" aca="1" ref="K463" ca="1">IF(
   SUMPRODUCT(--ISNUMBER(SEARCH(_xlfn.TEXTSPLIT(D463," "), G463))) / COUNTA(_xlfn.TEXTSPLIT(D463," ")) = 1,
   "Full Match",
   IF(
      SUMPRODUCT(--ISNUMBER(SEARCH(_xlfn.TEXTSPLIT(D463," "), G463))) / COUNTA(_xlfn.TEXTSPLIT(D463," ")) &gt; 0.5,
      "Partial Match",
      "No Match"
   )
)</f>
        <v>No Match</v>
      </c>
      <c r="AG463" s="96"/>
      <c r="AH463" s="96"/>
      <c r="AI463" s="96"/>
      <c r="AJ463" s="96"/>
      <c r="AK463" s="96"/>
    </row>
    <row r="464" spans="4:37" ht="12.9" hidden="1">
      <c r="D464" s="118"/>
      <c r="K464" s="120" t="str" cm="1">
        <f t="array" aca="1" ref="K464" ca="1">IF(
   SUMPRODUCT(--ISNUMBER(SEARCH(_xlfn.TEXTSPLIT(D464," "), G464))) / COUNTA(_xlfn.TEXTSPLIT(D464," ")) = 1,
   "Full Match",
   IF(
      SUMPRODUCT(--ISNUMBER(SEARCH(_xlfn.TEXTSPLIT(D464," "), G464))) / COUNTA(_xlfn.TEXTSPLIT(D464," ")) &gt; 0.5,
      "Partial Match",
      "No Match"
   )
)</f>
        <v>No Match</v>
      </c>
      <c r="AG464" s="96"/>
      <c r="AH464" s="96"/>
      <c r="AI464" s="96"/>
      <c r="AJ464" s="96"/>
      <c r="AK464" s="96"/>
    </row>
    <row r="465" spans="4:37" ht="12.9" hidden="1">
      <c r="D465" s="118"/>
      <c r="K465" s="120" t="str" cm="1">
        <f t="array" aca="1" ref="K465" ca="1">IF(
   SUMPRODUCT(--ISNUMBER(SEARCH(_xlfn.TEXTSPLIT(D465," "), G465))) / COUNTA(_xlfn.TEXTSPLIT(D465," ")) = 1,
   "Full Match",
   IF(
      SUMPRODUCT(--ISNUMBER(SEARCH(_xlfn.TEXTSPLIT(D465," "), G465))) / COUNTA(_xlfn.TEXTSPLIT(D465," ")) &gt; 0.5,
      "Partial Match",
      "No Match"
   )
)</f>
        <v>No Match</v>
      </c>
      <c r="AG465" s="96"/>
      <c r="AH465" s="96"/>
      <c r="AI465" s="96"/>
      <c r="AJ465" s="96"/>
      <c r="AK465" s="96"/>
    </row>
    <row r="466" spans="4:37" ht="12.9" hidden="1">
      <c r="D466" s="118"/>
      <c r="K466" s="120" t="str" cm="1">
        <f t="array" aca="1" ref="K466" ca="1">IF(
   SUMPRODUCT(--ISNUMBER(SEARCH(_xlfn.TEXTSPLIT(D466," "), G466))) / COUNTA(_xlfn.TEXTSPLIT(D466," ")) = 1,
   "Full Match",
   IF(
      SUMPRODUCT(--ISNUMBER(SEARCH(_xlfn.TEXTSPLIT(D466," "), G466))) / COUNTA(_xlfn.TEXTSPLIT(D466," ")) &gt; 0.5,
      "Partial Match",
      "No Match"
   )
)</f>
        <v>No Match</v>
      </c>
      <c r="AG466" s="96"/>
      <c r="AH466" s="96"/>
      <c r="AI466" s="96"/>
      <c r="AJ466" s="96"/>
      <c r="AK466" s="96"/>
    </row>
    <row r="467" spans="4:37" ht="12.9" hidden="1">
      <c r="D467" s="118"/>
      <c r="K467" s="120" t="str" cm="1">
        <f t="array" aca="1" ref="K467" ca="1">IF(
   SUMPRODUCT(--ISNUMBER(SEARCH(_xlfn.TEXTSPLIT(D467," "), G467))) / COUNTA(_xlfn.TEXTSPLIT(D467," ")) = 1,
   "Full Match",
   IF(
      SUMPRODUCT(--ISNUMBER(SEARCH(_xlfn.TEXTSPLIT(D467," "), G467))) / COUNTA(_xlfn.TEXTSPLIT(D467," ")) &gt; 0.5,
      "Partial Match",
      "No Match"
   )
)</f>
        <v>No Match</v>
      </c>
      <c r="AG467" s="96"/>
      <c r="AH467" s="96"/>
      <c r="AI467" s="96"/>
      <c r="AJ467" s="96"/>
      <c r="AK467" s="96"/>
    </row>
    <row r="468" spans="4:37" ht="12.9" hidden="1">
      <c r="D468" s="118"/>
      <c r="K468" s="120" t="str" cm="1">
        <f t="array" aca="1" ref="K468" ca="1">IF(
   SUMPRODUCT(--ISNUMBER(SEARCH(_xlfn.TEXTSPLIT(D468," "), G468))) / COUNTA(_xlfn.TEXTSPLIT(D468," ")) = 1,
   "Full Match",
   IF(
      SUMPRODUCT(--ISNUMBER(SEARCH(_xlfn.TEXTSPLIT(D468," "), G468))) / COUNTA(_xlfn.TEXTSPLIT(D468," ")) &gt; 0.5,
      "Partial Match",
      "No Match"
   )
)</f>
        <v>No Match</v>
      </c>
      <c r="AG468" s="96"/>
      <c r="AH468" s="96"/>
      <c r="AI468" s="96"/>
      <c r="AJ468" s="96"/>
      <c r="AK468" s="96"/>
    </row>
    <row r="469" spans="4:37" ht="12.9" hidden="1">
      <c r="D469" s="118"/>
      <c r="K469" s="120" t="str" cm="1">
        <f t="array" aca="1" ref="K469" ca="1">IF(
   SUMPRODUCT(--ISNUMBER(SEARCH(_xlfn.TEXTSPLIT(D469," "), G469))) / COUNTA(_xlfn.TEXTSPLIT(D469," ")) = 1,
   "Full Match",
   IF(
      SUMPRODUCT(--ISNUMBER(SEARCH(_xlfn.TEXTSPLIT(D469," "), G469))) / COUNTA(_xlfn.TEXTSPLIT(D469," ")) &gt; 0.5,
      "Partial Match",
      "No Match"
   )
)</f>
        <v>No Match</v>
      </c>
      <c r="AG469" s="96"/>
      <c r="AH469" s="96"/>
      <c r="AI469" s="96"/>
      <c r="AJ469" s="96"/>
      <c r="AK469" s="96"/>
    </row>
    <row r="470" spans="4:37" ht="12.9" hidden="1">
      <c r="D470" s="118"/>
      <c r="K470" s="120" t="str" cm="1">
        <f t="array" aca="1" ref="K470" ca="1">IF(
   SUMPRODUCT(--ISNUMBER(SEARCH(_xlfn.TEXTSPLIT(D470," "), G470))) / COUNTA(_xlfn.TEXTSPLIT(D470," ")) = 1,
   "Full Match",
   IF(
      SUMPRODUCT(--ISNUMBER(SEARCH(_xlfn.TEXTSPLIT(D470," "), G470))) / COUNTA(_xlfn.TEXTSPLIT(D470," ")) &gt; 0.5,
      "Partial Match",
      "No Match"
   )
)</f>
        <v>No Match</v>
      </c>
      <c r="AG470" s="96"/>
      <c r="AH470" s="96"/>
      <c r="AI470" s="96"/>
      <c r="AJ470" s="96"/>
      <c r="AK470" s="96"/>
    </row>
    <row r="471" spans="4:37" ht="12.9" hidden="1">
      <c r="D471" s="118"/>
      <c r="K471" s="120" t="str" cm="1">
        <f t="array" aca="1" ref="K471" ca="1">IF(
   SUMPRODUCT(--ISNUMBER(SEARCH(_xlfn.TEXTSPLIT(D471," "), G471))) / COUNTA(_xlfn.TEXTSPLIT(D471," ")) = 1,
   "Full Match",
   IF(
      SUMPRODUCT(--ISNUMBER(SEARCH(_xlfn.TEXTSPLIT(D471," "), G471))) / COUNTA(_xlfn.TEXTSPLIT(D471," ")) &gt; 0.5,
      "Partial Match",
      "No Match"
   )
)</f>
        <v>No Match</v>
      </c>
      <c r="AG471" s="96"/>
      <c r="AH471" s="96"/>
      <c r="AI471" s="96"/>
      <c r="AJ471" s="96"/>
      <c r="AK471" s="96"/>
    </row>
    <row r="472" spans="4:37" ht="12.9" hidden="1">
      <c r="D472" s="118"/>
      <c r="K472" s="120" t="str" cm="1">
        <f t="array" aca="1" ref="K472" ca="1">IF(
   SUMPRODUCT(--ISNUMBER(SEARCH(_xlfn.TEXTSPLIT(D472," "), G472))) / COUNTA(_xlfn.TEXTSPLIT(D472," ")) = 1,
   "Full Match",
   IF(
      SUMPRODUCT(--ISNUMBER(SEARCH(_xlfn.TEXTSPLIT(D472," "), G472))) / COUNTA(_xlfn.TEXTSPLIT(D472," ")) &gt; 0.5,
      "Partial Match",
      "No Match"
   )
)</f>
        <v>No Match</v>
      </c>
      <c r="AG472" s="96"/>
      <c r="AH472" s="96"/>
      <c r="AI472" s="96"/>
      <c r="AJ472" s="96"/>
      <c r="AK472" s="96"/>
    </row>
    <row r="473" spans="4:37" ht="12.9" hidden="1">
      <c r="D473" s="118"/>
      <c r="K473" s="120" t="str" cm="1">
        <f t="array" aca="1" ref="K473" ca="1">IF(
   SUMPRODUCT(--ISNUMBER(SEARCH(_xlfn.TEXTSPLIT(D473," "), G473))) / COUNTA(_xlfn.TEXTSPLIT(D473," ")) = 1,
   "Full Match",
   IF(
      SUMPRODUCT(--ISNUMBER(SEARCH(_xlfn.TEXTSPLIT(D473," "), G473))) / COUNTA(_xlfn.TEXTSPLIT(D473," ")) &gt; 0.5,
      "Partial Match",
      "No Match"
   )
)</f>
        <v>No Match</v>
      </c>
      <c r="AG473" s="96"/>
      <c r="AH473" s="96"/>
      <c r="AI473" s="96"/>
      <c r="AJ473" s="96"/>
      <c r="AK473" s="96"/>
    </row>
    <row r="474" spans="4:37" ht="12.9" hidden="1">
      <c r="D474" s="118"/>
      <c r="K474" s="120" t="str" cm="1">
        <f t="array" aca="1" ref="K474" ca="1">IF(
   SUMPRODUCT(--ISNUMBER(SEARCH(_xlfn.TEXTSPLIT(D474," "), G474))) / COUNTA(_xlfn.TEXTSPLIT(D474," ")) = 1,
   "Full Match",
   IF(
      SUMPRODUCT(--ISNUMBER(SEARCH(_xlfn.TEXTSPLIT(D474," "), G474))) / COUNTA(_xlfn.TEXTSPLIT(D474," ")) &gt; 0.5,
      "Partial Match",
      "No Match"
   )
)</f>
        <v>No Match</v>
      </c>
      <c r="AG474" s="96"/>
      <c r="AH474" s="96"/>
      <c r="AI474" s="96"/>
      <c r="AJ474" s="96"/>
      <c r="AK474" s="96"/>
    </row>
    <row r="475" spans="4:37" ht="12.9" hidden="1">
      <c r="D475" s="118"/>
      <c r="K475" s="120" t="str" cm="1">
        <f t="array" aca="1" ref="K475" ca="1">IF(
   SUMPRODUCT(--ISNUMBER(SEARCH(_xlfn.TEXTSPLIT(D475," "), G475))) / COUNTA(_xlfn.TEXTSPLIT(D475," ")) = 1,
   "Full Match",
   IF(
      SUMPRODUCT(--ISNUMBER(SEARCH(_xlfn.TEXTSPLIT(D475," "), G475))) / COUNTA(_xlfn.TEXTSPLIT(D475," ")) &gt; 0.5,
      "Partial Match",
      "No Match"
   )
)</f>
        <v>No Match</v>
      </c>
      <c r="AG475" s="96"/>
      <c r="AH475" s="96"/>
      <c r="AI475" s="96"/>
      <c r="AJ475" s="96"/>
      <c r="AK475" s="96"/>
    </row>
    <row r="476" spans="4:37" ht="12.9" hidden="1">
      <c r="D476" s="118"/>
      <c r="K476" s="120" t="str" cm="1">
        <f t="array" aca="1" ref="K476" ca="1">IF(
   SUMPRODUCT(--ISNUMBER(SEARCH(_xlfn.TEXTSPLIT(D476," "), G476))) / COUNTA(_xlfn.TEXTSPLIT(D476," ")) = 1,
   "Full Match",
   IF(
      SUMPRODUCT(--ISNUMBER(SEARCH(_xlfn.TEXTSPLIT(D476," "), G476))) / COUNTA(_xlfn.TEXTSPLIT(D476," ")) &gt; 0.5,
      "Partial Match",
      "No Match"
   )
)</f>
        <v>No Match</v>
      </c>
      <c r="AG476" s="96"/>
      <c r="AH476" s="96"/>
      <c r="AI476" s="96"/>
      <c r="AJ476" s="96"/>
      <c r="AK476" s="96"/>
    </row>
    <row r="477" spans="4:37" ht="12.9" hidden="1">
      <c r="D477" s="118"/>
      <c r="K477" s="120" t="str" cm="1">
        <f t="array" aca="1" ref="K477" ca="1">IF(
   SUMPRODUCT(--ISNUMBER(SEARCH(_xlfn.TEXTSPLIT(D477," "), G477))) / COUNTA(_xlfn.TEXTSPLIT(D477," ")) = 1,
   "Full Match",
   IF(
      SUMPRODUCT(--ISNUMBER(SEARCH(_xlfn.TEXTSPLIT(D477," "), G477))) / COUNTA(_xlfn.TEXTSPLIT(D477," ")) &gt; 0.5,
      "Partial Match",
      "No Match"
   )
)</f>
        <v>No Match</v>
      </c>
      <c r="AG477" s="96"/>
      <c r="AH477" s="96"/>
      <c r="AI477" s="96"/>
      <c r="AJ477" s="96"/>
      <c r="AK477" s="96"/>
    </row>
    <row r="478" spans="4:37" ht="12.9" hidden="1">
      <c r="D478" s="118"/>
      <c r="K478" s="120" t="str" cm="1">
        <f t="array" aca="1" ref="K478" ca="1">IF(
   SUMPRODUCT(--ISNUMBER(SEARCH(_xlfn.TEXTSPLIT(D478," "), G478))) / COUNTA(_xlfn.TEXTSPLIT(D478," ")) = 1,
   "Full Match",
   IF(
      SUMPRODUCT(--ISNUMBER(SEARCH(_xlfn.TEXTSPLIT(D478," "), G478))) / COUNTA(_xlfn.TEXTSPLIT(D478," ")) &gt; 0.5,
      "Partial Match",
      "No Match"
   )
)</f>
        <v>No Match</v>
      </c>
      <c r="AG478" s="96"/>
      <c r="AH478" s="96"/>
      <c r="AI478" s="96"/>
      <c r="AJ478" s="96"/>
      <c r="AK478" s="96"/>
    </row>
    <row r="479" spans="4:37" ht="12.9" hidden="1">
      <c r="D479" s="118"/>
      <c r="K479" s="120" t="str" cm="1">
        <f t="array" aca="1" ref="K479" ca="1">IF(
   SUMPRODUCT(--ISNUMBER(SEARCH(_xlfn.TEXTSPLIT(D479," "), G479))) / COUNTA(_xlfn.TEXTSPLIT(D479," ")) = 1,
   "Full Match",
   IF(
      SUMPRODUCT(--ISNUMBER(SEARCH(_xlfn.TEXTSPLIT(D479," "), G479))) / COUNTA(_xlfn.TEXTSPLIT(D479," ")) &gt; 0.5,
      "Partial Match",
      "No Match"
   )
)</f>
        <v>No Match</v>
      </c>
      <c r="AG479" s="96"/>
      <c r="AH479" s="96"/>
      <c r="AI479" s="96"/>
      <c r="AJ479" s="96"/>
      <c r="AK479" s="96"/>
    </row>
    <row r="480" spans="4:37" ht="12.9" hidden="1">
      <c r="D480" s="118"/>
      <c r="K480" s="120" t="str" cm="1">
        <f t="array" aca="1" ref="K480" ca="1">IF(
   SUMPRODUCT(--ISNUMBER(SEARCH(_xlfn.TEXTSPLIT(D480," "), G480))) / COUNTA(_xlfn.TEXTSPLIT(D480," ")) = 1,
   "Full Match",
   IF(
      SUMPRODUCT(--ISNUMBER(SEARCH(_xlfn.TEXTSPLIT(D480," "), G480))) / COUNTA(_xlfn.TEXTSPLIT(D480," ")) &gt; 0.5,
      "Partial Match",
      "No Match"
   )
)</f>
        <v>No Match</v>
      </c>
      <c r="AG480" s="96"/>
      <c r="AH480" s="96"/>
      <c r="AI480" s="96"/>
      <c r="AJ480" s="96"/>
      <c r="AK480" s="96"/>
    </row>
    <row r="481" spans="4:37" ht="12.9" hidden="1">
      <c r="D481" s="118"/>
      <c r="K481" s="120" t="str" cm="1">
        <f t="array" aca="1" ref="K481" ca="1">IF(
   SUMPRODUCT(--ISNUMBER(SEARCH(_xlfn.TEXTSPLIT(D481," "), G481))) / COUNTA(_xlfn.TEXTSPLIT(D481," ")) = 1,
   "Full Match",
   IF(
      SUMPRODUCT(--ISNUMBER(SEARCH(_xlfn.TEXTSPLIT(D481," "), G481))) / COUNTA(_xlfn.TEXTSPLIT(D481," ")) &gt; 0.5,
      "Partial Match",
      "No Match"
   )
)</f>
        <v>No Match</v>
      </c>
      <c r="AG481" s="96"/>
      <c r="AH481" s="96"/>
      <c r="AI481" s="96"/>
      <c r="AJ481" s="96"/>
      <c r="AK481" s="96"/>
    </row>
    <row r="482" spans="4:37" ht="12.9" hidden="1">
      <c r="D482" s="118"/>
      <c r="K482" s="120" t="str" cm="1">
        <f t="array" aca="1" ref="K482" ca="1">IF(
   SUMPRODUCT(--ISNUMBER(SEARCH(_xlfn.TEXTSPLIT(D482," "), G482))) / COUNTA(_xlfn.TEXTSPLIT(D482," ")) = 1,
   "Full Match",
   IF(
      SUMPRODUCT(--ISNUMBER(SEARCH(_xlfn.TEXTSPLIT(D482," "), G482))) / COUNTA(_xlfn.TEXTSPLIT(D482," ")) &gt; 0.5,
      "Partial Match",
      "No Match"
   )
)</f>
        <v>No Match</v>
      </c>
      <c r="AG482" s="96"/>
      <c r="AH482" s="96"/>
      <c r="AI482" s="96"/>
      <c r="AJ482" s="96"/>
      <c r="AK482" s="96"/>
    </row>
    <row r="483" spans="4:37" ht="12.9" hidden="1">
      <c r="D483" s="118"/>
      <c r="K483" s="120" t="str" cm="1">
        <f t="array" aca="1" ref="K483" ca="1">IF(
   SUMPRODUCT(--ISNUMBER(SEARCH(_xlfn.TEXTSPLIT(D483," "), G483))) / COUNTA(_xlfn.TEXTSPLIT(D483," ")) = 1,
   "Full Match",
   IF(
      SUMPRODUCT(--ISNUMBER(SEARCH(_xlfn.TEXTSPLIT(D483," "), G483))) / COUNTA(_xlfn.TEXTSPLIT(D483," ")) &gt; 0.5,
      "Partial Match",
      "No Match"
   )
)</f>
        <v>No Match</v>
      </c>
      <c r="AG483" s="96"/>
      <c r="AH483" s="96"/>
      <c r="AI483" s="96"/>
      <c r="AJ483" s="96"/>
      <c r="AK483" s="96"/>
    </row>
    <row r="484" spans="4:37" ht="12.9" hidden="1">
      <c r="D484" s="118"/>
      <c r="K484" s="120" t="str" cm="1">
        <f t="array" aca="1" ref="K484" ca="1">IF(
   SUMPRODUCT(--ISNUMBER(SEARCH(_xlfn.TEXTSPLIT(D484," "), G484))) / COUNTA(_xlfn.TEXTSPLIT(D484," ")) = 1,
   "Full Match",
   IF(
      SUMPRODUCT(--ISNUMBER(SEARCH(_xlfn.TEXTSPLIT(D484," "), G484))) / COUNTA(_xlfn.TEXTSPLIT(D484," ")) &gt; 0.5,
      "Partial Match",
      "No Match"
   )
)</f>
        <v>No Match</v>
      </c>
      <c r="AG484" s="96"/>
      <c r="AH484" s="96"/>
      <c r="AI484" s="96"/>
      <c r="AJ484" s="96"/>
      <c r="AK484" s="96"/>
    </row>
    <row r="485" spans="4:37" ht="12.9" hidden="1">
      <c r="D485" s="118"/>
      <c r="K485" s="120" t="str" cm="1">
        <f t="array" aca="1" ref="K485" ca="1">IF(
   SUMPRODUCT(--ISNUMBER(SEARCH(_xlfn.TEXTSPLIT(D485," "), G485))) / COUNTA(_xlfn.TEXTSPLIT(D485," ")) = 1,
   "Full Match",
   IF(
      SUMPRODUCT(--ISNUMBER(SEARCH(_xlfn.TEXTSPLIT(D485," "), G485))) / COUNTA(_xlfn.TEXTSPLIT(D485," ")) &gt; 0.5,
      "Partial Match",
      "No Match"
   )
)</f>
        <v>No Match</v>
      </c>
      <c r="AG485" s="96"/>
      <c r="AH485" s="96"/>
      <c r="AI485" s="96"/>
      <c r="AJ485" s="96"/>
      <c r="AK485" s="96"/>
    </row>
    <row r="486" spans="4:37" ht="12.9" hidden="1">
      <c r="D486" s="118"/>
      <c r="K486" s="120" t="str" cm="1">
        <f t="array" aca="1" ref="K486" ca="1">IF(
   SUMPRODUCT(--ISNUMBER(SEARCH(_xlfn.TEXTSPLIT(D486," "), G486))) / COUNTA(_xlfn.TEXTSPLIT(D486," ")) = 1,
   "Full Match",
   IF(
      SUMPRODUCT(--ISNUMBER(SEARCH(_xlfn.TEXTSPLIT(D486," "), G486))) / COUNTA(_xlfn.TEXTSPLIT(D486," ")) &gt; 0.5,
      "Partial Match",
      "No Match"
   )
)</f>
        <v>No Match</v>
      </c>
      <c r="AG486" s="96"/>
      <c r="AH486" s="96"/>
      <c r="AI486" s="96"/>
      <c r="AJ486" s="96"/>
      <c r="AK486" s="96"/>
    </row>
    <row r="487" spans="4:37" ht="12.9" hidden="1">
      <c r="D487" s="118"/>
      <c r="K487" s="120" t="str" cm="1">
        <f t="array" aca="1" ref="K487" ca="1">IF(
   SUMPRODUCT(--ISNUMBER(SEARCH(_xlfn.TEXTSPLIT(D487," "), G487))) / COUNTA(_xlfn.TEXTSPLIT(D487," ")) = 1,
   "Full Match",
   IF(
      SUMPRODUCT(--ISNUMBER(SEARCH(_xlfn.TEXTSPLIT(D487," "), G487))) / COUNTA(_xlfn.TEXTSPLIT(D487," ")) &gt; 0.5,
      "Partial Match",
      "No Match"
   )
)</f>
        <v>No Match</v>
      </c>
      <c r="AG487" s="96"/>
      <c r="AH487" s="96"/>
      <c r="AI487" s="96"/>
      <c r="AJ487" s="96"/>
      <c r="AK487" s="96"/>
    </row>
    <row r="488" spans="4:37" ht="12.9" hidden="1">
      <c r="D488" s="118"/>
      <c r="K488" s="120" t="str" cm="1">
        <f t="array" aca="1" ref="K488" ca="1">IF(
   SUMPRODUCT(--ISNUMBER(SEARCH(_xlfn.TEXTSPLIT(D488," "), G488))) / COUNTA(_xlfn.TEXTSPLIT(D488," ")) = 1,
   "Full Match",
   IF(
      SUMPRODUCT(--ISNUMBER(SEARCH(_xlfn.TEXTSPLIT(D488," "), G488))) / COUNTA(_xlfn.TEXTSPLIT(D488," ")) &gt; 0.5,
      "Partial Match",
      "No Match"
   )
)</f>
        <v>No Match</v>
      </c>
      <c r="AG488" s="96"/>
      <c r="AH488" s="96"/>
      <c r="AI488" s="96"/>
      <c r="AJ488" s="96"/>
      <c r="AK488" s="96"/>
    </row>
    <row r="489" spans="4:37" ht="12.9" hidden="1">
      <c r="D489" s="118"/>
      <c r="K489" s="120" t="str" cm="1">
        <f t="array" aca="1" ref="K489" ca="1">IF(
   SUMPRODUCT(--ISNUMBER(SEARCH(_xlfn.TEXTSPLIT(D489," "), G489))) / COUNTA(_xlfn.TEXTSPLIT(D489," ")) = 1,
   "Full Match",
   IF(
      SUMPRODUCT(--ISNUMBER(SEARCH(_xlfn.TEXTSPLIT(D489," "), G489))) / COUNTA(_xlfn.TEXTSPLIT(D489," ")) &gt; 0.5,
      "Partial Match",
      "No Match"
   )
)</f>
        <v>No Match</v>
      </c>
      <c r="AG489" s="96"/>
      <c r="AH489" s="96"/>
      <c r="AI489" s="96"/>
      <c r="AJ489" s="96"/>
      <c r="AK489" s="96"/>
    </row>
    <row r="490" spans="4:37" ht="12.9" hidden="1">
      <c r="D490" s="118"/>
      <c r="K490" s="120" t="str" cm="1">
        <f t="array" aca="1" ref="K490" ca="1">IF(
   SUMPRODUCT(--ISNUMBER(SEARCH(_xlfn.TEXTSPLIT(D490," "), G490))) / COUNTA(_xlfn.TEXTSPLIT(D490," ")) = 1,
   "Full Match",
   IF(
      SUMPRODUCT(--ISNUMBER(SEARCH(_xlfn.TEXTSPLIT(D490," "), G490))) / COUNTA(_xlfn.TEXTSPLIT(D490," ")) &gt; 0.5,
      "Partial Match",
      "No Match"
   )
)</f>
        <v>No Match</v>
      </c>
      <c r="AG490" s="96"/>
      <c r="AH490" s="96"/>
      <c r="AI490" s="96"/>
      <c r="AJ490" s="96"/>
      <c r="AK490" s="96"/>
    </row>
    <row r="491" spans="4:37" ht="12.9" hidden="1">
      <c r="D491" s="118"/>
      <c r="K491" s="120" t="str" cm="1">
        <f t="array" aca="1" ref="K491" ca="1">IF(
   SUMPRODUCT(--ISNUMBER(SEARCH(_xlfn.TEXTSPLIT(D491," "), G491))) / COUNTA(_xlfn.TEXTSPLIT(D491," ")) = 1,
   "Full Match",
   IF(
      SUMPRODUCT(--ISNUMBER(SEARCH(_xlfn.TEXTSPLIT(D491," "), G491))) / COUNTA(_xlfn.TEXTSPLIT(D491," ")) &gt; 0.5,
      "Partial Match",
      "No Match"
   )
)</f>
        <v>No Match</v>
      </c>
      <c r="AG491" s="96"/>
      <c r="AH491" s="96"/>
      <c r="AI491" s="96"/>
      <c r="AJ491" s="96"/>
      <c r="AK491" s="96"/>
    </row>
    <row r="492" spans="4:37" ht="12.9" hidden="1">
      <c r="D492" s="118"/>
      <c r="K492" s="120" t="str" cm="1">
        <f t="array" aca="1" ref="K492" ca="1">IF(
   SUMPRODUCT(--ISNUMBER(SEARCH(_xlfn.TEXTSPLIT(D492," "), G492))) / COUNTA(_xlfn.TEXTSPLIT(D492," ")) = 1,
   "Full Match",
   IF(
      SUMPRODUCT(--ISNUMBER(SEARCH(_xlfn.TEXTSPLIT(D492," "), G492))) / COUNTA(_xlfn.TEXTSPLIT(D492," ")) &gt; 0.5,
      "Partial Match",
      "No Match"
   )
)</f>
        <v>No Match</v>
      </c>
      <c r="AG492" s="96"/>
      <c r="AH492" s="96"/>
      <c r="AI492" s="96"/>
      <c r="AJ492" s="96"/>
      <c r="AK492" s="96"/>
    </row>
    <row r="493" spans="4:37" ht="12.9" hidden="1">
      <c r="D493" s="118"/>
      <c r="K493" s="120" t="str" cm="1">
        <f t="array" aca="1" ref="K493" ca="1">IF(
   SUMPRODUCT(--ISNUMBER(SEARCH(_xlfn.TEXTSPLIT(D493," "), G493))) / COUNTA(_xlfn.TEXTSPLIT(D493," ")) = 1,
   "Full Match",
   IF(
      SUMPRODUCT(--ISNUMBER(SEARCH(_xlfn.TEXTSPLIT(D493," "), G493))) / COUNTA(_xlfn.TEXTSPLIT(D493," ")) &gt; 0.5,
      "Partial Match",
      "No Match"
   )
)</f>
        <v>No Match</v>
      </c>
      <c r="AG493" s="96"/>
      <c r="AH493" s="96"/>
      <c r="AI493" s="96"/>
      <c r="AJ493" s="96"/>
      <c r="AK493" s="96"/>
    </row>
    <row r="494" spans="4:37" ht="12.9" hidden="1">
      <c r="D494" s="118"/>
      <c r="K494" s="120" t="str" cm="1">
        <f t="array" aca="1" ref="K494" ca="1">IF(
   SUMPRODUCT(--ISNUMBER(SEARCH(_xlfn.TEXTSPLIT(D494," "), G494))) / COUNTA(_xlfn.TEXTSPLIT(D494," ")) = 1,
   "Full Match",
   IF(
      SUMPRODUCT(--ISNUMBER(SEARCH(_xlfn.TEXTSPLIT(D494," "), G494))) / COUNTA(_xlfn.TEXTSPLIT(D494," ")) &gt; 0.5,
      "Partial Match",
      "No Match"
   )
)</f>
        <v>No Match</v>
      </c>
      <c r="AG494" s="96"/>
      <c r="AH494" s="96"/>
      <c r="AI494" s="96"/>
      <c r="AJ494" s="96"/>
      <c r="AK494" s="96"/>
    </row>
    <row r="495" spans="4:37" ht="12.9" hidden="1">
      <c r="D495" s="118"/>
      <c r="K495" s="120" t="str" cm="1">
        <f t="array" aca="1" ref="K495" ca="1">IF(
   SUMPRODUCT(--ISNUMBER(SEARCH(_xlfn.TEXTSPLIT(D495," "), G495))) / COUNTA(_xlfn.TEXTSPLIT(D495," ")) = 1,
   "Full Match",
   IF(
      SUMPRODUCT(--ISNUMBER(SEARCH(_xlfn.TEXTSPLIT(D495," "), G495))) / COUNTA(_xlfn.TEXTSPLIT(D495," ")) &gt; 0.5,
      "Partial Match",
      "No Match"
   )
)</f>
        <v>No Match</v>
      </c>
      <c r="AG495" s="96"/>
      <c r="AH495" s="96"/>
      <c r="AI495" s="96"/>
      <c r="AJ495" s="96"/>
      <c r="AK495" s="96"/>
    </row>
    <row r="496" spans="4:37" ht="12.9" hidden="1">
      <c r="D496" s="118"/>
      <c r="K496" s="120" t="str" cm="1">
        <f t="array" aca="1" ref="K496" ca="1">IF(
   SUMPRODUCT(--ISNUMBER(SEARCH(_xlfn.TEXTSPLIT(D496," "), G496))) / COUNTA(_xlfn.TEXTSPLIT(D496," ")) = 1,
   "Full Match",
   IF(
      SUMPRODUCT(--ISNUMBER(SEARCH(_xlfn.TEXTSPLIT(D496," "), G496))) / COUNTA(_xlfn.TEXTSPLIT(D496," ")) &gt; 0.5,
      "Partial Match",
      "No Match"
   )
)</f>
        <v>No Match</v>
      </c>
      <c r="AG496" s="96"/>
      <c r="AH496" s="96"/>
      <c r="AI496" s="96"/>
      <c r="AJ496" s="96"/>
      <c r="AK496" s="96"/>
    </row>
    <row r="497" spans="4:37" ht="12.9" hidden="1">
      <c r="D497" s="118"/>
      <c r="K497" s="120" t="str" cm="1">
        <f t="array" aca="1" ref="K497" ca="1">IF(
   SUMPRODUCT(--ISNUMBER(SEARCH(_xlfn.TEXTSPLIT(D497," "), G497))) / COUNTA(_xlfn.TEXTSPLIT(D497," ")) = 1,
   "Full Match",
   IF(
      SUMPRODUCT(--ISNUMBER(SEARCH(_xlfn.TEXTSPLIT(D497," "), G497))) / COUNTA(_xlfn.TEXTSPLIT(D497," ")) &gt; 0.5,
      "Partial Match",
      "No Match"
   )
)</f>
        <v>No Match</v>
      </c>
      <c r="AG497" s="96"/>
      <c r="AH497" s="96"/>
      <c r="AI497" s="96"/>
      <c r="AJ497" s="96"/>
      <c r="AK497" s="96"/>
    </row>
    <row r="498" spans="4:37" ht="12.9" hidden="1">
      <c r="D498" s="118"/>
      <c r="K498" s="120" t="str" cm="1">
        <f t="array" aca="1" ref="K498" ca="1">IF(
   SUMPRODUCT(--ISNUMBER(SEARCH(_xlfn.TEXTSPLIT(D498," "), G498))) / COUNTA(_xlfn.TEXTSPLIT(D498," ")) = 1,
   "Full Match",
   IF(
      SUMPRODUCT(--ISNUMBER(SEARCH(_xlfn.TEXTSPLIT(D498," "), G498))) / COUNTA(_xlfn.TEXTSPLIT(D498," ")) &gt; 0.5,
      "Partial Match",
      "No Match"
   )
)</f>
        <v>No Match</v>
      </c>
      <c r="AG498" s="96"/>
      <c r="AH498" s="96"/>
      <c r="AI498" s="96"/>
      <c r="AJ498" s="96"/>
      <c r="AK498" s="96"/>
    </row>
    <row r="499" spans="4:37" ht="12.9" hidden="1">
      <c r="D499" s="118"/>
      <c r="K499" s="120" t="str" cm="1">
        <f t="array" aca="1" ref="K499" ca="1">IF(
   SUMPRODUCT(--ISNUMBER(SEARCH(_xlfn.TEXTSPLIT(D499," "), G499))) / COUNTA(_xlfn.TEXTSPLIT(D499," ")) = 1,
   "Full Match",
   IF(
      SUMPRODUCT(--ISNUMBER(SEARCH(_xlfn.TEXTSPLIT(D499," "), G499))) / COUNTA(_xlfn.TEXTSPLIT(D499," ")) &gt; 0.5,
      "Partial Match",
      "No Match"
   )
)</f>
        <v>No Match</v>
      </c>
      <c r="AG499" s="96"/>
      <c r="AH499" s="96"/>
      <c r="AI499" s="96"/>
      <c r="AJ499" s="96"/>
      <c r="AK499" s="96"/>
    </row>
    <row r="500" spans="4:37" ht="12.9" hidden="1">
      <c r="D500" s="118"/>
      <c r="K500" s="120" t="str" cm="1">
        <f t="array" aca="1" ref="K500" ca="1">IF(
   SUMPRODUCT(--ISNUMBER(SEARCH(_xlfn.TEXTSPLIT(D500," "), G500))) / COUNTA(_xlfn.TEXTSPLIT(D500," ")) = 1,
   "Full Match",
   IF(
      SUMPRODUCT(--ISNUMBER(SEARCH(_xlfn.TEXTSPLIT(D500," "), G500))) / COUNTA(_xlfn.TEXTSPLIT(D500," ")) &gt; 0.5,
      "Partial Match",
      "No Match"
   )
)</f>
        <v>No Match</v>
      </c>
      <c r="AG500" s="96"/>
      <c r="AH500" s="96"/>
      <c r="AI500" s="96"/>
      <c r="AJ500" s="96"/>
      <c r="AK500" s="96"/>
    </row>
    <row r="501" spans="4:37" ht="12.9" hidden="1">
      <c r="D501" s="118"/>
      <c r="K501" s="120" t="str" cm="1">
        <f t="array" aca="1" ref="K501" ca="1">IF(
   SUMPRODUCT(--ISNUMBER(SEARCH(_xlfn.TEXTSPLIT(D501," "), G501))) / COUNTA(_xlfn.TEXTSPLIT(D501," ")) = 1,
   "Full Match",
   IF(
      SUMPRODUCT(--ISNUMBER(SEARCH(_xlfn.TEXTSPLIT(D501," "), G501))) / COUNTA(_xlfn.TEXTSPLIT(D501," ")) &gt; 0.5,
      "Partial Match",
      "No Match"
   )
)</f>
        <v>No Match</v>
      </c>
      <c r="AG501" s="96"/>
      <c r="AH501" s="96"/>
      <c r="AI501" s="96"/>
      <c r="AJ501" s="96"/>
      <c r="AK501" s="96"/>
    </row>
    <row r="502" spans="4:37" ht="12.9" hidden="1">
      <c r="D502" s="118"/>
      <c r="K502" s="120" t="str" cm="1">
        <f t="array" aca="1" ref="K502" ca="1">IF(
   SUMPRODUCT(--ISNUMBER(SEARCH(_xlfn.TEXTSPLIT(D502," "), G502))) / COUNTA(_xlfn.TEXTSPLIT(D502," ")) = 1,
   "Full Match",
   IF(
      SUMPRODUCT(--ISNUMBER(SEARCH(_xlfn.TEXTSPLIT(D502," "), G502))) / COUNTA(_xlfn.TEXTSPLIT(D502," ")) &gt; 0.5,
      "Partial Match",
      "No Match"
   )
)</f>
        <v>No Match</v>
      </c>
      <c r="AG502" s="96"/>
      <c r="AH502" s="96"/>
      <c r="AI502" s="96"/>
      <c r="AJ502" s="96"/>
      <c r="AK502" s="96"/>
    </row>
    <row r="503" spans="4:37" ht="12.9">
      <c r="Q503" s="124"/>
      <c r="R503" s="124"/>
      <c r="T503" s="124"/>
      <c r="U503" s="124"/>
      <c r="Z503" s="124"/>
      <c r="AA503" s="124"/>
      <c r="AB503" s="124"/>
      <c r="AK503" s="96"/>
    </row>
    <row r="504" spans="4:37" ht="12.9">
      <c r="Q504" s="124"/>
      <c r="R504" s="124"/>
      <c r="Z504" s="124"/>
      <c r="AA504" s="124"/>
      <c r="AB504" s="124"/>
      <c r="AK504" s="96"/>
    </row>
    <row r="505" spans="4:37" ht="12.9">
      <c r="Q505" s="124"/>
      <c r="R505" s="124"/>
      <c r="Z505" s="124"/>
      <c r="AA505" s="124"/>
      <c r="AB505" s="124"/>
      <c r="AK505" s="96"/>
    </row>
    <row r="506" spans="4:37" ht="12.9">
      <c r="Q506" s="124"/>
      <c r="R506" s="124"/>
      <c r="Z506" s="124"/>
      <c r="AA506" s="124"/>
      <c r="AB506" s="124"/>
      <c r="AK506" s="96"/>
    </row>
    <row r="507" spans="4:37" ht="12.9">
      <c r="Q507" s="124"/>
      <c r="R507" s="124"/>
      <c r="Z507" s="124"/>
      <c r="AA507" s="124"/>
      <c r="AB507" s="124"/>
      <c r="AK507" s="96"/>
    </row>
    <row r="508" spans="4:37" ht="12.9">
      <c r="Q508" s="124"/>
      <c r="R508" s="124"/>
      <c r="Z508" s="124"/>
      <c r="AA508" s="124"/>
      <c r="AB508" s="124"/>
    </row>
    <row r="509" spans="4:37" ht="12.9">
      <c r="Q509" s="124"/>
      <c r="R509" s="124"/>
      <c r="Z509" s="124"/>
      <c r="AA509" s="124"/>
      <c r="AB509" s="124"/>
    </row>
    <row r="510" spans="4:37" ht="12.9">
      <c r="Q510" s="124"/>
      <c r="R510" s="124"/>
      <c r="Z510" s="124"/>
      <c r="AA510" s="124"/>
      <c r="AB510" s="124"/>
    </row>
    <row r="511" spans="4:37" ht="12.9">
      <c r="Q511" s="124"/>
      <c r="R511" s="124"/>
      <c r="Z511" s="124"/>
      <c r="AA511" s="124"/>
      <c r="AB511" s="124"/>
    </row>
    <row r="512" spans="4:37" ht="12.9">
      <c r="Z512" s="124"/>
      <c r="AA512" s="124"/>
      <c r="AB512" s="124"/>
    </row>
    <row r="513" spans="26:28" ht="12.9">
      <c r="Z513" s="124"/>
      <c r="AA513" s="124"/>
      <c r="AB513" s="124"/>
    </row>
    <row r="514" spans="26:28" ht="12.9">
      <c r="Z514" s="124"/>
      <c r="AA514" s="124"/>
      <c r="AB514" s="124"/>
    </row>
    <row r="515" spans="26:28" ht="12.9">
      <c r="Z515" s="124"/>
      <c r="AA515" s="124"/>
      <c r="AB515" s="124"/>
    </row>
    <row r="516" spans="26:28" ht="12.9">
      <c r="Z516" s="124"/>
      <c r="AA516" s="124"/>
      <c r="AB516" s="124"/>
    </row>
    <row r="517" spans="26:28" ht="12.9">
      <c r="Z517" s="124"/>
      <c r="AA517" s="124"/>
      <c r="AB517" s="124"/>
    </row>
    <row r="518" spans="26:28" ht="12.9">
      <c r="Z518" s="124"/>
      <c r="AA518" s="124"/>
      <c r="AB518" s="124"/>
    </row>
    <row r="519" spans="26:28" ht="12.9">
      <c r="Z519" s="124"/>
      <c r="AA519" s="124"/>
      <c r="AB519" s="124"/>
    </row>
    <row r="520" spans="26:28" ht="12.9">
      <c r="Z520" s="124"/>
      <c r="AA520" s="124"/>
      <c r="AB520" s="124"/>
    </row>
    <row r="521" spans="26:28" ht="12.9">
      <c r="Z521" s="124"/>
      <c r="AA521" s="124"/>
      <c r="AB521" s="124"/>
    </row>
    <row r="522" spans="26:28" ht="12.9">
      <c r="Z522" s="124"/>
      <c r="AA522" s="124"/>
      <c r="AB522" s="124"/>
    </row>
    <row r="523" spans="26:28" ht="12.9">
      <c r="Z523" s="124"/>
      <c r="AA523" s="124"/>
      <c r="AB523" s="124"/>
    </row>
    <row r="524" spans="26:28" ht="12.9">
      <c r="Z524" s="124"/>
      <c r="AA524" s="124"/>
      <c r="AB524" s="124"/>
    </row>
    <row r="525" spans="26:28" ht="12.9">
      <c r="Z525" s="124"/>
      <c r="AA525" s="124"/>
      <c r="AB525" s="124"/>
    </row>
    <row r="526" spans="26:28" ht="12.9">
      <c r="Z526" s="124"/>
      <c r="AA526" s="124"/>
      <c r="AB526" s="124"/>
    </row>
    <row r="527" spans="26:28" ht="12.9">
      <c r="Z527" s="124"/>
      <c r="AA527" s="124"/>
      <c r="AB527" s="124"/>
    </row>
    <row r="528" spans="26:28" ht="12.9">
      <c r="Z528" s="124"/>
      <c r="AA528" s="124"/>
      <c r="AB528" s="124"/>
    </row>
    <row r="529" spans="26:28" ht="12.9">
      <c r="Z529" s="124"/>
      <c r="AA529" s="124"/>
      <c r="AB529" s="124"/>
    </row>
    <row r="530" spans="26:28" ht="12.9">
      <c r="Z530" s="124"/>
      <c r="AA530" s="124"/>
      <c r="AB530" s="124"/>
    </row>
    <row r="531" spans="26:28" ht="12.9">
      <c r="Z531" s="124"/>
      <c r="AA531" s="124"/>
      <c r="AB531" s="124"/>
    </row>
    <row r="532" spans="26:28" ht="12.9">
      <c r="Z532" s="124"/>
      <c r="AA532" s="124"/>
      <c r="AB532" s="124"/>
    </row>
    <row r="533" spans="26:28" ht="12.9">
      <c r="Z533" s="124"/>
      <c r="AA533" s="124"/>
      <c r="AB533" s="124"/>
    </row>
    <row r="534" spans="26:28" ht="12.9">
      <c r="Z534" s="124"/>
      <c r="AA534" s="124"/>
      <c r="AB534" s="124"/>
    </row>
    <row r="535" spans="26:28" ht="12.9">
      <c r="Z535" s="124"/>
      <c r="AA535" s="124"/>
      <c r="AB535" s="124"/>
    </row>
    <row r="536" spans="26:28" ht="12.9">
      <c r="Z536" s="124"/>
      <c r="AA536" s="124"/>
      <c r="AB536" s="124"/>
    </row>
    <row r="537" spans="26:28" ht="12.9">
      <c r="Z537" s="124"/>
      <c r="AA537" s="124"/>
      <c r="AB537" s="124"/>
    </row>
  </sheetData>
  <mergeCells count="4">
    <mergeCell ref="AE1:AI1"/>
    <mergeCell ref="Z1:AC1"/>
    <mergeCell ref="J1:K1"/>
    <mergeCell ref="Q1:X1"/>
  </mergeCells>
  <hyperlinks>
    <hyperlink ref="D57" location="RANGE!_48pi1tg" display="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Section 6.6.1).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xr:uid="{B0E25817-7057-4A08-B5BE-637CC7B7217C}"/>
    <hyperlink ref="D58" location="RANGE!_1y810tw" display="This study will collect samples for biomarker assessments in all 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xr:uid="{69064B89-5AE8-4069-9072-B83DC20A5A8E}"/>
    <hyperlink ref="D70" location="RANGE!_1y810tw" display="Blood sampling will be conducted for analysis of exploratory PD and safety biomarkers. The timings of all PD assessments to be performed during the study are indicated in the SoA (Section 1.3)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xr:uid="{C5879A55-16C9-4205-97D9-BD27DB705D6F}"/>
  </hyperlink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9DC4F96-889B-44A9-A119-CF8245EFD8EB}">
          <x14:formula1>
            <xm:f>Summary!$D$12:$L$12</xm:f>
          </x14:formula1>
          <xm:sqref>H1:H1048576 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9D00-E2A1-4C08-B86C-B008B1E241B8}">
  <dimension ref="A2:K27"/>
  <sheetViews>
    <sheetView workbookViewId="0">
      <selection activeCell="C5" sqref="C5"/>
    </sheetView>
  </sheetViews>
  <sheetFormatPr defaultColWidth="9" defaultRowHeight="13.75"/>
  <cols>
    <col min="1" max="1" width="51.640625" style="74" bestFit="1" customWidth="1"/>
    <col min="2" max="3" width="9" style="74"/>
    <col min="4" max="4" width="20.35546875" style="74" customWidth="1"/>
    <col min="5" max="5" width="31.5" style="74" bestFit="1" customWidth="1"/>
    <col min="6" max="6" width="18.140625" style="74" customWidth="1"/>
    <col min="7" max="7" width="20.85546875" style="74" customWidth="1"/>
    <col min="8" max="8" width="31.5" style="74" bestFit="1" customWidth="1"/>
    <col min="9" max="9" width="21.140625" style="74" customWidth="1"/>
    <col min="10" max="10" width="9" style="74"/>
    <col min="11" max="11" width="14" style="74" bestFit="1" customWidth="1"/>
    <col min="12" max="16384" width="9" style="74"/>
  </cols>
  <sheetData>
    <row r="2" spans="1:11" ht="14.6">
      <c r="A2" s="99" t="s">
        <v>72</v>
      </c>
      <c r="B2" s="99"/>
      <c r="C2" s="99" t="s">
        <v>73</v>
      </c>
      <c r="D2" s="99" t="s">
        <v>74</v>
      </c>
      <c r="E2" s="100" t="s">
        <v>75</v>
      </c>
      <c r="F2" s="99" t="s">
        <v>76</v>
      </c>
      <c r="G2" s="99" t="s">
        <v>77</v>
      </c>
      <c r="H2" s="100" t="s">
        <v>78</v>
      </c>
      <c r="I2" s="100" t="s">
        <v>79</v>
      </c>
      <c r="J2" s="100" t="s">
        <v>80</v>
      </c>
      <c r="K2" s="100" t="s">
        <v>81</v>
      </c>
    </row>
    <row r="3" spans="1:11">
      <c r="A3" s="74" t="str" cm="1">
        <f t="array" aca="1" ref="A3:K17" ca="1">_xlfn._xlws.FILTER(QA!A3:K500, QA!C3:C500="Inline")</f>
        <v>&lt;Sponsor's Name&gt;</v>
      </c>
      <c r="B3" s="74">
        <f ca="1"/>
        <v>0</v>
      </c>
      <c r="C3" s="74" t="str">
        <f ca="1"/>
        <v>Inline</v>
      </c>
      <c r="D3" s="74" t="str">
        <f ca="1"/>
        <v>Stendarr, Inc</v>
      </c>
      <c r="E3" s="74" t="str">
        <f ca="1"/>
        <v>Mock_CSR_Protocol.docx</v>
      </c>
      <c r="F3" s="74">
        <f ca="1"/>
        <v>0</v>
      </c>
      <c r="G3" s="74" t="str">
        <f ca="1"/>
        <v>Sponsor</v>
      </c>
      <c r="H3" s="74">
        <f ca="1"/>
        <v>0</v>
      </c>
      <c r="I3" s="74" t="e">
        <f ca="1"/>
        <v>#NAME?</v>
      </c>
      <c r="J3" s="70" t="e" vm="1">
        <f ca="1"/>
        <v>#VALUE!</v>
      </c>
      <c r="K3" s="74">
        <f ca="1"/>
        <v>0</v>
      </c>
    </row>
    <row r="4" spans="1:11">
      <c r="A4" s="74" t="str">
        <f ca="1"/>
        <v>&lt;Study Title&gt;</v>
      </c>
      <c r="B4" s="74">
        <f ca="1"/>
        <v>0</v>
      </c>
      <c r="C4" s="74" t="str">
        <f ca="1"/>
        <v>Inline</v>
      </c>
      <c r="D4" s="74" t="str">
        <f ca="1"/>
        <v>A First-In-Human, Phase 1, Randomized, Double-Blind, Placebo-Controlled Study to Evaluate the Safety, Tolerability, and Pharmacokinetics of ABC-123 as a Single Dose in Healthy Participants and as Multiple Doses in Participants with Grade 2 Boneitis</v>
      </c>
      <c r="E4" s="74" t="str">
        <f ca="1"/>
        <v>Mock_CSR_Protocol.docx</v>
      </c>
      <c r="F4" s="74" t="str">
        <f ca="1"/>
        <v>Insert the full official study title as a formatted paragraph.</v>
      </c>
      <c r="G4" s="74">
        <f ca="1"/>
        <v>0</v>
      </c>
      <c r="H4" s="74">
        <f ca="1"/>
        <v>0</v>
      </c>
      <c r="I4" s="74" t="e">
        <f ca="1"/>
        <v>#NAME?</v>
      </c>
      <c r="J4" s="70" t="e" vm="1">
        <f ca="1"/>
        <v>#VALUE!</v>
      </c>
      <c r="K4" s="74">
        <f ca="1"/>
        <v>0</v>
      </c>
    </row>
    <row r="5" spans="1:11">
      <c r="A5" s="74" t="str">
        <f ca="1"/>
        <v>&lt;Sponsor's Name&gt;</v>
      </c>
      <c r="B5" s="74">
        <f ca="1"/>
        <v>0</v>
      </c>
      <c r="C5" s="74" t="str">
        <f ca="1"/>
        <v>Inline</v>
      </c>
      <c r="D5" s="74" t="str">
        <f ca="1"/>
        <v>Stendarr, Inc</v>
      </c>
      <c r="E5" s="74" t="str">
        <f ca="1"/>
        <v>Mock_CSR_Protocol.docx</v>
      </c>
      <c r="F5" s="74">
        <f ca="1"/>
        <v>0</v>
      </c>
      <c r="G5" s="74" t="str">
        <f ca="1"/>
        <v>Sponsor</v>
      </c>
      <c r="H5" s="74">
        <f ca="1"/>
        <v>0</v>
      </c>
      <c r="I5" s="74" t="e">
        <f ca="1"/>
        <v>#NAME?</v>
      </c>
      <c r="J5" s="70" t="e" vm="1">
        <f ca="1"/>
        <v>#VALUE!</v>
      </c>
      <c r="K5" s="74">
        <f ca="1"/>
        <v>0</v>
      </c>
    </row>
    <row r="6" spans="1:11">
      <c r="A6" s="74" t="str">
        <f ca="1"/>
        <v>&lt;Sponsor's Name&gt;</v>
      </c>
      <c r="B6" s="74">
        <f ca="1"/>
        <v>0</v>
      </c>
      <c r="C6" s="74" t="str">
        <f ca="1"/>
        <v>Inline</v>
      </c>
      <c r="D6" s="74" t="str">
        <f ca="1"/>
        <v>Stendarr, Inc</v>
      </c>
      <c r="E6" s="74" t="str">
        <f ca="1"/>
        <v>Mock_CSR_Protocol.docx</v>
      </c>
      <c r="F6" s="74" t="str">
        <f ca="1"/>
        <v>Provide the Sponsor's name exactly as stated in the authoritative context.</v>
      </c>
      <c r="G6" s="74" t="str">
        <f ca="1"/>
        <v>Sponsor</v>
      </c>
      <c r="H6" s="74">
        <f ca="1"/>
        <v>0</v>
      </c>
      <c r="I6" s="74" t="e">
        <f ca="1"/>
        <v>#NAME?</v>
      </c>
      <c r="J6" s="70" t="e" vm="1">
        <f ca="1"/>
        <v>#VALUE!</v>
      </c>
      <c r="K6" s="74">
        <f ca="1"/>
        <v>0</v>
      </c>
    </row>
    <row r="7" spans="1:11">
      <c r="A7" s="74" t="str">
        <f ca="1"/>
        <v>&lt;Sponsor&gt;</v>
      </c>
      <c r="B7" s="74">
        <f ca="1"/>
        <v>0</v>
      </c>
      <c r="C7" s="74" t="str">
        <f ca="1"/>
        <v>Inline</v>
      </c>
      <c r="D7" s="74" t="str">
        <f ca="1"/>
        <v>Stendarr, Inc</v>
      </c>
      <c r="E7" s="74" t="str">
        <f ca="1"/>
        <v>Mock_CSR_Protocol.docx</v>
      </c>
      <c r="F7" s="74" t="str">
        <f ca="1"/>
        <v>Insert the Sponsor name inline, matching the format and continuity of the surrounding text.</v>
      </c>
      <c r="G7" s="74" t="str">
        <f ca="1"/>
        <v>Stendarr, Inc.</v>
      </c>
      <c r="H7" s="74">
        <f ca="1"/>
        <v>0</v>
      </c>
      <c r="I7" s="74" t="e">
        <f ca="1"/>
        <v>#NAME?</v>
      </c>
      <c r="J7" s="70" t="e" vm="1">
        <f ca="1"/>
        <v>#VALUE!</v>
      </c>
      <c r="K7" s="74">
        <f ca="1"/>
        <v>0</v>
      </c>
    </row>
    <row r="8" spans="1:11">
      <c r="A8" s="74" t="str">
        <f ca="1"/>
        <v>&lt;xx study centers by xx investigators&gt;</v>
      </c>
      <c r="B8" s="74">
        <f ca="1"/>
        <v>0</v>
      </c>
      <c r="C8" s="74" t="str">
        <f ca="1"/>
        <v>Inline</v>
      </c>
      <c r="D8" s="74">
        <f ca="1"/>
        <v>0</v>
      </c>
      <c r="E8" s="74" t="str">
        <f ca="1"/>
        <v>Mock_CSR_Protocol.docx</v>
      </c>
      <c r="F8" s="74" t="str">
        <f ca="1"/>
        <v>Replace the placeholder with the number of study centers and investigators if available.</v>
      </c>
      <c r="G8" s="74" t="str">
        <f ca="1"/>
        <v xml:space="preserve">in cooperation with a number of support organizations (Table 1). A list of investigators and other important participants in the study is provided in Appendix 16.1.4.  
Signatures of the Coordinating Investigator and the Sponsor's responsible medical officer are included in Appendix 16.1.5.  </v>
      </c>
      <c r="H8" s="74">
        <f ca="1"/>
        <v>0</v>
      </c>
      <c r="I8" s="74" t="e">
        <f ca="1"/>
        <v>#NAME?</v>
      </c>
      <c r="J8" s="70" t="e" vm="1">
        <f ca="1"/>
        <v>#VALUE!</v>
      </c>
      <c r="K8" s="74">
        <f ca="1"/>
        <v>0</v>
      </c>
    </row>
    <row r="9" spans="1:11">
      <c r="A9" s="74" t="str">
        <f ca="1"/>
        <v>&lt;Figure X&gt;</v>
      </c>
      <c r="B9" s="74">
        <f ca="1"/>
        <v>0</v>
      </c>
      <c r="C9" s="74" t="str">
        <f ca="1"/>
        <v>Inline</v>
      </c>
      <c r="D9" s="74">
        <f ca="1"/>
        <v>0</v>
      </c>
      <c r="E9" s="74">
        <f ca="1"/>
        <v>0</v>
      </c>
      <c r="F9" s="74">
        <f ca="1"/>
        <v>0</v>
      </c>
      <c r="G9" s="74">
        <f ca="1"/>
        <v>0</v>
      </c>
      <c r="H9" s="74">
        <f ca="1"/>
        <v>0</v>
      </c>
      <c r="I9" s="74" t="e">
        <f ca="1"/>
        <v>#NAME?</v>
      </c>
      <c r="J9" s="70" t="e" vm="1">
        <f ca="1"/>
        <v>#VALUE!</v>
      </c>
      <c r="K9" s="74">
        <f ca="1"/>
        <v>0</v>
      </c>
    </row>
    <row r="10" spans="1:11">
      <c r="A10" s="74" t="str">
        <f ca="1"/>
        <v>&lt;Date of Report&gt;</v>
      </c>
      <c r="B10" s="74">
        <f ca="1"/>
        <v>0</v>
      </c>
      <c r="C10" s="74" t="str">
        <f ca="1"/>
        <v>Inline</v>
      </c>
      <c r="D10" s="74">
        <f ca="1"/>
        <v>46082</v>
      </c>
      <c r="E10" s="74">
        <f ca="1"/>
        <v>0</v>
      </c>
      <c r="F10" s="74" t="str">
        <f ca="1"/>
        <v>Insert the report date in the format DD Month YYYY for inline continuity after 'Page 1 of'.</v>
      </c>
      <c r="G10" s="74">
        <f ca="1"/>
        <v>0</v>
      </c>
      <c r="H10" s="74">
        <f ca="1"/>
        <v>0</v>
      </c>
      <c r="I10" s="74" t="e">
        <f ca="1"/>
        <v>#NAME?</v>
      </c>
      <c r="J10" s="70" t="e" vm="1">
        <f ca="1"/>
        <v>#VALUE!</v>
      </c>
      <c r="K10" s="74">
        <f ca="1"/>
        <v>0</v>
      </c>
    </row>
    <row r="11" spans="1:11">
      <c r="A11" s="74" t="str">
        <f ca="1"/>
        <v>&lt;Investigational drug Name&gt;</v>
      </c>
      <c r="B11" s="74">
        <f ca="1"/>
        <v>0</v>
      </c>
      <c r="C11" s="74" t="str">
        <f ca="1"/>
        <v>Inline</v>
      </c>
      <c r="D11" s="74" t="str">
        <f ca="1"/>
        <v>ABC-123</v>
      </c>
      <c r="E11" s="74" t="str">
        <f ca="1"/>
        <v>Mock_CSR_Protocol.docx</v>
      </c>
      <c r="F11" s="74" t="str">
        <f ca="1"/>
        <v>Insert the investigational drug name in a concise inline format.</v>
      </c>
      <c r="G11" s="74" t="str">
        <f ca="1"/>
        <v>ABC-123</v>
      </c>
      <c r="H11" s="74">
        <f ca="1"/>
        <v>0</v>
      </c>
      <c r="I11" s="74" t="e">
        <f ca="1"/>
        <v>#NAME?</v>
      </c>
      <c r="J11" s="70" t="e" vm="1">
        <f ca="1"/>
        <v>#VALUE!</v>
      </c>
      <c r="K11" s="74">
        <f ca="1"/>
        <v>0</v>
      </c>
    </row>
    <row r="12" spans="1:11">
      <c r="A12" s="74" t="str">
        <f ca="1"/>
        <v>&lt;Protocol Number&gt;</v>
      </c>
      <c r="B12" s="74">
        <f ca="1"/>
        <v>0</v>
      </c>
      <c r="C12" s="74" t="str">
        <f ca="1"/>
        <v>Inline</v>
      </c>
      <c r="D12" s="74" t="str">
        <f ca="1"/>
        <v>SKY-2000-101</v>
      </c>
      <c r="E12" s="74" t="str">
        <f ca="1"/>
        <v>Mock_CSR_Protocol.docx</v>
      </c>
      <c r="F12" s="74" t="str">
        <f ca="1"/>
        <v>Insert the protocol number in the format used in the source protocol document.</v>
      </c>
      <c r="G12" s="74" t="str">
        <f ca="1"/>
        <v>SKY-2000-101</v>
      </c>
      <c r="H12" s="74">
        <f ca="1"/>
        <v>0</v>
      </c>
      <c r="I12" s="74" t="e">
        <f ca="1"/>
        <v>#NAME?</v>
      </c>
      <c r="J12" s="70" t="e" vm="1">
        <f ca="1"/>
        <v>#VALUE!</v>
      </c>
      <c r="K12" s="74">
        <f ca="1"/>
        <v>0</v>
      </c>
    </row>
    <row r="13" spans="1:11">
      <c r="A13" s="74" t="str">
        <f ca="1"/>
        <v>&lt;Version X.0&gt;</v>
      </c>
      <c r="B13" s="74">
        <f ca="1"/>
        <v>0</v>
      </c>
      <c r="C13" s="74" t="str">
        <f ca="1"/>
        <v>Inline</v>
      </c>
      <c r="D13" s="74">
        <f ca="1"/>
        <v>0</v>
      </c>
      <c r="E13" s="74">
        <f ca="1"/>
        <v>0</v>
      </c>
      <c r="F13" s="74" t="str">
        <f ca="1"/>
        <v>Provide the protocol version number in the format 'Version X.0' if available.</v>
      </c>
      <c r="G13" s="74" t="str">
        <f ca="1"/>
        <v>Appendix 16.1.1</v>
      </c>
      <c r="H13" s="74">
        <f ca="1"/>
        <v>0</v>
      </c>
      <c r="I13" s="74" t="e">
        <f ca="1"/>
        <v>#NAME?</v>
      </c>
      <c r="J13" s="70" t="e" vm="1">
        <f ca="1"/>
        <v>#VALUE!</v>
      </c>
      <c r="K13" s="74">
        <f ca="1"/>
        <v>0</v>
      </c>
    </row>
    <row r="14" spans="1:11">
      <c r="A14" s="74" t="str">
        <f ca="1"/>
        <v>&lt;Table X&gt;</v>
      </c>
      <c r="B14" s="74">
        <f ca="1"/>
        <v>0</v>
      </c>
      <c r="C14" s="74" t="str">
        <f ca="1"/>
        <v>Inline</v>
      </c>
      <c r="D14" s="74" t="str">
        <f ca="1"/>
        <v>Table 1</v>
      </c>
      <c r="E14" s="74" t="str">
        <f ca="1"/>
        <v>Mock_CSR_Protocol.docx</v>
      </c>
      <c r="F14" s="74" t="str">
        <f ca="1"/>
        <v>Provide the most likely table number for the Schedule of Assessments, matching the placeholder's inline format.</v>
      </c>
      <c r="G14" s="74" t="str">
        <f ca="1"/>
        <v>Table 14.1.1</v>
      </c>
      <c r="H14" s="74">
        <f ca="1"/>
        <v>0</v>
      </c>
      <c r="I14" s="74" t="e">
        <f ca="1"/>
        <v>#NAME?</v>
      </c>
      <c r="J14" s="70" t="e" vm="1">
        <f ca="1"/>
        <v>#VALUE!</v>
      </c>
      <c r="K14" s="74">
        <f ca="1"/>
        <v>0</v>
      </c>
    </row>
    <row r="15" spans="1:11">
      <c r="A15" s="74" t="str">
        <f ca="1"/>
        <v>&lt;IND Number&gt;</v>
      </c>
      <c r="B15" s="74">
        <f ca="1"/>
        <v>0</v>
      </c>
      <c r="C15" s="74" t="str">
        <f ca="1"/>
        <v>Inline</v>
      </c>
      <c r="D15" s="74">
        <f ca="1"/>
        <v>123456</v>
      </c>
      <c r="E15" s="74">
        <f ca="1"/>
        <v>0</v>
      </c>
      <c r="F15" s="74" t="str">
        <f ca="1"/>
        <v>Insert the IND number in the format 'IND: 123456' inline with the surrounding text.</v>
      </c>
      <c r="G15" s="74" t="str">
        <f ca="1"/>
        <v>IND: 123456</v>
      </c>
      <c r="H15" s="74">
        <f ca="1"/>
        <v>0</v>
      </c>
      <c r="I15" s="74" t="e">
        <f ca="1"/>
        <v>#NAME?</v>
      </c>
      <c r="J15" s="70" t="e" vm="1">
        <f ca="1"/>
        <v>#VALUE!</v>
      </c>
      <c r="K15" s="74">
        <f ca="1"/>
        <v>0</v>
      </c>
    </row>
    <row r="16" spans="1:11">
      <c r="A16" s="74" t="str">
        <f ca="1"/>
        <v>&lt;Protocol Identification (Code or Number)&gt;</v>
      </c>
      <c r="B16" s="74">
        <f ca="1"/>
        <v>0</v>
      </c>
      <c r="C16" s="74" t="str">
        <f ca="1"/>
        <v>Inline</v>
      </c>
      <c r="D16" s="74" t="str">
        <f ca="1"/>
        <v>SKY-2000-101</v>
      </c>
      <c r="E16" s="74">
        <f ca="1"/>
        <v>0</v>
      </c>
      <c r="F16" s="74" t="str">
        <f ca="1"/>
        <v>Insert the protocol identification code or number in the format typically used for clinical study protocols.</v>
      </c>
      <c r="G16" s="74" t="str">
        <f ca="1"/>
        <v>SKY-2000-101</v>
      </c>
      <c r="H16" s="74">
        <f ca="1"/>
        <v>0</v>
      </c>
      <c r="I16" s="74" t="e">
        <f ca="1"/>
        <v>#NAME?</v>
      </c>
      <c r="J16" s="70" t="e" vm="1">
        <f ca="1"/>
        <v>#VALUE!</v>
      </c>
      <c r="K16" s="74">
        <f ca="1"/>
        <v>0</v>
      </c>
    </row>
    <row r="17" spans="1:11">
      <c r="A17" s="74" t="str">
        <f ca="1"/>
        <v>&lt;DD Month YYYY&gt;</v>
      </c>
      <c r="B17" s="74">
        <f ca="1"/>
        <v>0</v>
      </c>
      <c r="C17" s="74" t="str">
        <f ca="1"/>
        <v>Inline</v>
      </c>
      <c r="D17" s="74" t="str">
        <f ca="1"/>
        <v>1st march 2023</v>
      </c>
      <c r="E17" s="74">
        <f ca="1"/>
        <v>0</v>
      </c>
      <c r="F17" s="74" t="str">
        <f ca="1"/>
        <v>Provide the protocol date in the format matching 'DD MM YYYY'.</v>
      </c>
      <c r="G17" s="74" t="str">
        <f ca="1"/>
        <v>DD MM YYYY</v>
      </c>
      <c r="H17" s="74">
        <f ca="1"/>
        <v>0</v>
      </c>
      <c r="I17" s="74" t="e">
        <f ca="1"/>
        <v>#NAME?</v>
      </c>
      <c r="J17" s="70" t="e" vm="1">
        <f ca="1"/>
        <v>#VALUE!</v>
      </c>
      <c r="K17" s="74">
        <f ca="1"/>
        <v>0</v>
      </c>
    </row>
    <row r="18" spans="1:11">
      <c r="J18" s="70"/>
    </row>
    <row r="19" spans="1:11">
      <c r="J19" s="70"/>
    </row>
    <row r="20" spans="1:11">
      <c r="J20" s="70"/>
    </row>
    <row r="21" spans="1:11">
      <c r="J21" s="70"/>
    </row>
    <row r="22" spans="1:11">
      <c r="J22" s="70"/>
    </row>
    <row r="23" spans="1:11">
      <c r="J23" s="70"/>
    </row>
    <row r="24" spans="1:11">
      <c r="J24" s="70"/>
    </row>
    <row r="25" spans="1:11">
      <c r="J25" s="70"/>
    </row>
    <row r="26" spans="1:11">
      <c r="J26" s="70"/>
    </row>
    <row r="27" spans="1:11">
      <c r="J27" s="70"/>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A7B2B84-5330-476F-8ABD-008A7462446D}">
          <x14:formula1>
            <xm:f>Summary!$D$12:$L$12</xm:f>
          </x14:formula1>
          <xm:sqref>E2 H2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71F3-20B6-4F5A-B178-F8AA31FB508D}">
  <dimension ref="A2:M57"/>
  <sheetViews>
    <sheetView workbookViewId="0">
      <selection activeCell="G15" sqref="G15"/>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140625" style="83" customWidth="1"/>
    <col min="7" max="7" width="20.85546875" style="83" customWidth="1"/>
    <col min="8" max="8" width="31.5" style="83" bestFit="1" customWidth="1"/>
    <col min="9" max="9" width="21.140625" style="83" customWidth="1"/>
    <col min="10" max="10" width="9" style="83"/>
    <col min="11" max="11" width="14" style="83" bestFit="1" customWidth="1"/>
    <col min="12" max="12" width="9" style="83"/>
    <col min="13" max="13" width="28.640625" style="83" hidden="1" customWidth="1"/>
    <col min="14" max="16384" width="9" style="83"/>
  </cols>
  <sheetData>
    <row r="2" spans="1:13" ht="14.6">
      <c r="A2" s="84" t="s">
        <v>72</v>
      </c>
      <c r="B2" s="84"/>
      <c r="C2" s="84" t="s">
        <v>73</v>
      </c>
      <c r="D2" s="84" t="s">
        <v>74</v>
      </c>
      <c r="E2" s="85" t="s">
        <v>75</v>
      </c>
      <c r="F2" s="84" t="s">
        <v>76</v>
      </c>
      <c r="G2" s="84" t="s">
        <v>77</v>
      </c>
      <c r="H2" s="85" t="s">
        <v>78</v>
      </c>
      <c r="I2" s="85" t="s">
        <v>79</v>
      </c>
      <c r="J2" s="85" t="s">
        <v>80</v>
      </c>
      <c r="K2" s="85" t="s">
        <v>81</v>
      </c>
    </row>
    <row r="3" spans="1:13" ht="115.75">
      <c r="A3" s="83" t="str" cm="1">
        <f t="array" aca="1" ref="A3:K57" ca="1">_xlfn._xlws.FILTER(QA!A3:K500, QA!C3:C500="Paragraph")</f>
        <v>&lt;Synopsis&gt;</v>
      </c>
      <c r="B3" s="83">
        <f ca="1"/>
        <v>0</v>
      </c>
      <c r="C3" s="83" t="str">
        <f ca="1"/>
        <v>Paragraph</v>
      </c>
      <c r="D3" s="83" t="str">
        <f ca="1"/>
        <v>A First-In-Human, Phase 1, Randomized, Double-Blind, Placebo-Controlled Study to Evaluate the Safety, Tolerability, and Pharmacokinetics of ABC-123 as a Single Dose in Healthy Participants and as Multiple Doses in Participants with Grade 2 Boneitis.Short Title: Phase 1 RCT of ABC-123 in healthy participants (SAD) and participants with boneitis (repeat-dose)</v>
      </c>
      <c r="E3" s="83" t="str">
        <f ca="1"/>
        <v>Mock_CSR_Protocol.docx</v>
      </c>
      <c r="F3" s="83" t="str">
        <f ca="1"/>
        <v>Provide a brief synopsis summarizing the protocol title and short title for the study.</v>
      </c>
      <c r="G3" s="83" t="str">
        <f ca="1"/>
        <v xml:space="preserve">A First-In-Human, Phase 1, Randomized, Double-Blind, Placebo-Controlled Study to Evaluate the Safety, Tolerability, and Pharmacokinetics of ABC-123 as a Single Dose in Healthy Participants and as Multiple Doses in Participants with Grade 2 Boneitis.Short Title: Phase 1 RCT of ABC-123 in healthy participants (SAD) and participants with boneitis (repeat-dose) </v>
      </c>
      <c r="H3" s="83">
        <f ca="1"/>
        <v>0</v>
      </c>
      <c r="I3" s="83" t="e">
        <f ca="1"/>
        <v>#NAME?</v>
      </c>
      <c r="J3" s="83" t="e" vm="1">
        <f ca="1"/>
        <v>#VALUE!</v>
      </c>
      <c r="K3" s="83" t="str">
        <f ca="1"/>
        <v>No Match</v>
      </c>
      <c r="M3" s="134" t="s">
        <v>129</v>
      </c>
    </row>
    <row r="4" spans="1:13">
      <c r="A4" s="83" t="str">
        <f ca="1"/>
        <v>&lt;Company Name&gt;</v>
      </c>
      <c r="B4" s="83">
        <f ca="1"/>
        <v>0</v>
      </c>
      <c r="C4" s="83" t="str">
        <f ca="1"/>
        <v>Paragraph</v>
      </c>
      <c r="D4" s="83" t="str">
        <f ca="1"/>
        <v>Stendarr, Inc</v>
      </c>
      <c r="E4" s="83" t="str">
        <f ca="1"/>
        <v>Mock_CSR_Protocol.docx</v>
      </c>
      <c r="F4" s="83" t="str">
        <f ca="1"/>
        <v>Insert the company name associated with the study, matching the format of the placeholder.</v>
      </c>
      <c r="G4" s="83" t="str">
        <f ca="1"/>
        <v>Clinovance Solutions, Inc</v>
      </c>
      <c r="H4" s="83">
        <f ca="1"/>
        <v>0</v>
      </c>
      <c r="I4" s="83" t="e">
        <f ca="1"/>
        <v>#NAME?</v>
      </c>
      <c r="J4" s="83" t="e" vm="1">
        <f ca="1"/>
        <v>#VALUE!</v>
      </c>
      <c r="K4" s="83" t="str">
        <f ca="1"/>
        <v>No Match</v>
      </c>
      <c r="M4" s="106" t="s">
        <v>137</v>
      </c>
    </row>
    <row r="5" spans="1:13">
      <c r="A5" s="83" t="str">
        <f ca="1"/>
        <v>&lt;Introduction&gt;</v>
      </c>
      <c r="B5" s="83">
        <f ca="1"/>
        <v>0</v>
      </c>
      <c r="C5" s="83" t="str">
        <f ca="1"/>
        <v>Paragraph</v>
      </c>
      <c r="D5" s="83" t="str">
        <f ca="1"/>
        <v>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The cadmium quantum shift flipper is a G protein-coupled receptor (GPCR), which is characterized by high levels of whomp and activated by promethium. Promethium activation has also been shown to lead to the phosphorylation and activation of mitogen-activated protein kinases. Compelling evidence from nonclinical studies suggests that the mekkalekka is enfrazzled on the snoot in up to 80% of cases.  Whomp is predominantly upregulated in the grudgeon cells in murine models of boneitis. Pharmacological inhibition by blorp induction ameliorates whomp, inhibits spasms in the superior noidal zone, and prevents hyperfractal embarkation.</v>
      </c>
      <c r="E5" s="83" t="str">
        <f ca="1"/>
        <v>Mock_CSR_Protocol.docx</v>
      </c>
      <c r="F5" s="83" t="str">
        <f ca="1"/>
        <v>Write a concise introductory paragraph summarizing the investigational product, indication, study objectives, and population.</v>
      </c>
      <c r="G5" s="83" t="str">
        <f ca="1"/>
        <v xml:space="preserve">ABC-123, a triolic gluon fragmentator, is being investigated for the treatment of lurgi, a condition that leads to boneitis and may require surgical interventions such as partial or complete brainectomy. The study aims to evaluate the safety, tolerability, and potentially the pharmacodynamics of ABC-123 by targeting the cadmium quantum shift flipper, which may reduce the risk of boneitis. The study includes patients with lurgi, a population with high unmet medical need, and utilizes a design that allows for meaningful exposure over 2 to 4 weeks, even with a single high-end dose. </v>
      </c>
      <c r="H5" s="83">
        <f ca="1"/>
        <v>0</v>
      </c>
      <c r="I5" s="83" t="e">
        <f ca="1"/>
        <v>#NAME?</v>
      </c>
      <c r="J5" s="83" t="e" vm="1">
        <f ca="1"/>
        <v>#VALUE!</v>
      </c>
      <c r="K5" s="83" t="str">
        <f ca="1"/>
        <v>No Match</v>
      </c>
      <c r="M5" s="135" t="s">
        <v>148</v>
      </c>
    </row>
    <row r="6" spans="1:13">
      <c r="A6" s="83" t="str">
        <f ca="1"/>
        <v>&lt;Background Information&gt;</v>
      </c>
      <c r="B6" s="83">
        <f ca="1"/>
        <v>0</v>
      </c>
      <c r="C6" s="83" t="str">
        <f ca="1"/>
        <v>Paragraph</v>
      </c>
      <c r="D6" s="83" t="str">
        <f ca="1"/>
        <v>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This is a first-in-human study. It is intended to provide the initial safety, PK, and pharmacology data for ABC-123 in humans</v>
      </c>
      <c r="E6" s="83" t="str">
        <f ca="1"/>
        <v>Mock_CSR_Protocol.docx</v>
      </c>
      <c r="F6" s="83" t="str">
        <f ca="1"/>
        <v>Write a concise background paragraph summarizing the investigational product, its mechanism, class, preclinical evidence, and first-in-human study context.</v>
      </c>
      <c r="G6" s="83" t="str">
        <f ca="1"/>
        <v>ABC-123 is a triolic gluon fragmentator, classified as a blorp inductor composed of binkles and fram. Blorp inductors are characterized by a long half-life, enabling weekly or monthly dosing, and are generally poorly penetrant to the CNS, which may reduce the risk of boneitis seen in patients with lurgi. This first-in-human study aims to establish the initial safety, pharmacokinetics, and pharmacology of ABC-123. Preclinical studies have demonstrated that ABC-123 is a potent, selective monoclonal antibody antagonist and inverse agonist of human and monkey grudgeon cells, protecting these cells in vitro and showing pharmacological activity in peripheral tissues without brain involvement. The safety profile of related blorp inductors has been favorable outside CNS effects, with gastrointestinal adverse events being most common. The current study is designed to address the unmet need for a safe and effective peripheral blorp inductor, given the limitations of previous agents. More details on the benefits, risks, and adverse events are available in the Investigator’s Brochure</v>
      </c>
      <c r="H6" s="83">
        <f ca="1"/>
        <v>0</v>
      </c>
      <c r="I6" s="83" t="e">
        <f ca="1"/>
        <v>#NAME?</v>
      </c>
      <c r="J6" s="83" t="e" vm="1">
        <f ca="1"/>
        <v>#VALUE!</v>
      </c>
      <c r="K6" s="83" t="str">
        <f ca="1"/>
        <v>No Match</v>
      </c>
      <c r="M6" s="106" t="s">
        <v>152</v>
      </c>
    </row>
    <row r="7" spans="1:13">
      <c r="A7" s="83" t="str">
        <f ca="1"/>
        <v>&lt;Rationale for the study&gt;</v>
      </c>
      <c r="B7" s="83">
        <f ca="1"/>
        <v>0</v>
      </c>
      <c r="C7" s="83" t="str">
        <f ca="1"/>
        <v>Paragraph</v>
      </c>
      <c r="D7" s="83" t="str">
        <f ca="1"/>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v>
      </c>
      <c r="E7" s="83" t="str">
        <f ca="1"/>
        <v>Mock_CSR_Protocol.docx</v>
      </c>
      <c r="F7" s="83" t="str">
        <f ca="1"/>
        <v>Summarize why the study was conducted, how the design addresses early development goals (safety, tolerability, PK, PD), and justify population, dosing, and exploratory objectives.</v>
      </c>
      <c r="G7" s="83" t="str">
        <f ca="1"/>
        <v>This first-in-human, Phase 1 study of ABC-123 was conducted to establish the safety, tolerability, and pharmacokinetics (PK) of the drug in healthy volunteers and in participants with Grade 2 boneitis. The study design includes a single ascending dose (SAD) phase in healthy subjects, supporting the evaluation of safety and PK over up to 28 days, followed by a repeat-dose exploratory efficacy phase in patients with boneitis. The selected study populations and dosing strategies are intended to provide initial human safety and PK data, support dose selection, and inform subsequent studies. Additionally, the study explores phenotypic, genotypic, and biochemical biomarkers to identify patients most likely to respond to ABC-123. The rationale for this approach is supported by nonclinical pharmacology and safety data, which demonstrate the compound's selectivity and tolerability, and by the need to characterize ABC-123's effects prior to advancing to larger clinical studies</v>
      </c>
      <c r="H7" s="83">
        <f ca="1"/>
        <v>0</v>
      </c>
      <c r="I7" s="83" t="e">
        <f ca="1"/>
        <v>#NAME?</v>
      </c>
      <c r="J7" s="83" t="e" vm="1">
        <f ca="1"/>
        <v>#VALUE!</v>
      </c>
      <c r="K7" s="83" t="str">
        <f ca="1"/>
        <v>No Match</v>
      </c>
      <c r="M7" s="135" t="s">
        <v>156</v>
      </c>
    </row>
    <row r="8" spans="1:13">
      <c r="A8" s="83" t="str">
        <f ca="1"/>
        <v>&lt;Benefit and Risk assessment&gt;</v>
      </c>
      <c r="B8" s="83">
        <f ca="1"/>
        <v>0</v>
      </c>
      <c r="C8" s="83" t="str">
        <f ca="1"/>
        <v>Paragraph</v>
      </c>
      <c r="D8" s="83" t="str">
        <f ca="1"/>
        <v>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v>
      </c>
      <c r="E8" s="83" t="str">
        <f ca="1"/>
        <v>Mock_CSR_Protocol.docx</v>
      </c>
      <c r="F8" s="83" t="str">
        <f ca="1"/>
        <v>Summarize the risks, potential benefits, and overall benefit–risk conclusion for ABC-123 based on study data in a structured paragraph.</v>
      </c>
      <c r="G8" s="83" t="str">
        <f ca="1"/>
        <v xml:space="preserve"> ABC-123 has not been studied in humans; risk assessment is based on nonclinical data and analogous therapies. No known risks, including CNS-associated risks, have been observed in nonclinical pharmacology and safety studies. However, potential risks include adverse reactions to the investigational product, discomfort from subcutaneous injections or study procedures, and CNS-associated effects seen with similar therapies (such as amphibious jocularity, levitation, and the crunge). Additional risks observed with blorp inductors include gastrointestinal events (nausea, diarrhea, vomiting), asthenia/fatigue, hot flushes, and dizziness. Participants will be closely monitored for adverse effects.Potential Benefits: As this is a non-therapeutic study in healthy volunteers and participants with boneitis, direct clinical benefit is not assured. Potential benefits include contributing to the development of new therapies in an area of unmet need and receiving medical evaluations associated with study procedures. There may or may not be an impact on disease progression for participants with boneitis.Overall Benefit–Risk Conclusion: The prior safety experience with similar therapies, lack of brain penetration in nonclinical studies, and absence of significant adverse findings in animal studies support the conduct of this study. The anticipated benefits to medical and scientific knowledge justify the potential risks, which are minimized through appropriate monitoring and dose escalation. Overall, the benefit–risk assessment is considered favorable for participation in this study. </v>
      </c>
      <c r="H8" s="83">
        <f ca="1"/>
        <v>0</v>
      </c>
      <c r="I8" s="83" t="e">
        <f ca="1"/>
        <v>#NAME?</v>
      </c>
      <c r="J8" s="83" t="e" vm="1">
        <f ca="1"/>
        <v>#VALUE!</v>
      </c>
      <c r="K8" s="83" t="str">
        <f ca="1"/>
        <v>No Match</v>
      </c>
      <c r="M8" s="106" t="s">
        <v>160</v>
      </c>
    </row>
    <row r="9" spans="1:13">
      <c r="A9" s="83" t="str">
        <f ca="1"/>
        <v>&lt;Risk assessment&gt;</v>
      </c>
      <c r="B9" s="83">
        <f ca="1"/>
        <v>0</v>
      </c>
      <c r="C9" s="83" t="str">
        <f ca="1"/>
        <v>Paragraph</v>
      </c>
      <c r="D9" s="83" t="str">
        <f ca="1"/>
        <v>There are no known risks, including CNS-associated risks, that have been observed in nonclinical pharmacology and safety studies of ABC-123.
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Additional risks observed in clinical studies with blorp inductors include gastrointestinal adverse events (primarily nausea, diarrhea, and vomiting), asthenia/fatigue, hot flushes, and dizziness.
Participants will be monitored closely for the development of adverse effects that may result from study drug administration</v>
      </c>
      <c r="E9" s="83" t="str">
        <f ca="1"/>
        <v>Mock_CSR_Protocol.docx</v>
      </c>
      <c r="F9" s="83" t="str">
        <f ca="1"/>
        <v>Summarize the risks identified for ABC-123, referencing TEAEs, SAEs, discontinuations, theoretical risks, and risk mitigation measures; conclude with a high-level safety profile overview.</v>
      </c>
      <c r="G9" s="83" t="str">
        <f ca="1"/>
        <v xml:space="preserve">ABC-123 has not been studied in humans; therefore, risk assessment is based on nonclinical data and literature on similar therapies. No known risks, including CNS-associated risks, were observed in nonclinical pharmacology and safety studies of ABC-123. Theoretical risks, based on the drug’s mechanism and experience with similar blorp inductors, include CNS-associated adverse effects (such as amphibious jocularity, levitation, and the crunge), as well as gastrointestinal events (nausea, diarrhea, vomiting), asthenia/fatigue, hot flushes, and dizziness. There were no observed treatment-emergent adverse events (TEAEs), serious adverse events (SAEs), or discontinuations due to adverse events in the nonclinical studies. Risk mitigation measures include close monitoring of participants for CNS and other adverse effects, with ongoing assessment until sufficient clinical data are available to discharge these risks. Overall, the safety profile of ABC-123 is considered favorable based on available nonclinical data, with a low risk of CNS or other significant adverse events anticipated. </v>
      </c>
      <c r="H9" s="83">
        <f ca="1"/>
        <v>0</v>
      </c>
      <c r="I9" s="83" t="e">
        <f ca="1"/>
        <v>#NAME?</v>
      </c>
      <c r="J9" s="83" t="e" vm="1">
        <f ca="1"/>
        <v>#VALUE!</v>
      </c>
      <c r="K9" s="83" t="str">
        <f ca="1"/>
        <v>No Match</v>
      </c>
      <c r="M9" s="135" t="s">
        <v>164</v>
      </c>
    </row>
    <row r="10" spans="1:13">
      <c r="A10" s="83" t="str">
        <f ca="1"/>
        <v>&lt;Benefit assessment&gt;</v>
      </c>
      <c r="B10" s="83">
        <f ca="1"/>
        <v>0</v>
      </c>
      <c r="C10" s="83" t="str">
        <f ca="1"/>
        <v>Paragraph</v>
      </c>
      <c r="D10" s="83" t="str">
        <f ca="1"/>
        <v>This is a non-therapeutic study in healthy volunteers (SAD component) and participants with boneitis (repeat-dose component). Potential benefits for participants in the study may include:
● Contributing to the process of developing new therapies in an area of unmet need
● Medical evaluations/assessments associated with study procedures (eg, physical examination, electrocardiogram [ECG], laboratory assessments).</v>
      </c>
      <c r="E10" s="83" t="str">
        <f ca="1"/>
        <v>Mock_CSR_Protocol.docx</v>
      </c>
      <c r="F10" s="83" t="str">
        <f ca="1"/>
        <v>Summarize the benefit assessment for ABC-123, emphasizing nonclinical evidence, participant contributions, and the clinical need for new therapies for boneitis due to lurgi.</v>
      </c>
      <c r="G10" s="83">
        <f ca="1"/>
        <v>0</v>
      </c>
      <c r="H10" s="83">
        <f ca="1"/>
        <v>0</v>
      </c>
      <c r="I10" s="83" t="e">
        <f ca="1"/>
        <v>#NAME?</v>
      </c>
      <c r="J10" s="83" t="e" vm="1">
        <f ca="1"/>
        <v>#VALUE!</v>
      </c>
      <c r="K10" s="83" t="str">
        <f ca="1"/>
        <v>No Match</v>
      </c>
      <c r="M10" s="106"/>
    </row>
    <row r="11" spans="1:13">
      <c r="A11" s="83" t="str">
        <f ca="1"/>
        <v>&lt;Overall Benefit: Risk Conclusion&gt;</v>
      </c>
      <c r="B11" s="83">
        <f ca="1"/>
        <v>0</v>
      </c>
      <c r="C11" s="83" t="str">
        <f ca="1"/>
        <v>Paragraph</v>
      </c>
      <c r="D11" s="83" t="str">
        <f ca="1"/>
        <v>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v>
      </c>
      <c r="E11" s="83" t="str">
        <f ca="1"/>
        <v>Mock_CSR Key messages_with_heading.docx</v>
      </c>
      <c r="F11" s="83" t="str">
        <f ca="1"/>
        <v>Write a neutral, data-driven paragraph summarizing the overall benefit-risk conclusion, referencing safety findings and justification for continued development of ABC-123.</v>
      </c>
      <c r="G11" s="83" t="str">
        <f ca="1"/>
        <v>The overall benefit-risk assessment for ABC-123 is favorable for participation in this study. The prior safety experience with blorp inductors, the lack of brain penetration demonstrated in nonclinical studies, and the absence of significant adverse findings in the 13-week monkey toxicology study support the conduct of this study. The potential risks identified are justified in light of the anticipated benefits to medical and scientific knowledge, and can be minimized through appropriate monitoring and dose escalation. Based on the available data and the participant population to be studied, the benefit-risk profile supports continued development of ABC-123 at this stage.</v>
      </c>
      <c r="H11" s="83">
        <f ca="1"/>
        <v>0</v>
      </c>
      <c r="I11" s="83" t="e">
        <f ca="1"/>
        <v>#NAME?</v>
      </c>
      <c r="J11" s="83" t="e" vm="1">
        <f ca="1"/>
        <v>#VALUE!</v>
      </c>
      <c r="K11" s="83" t="str">
        <f ca="1"/>
        <v>No Match</v>
      </c>
      <c r="M11" s="135" t="s">
        <v>172</v>
      </c>
    </row>
    <row r="12" spans="1:13">
      <c r="A12" s="83" t="str">
        <f ca="1"/>
        <v>&lt;Insert Study Parts&gt;</v>
      </c>
      <c r="B12" s="83">
        <f ca="1"/>
        <v>0</v>
      </c>
      <c r="C12" s="83" t="str">
        <f ca="1"/>
        <v>Paragraph</v>
      </c>
      <c r="D12" s="83" t="str">
        <f ca="1"/>
        <v xml:space="preserve">A First-In-Human, Phase 1, Randomized, Double-Blind, Placebo-Controlled Study to Evaluate the Safety, Tolerability, and Pharmacokinetics of ABC-123 as a Single Dose in Healthy Participants and as Multiple Doses in Participants with Grade 2 Boneitis </v>
      </c>
      <c r="E12" s="83" t="str">
        <f ca="1"/>
        <v>Mock_CSR_Protocol.docx</v>
      </c>
      <c r="F12" s="83" t="str">
        <f ca="1"/>
        <v>Provide a concise inline summary of the study parts as specified in the protocol.</v>
      </c>
      <c r="G12" s="83" t="str">
        <f ca="1"/>
        <v xml:space="preserve">the single-dose and multiple-dose parts of the study are presented in Table 3. </v>
      </c>
      <c r="H12" s="83">
        <f ca="1"/>
        <v>0</v>
      </c>
      <c r="I12" s="83" t="e">
        <f ca="1"/>
        <v>#NAME?</v>
      </c>
      <c r="J12" s="83" t="e" vm="1">
        <f ca="1"/>
        <v>#VALUE!</v>
      </c>
      <c r="K12" s="83" t="str">
        <f ca="1"/>
        <v>No Match</v>
      </c>
      <c r="M12" s="106" t="s">
        <v>182</v>
      </c>
    </row>
    <row r="13" spans="1:13">
      <c r="A13" s="83" t="str">
        <f ca="1"/>
        <v>&lt;Study Design Justification&gt;</v>
      </c>
      <c r="B13" s="83">
        <f ca="1"/>
        <v>0</v>
      </c>
      <c r="C13" s="83" t="str">
        <f ca="1"/>
        <v>Paragraph</v>
      </c>
      <c r="D13" s="83" t="str">
        <f ca="1"/>
        <v>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v>
      </c>
      <c r="E13" s="83" t="str">
        <f ca="1"/>
        <v>Mock_CSR Key messages_with_heading.docx</v>
      </c>
      <c r="F13" s="83" t="str">
        <f ca="1"/>
        <v>Summarize the justification for the study design, including its methodological rationale and objectives.</v>
      </c>
      <c r="G13" s="83">
        <f ca="1"/>
        <v>0</v>
      </c>
      <c r="H13" s="83">
        <f ca="1"/>
        <v>0</v>
      </c>
      <c r="I13" s="83" t="e">
        <f ca="1"/>
        <v>#NAME?</v>
      </c>
      <c r="J13" s="83" t="e" vm="1">
        <f ca="1"/>
        <v>#VALUE!</v>
      </c>
      <c r="K13" s="83" t="str">
        <f ca="1"/>
        <v>No Match</v>
      </c>
      <c r="M13" s="135"/>
    </row>
    <row r="14" spans="1:13">
      <c r="A14" s="83" t="str">
        <f ca="1"/>
        <v>&lt;Dose Justification&gt;</v>
      </c>
      <c r="B14" s="83">
        <f ca="1"/>
        <v>0</v>
      </c>
      <c r="C14" s="83" t="str">
        <f ca="1"/>
        <v>Paragraph</v>
      </c>
      <c r="D14" s="83" t="str">
        <f ca="1"/>
        <v>The planned clinical starting dose in healthy volunteers (HVs) is a single dose of 5 mg of ABC-123 administered as an SC injection. The planned maximum dose is 600 mg.
The clinical starting dose is based on an integrated approach supported by the Good Laboratory Practice (GLP) toxicology study approach, the minimal cytokine change, expected 10% receptor occupancy (RO) attained at maximum observed serum concentration (Cmax), and utilizing the minimal anticipated biological effect level (MABEL) based on the half-maximal inhibitory concentration (IC50) of ABC-123 on binding and inhibition of blorp induction.
The 13-week GLP toxicology study was conducted in cynomolgus monkey, as this is the most relevant species for evaluation based on in vitro cross-reactivity (study SKY-123_Nonclin_456). The no observed adverse effect level (NOAEL) in this study was 300 mg/kg. In addition, there is a 1.13-fold difference in binding of ABC-123 in monkey to human blorp; therefore, the human equivalent dose of the NOAEL is 265.5 mg/kg. Based on the maximum recommended starting dose (MRSD) guidance, a factor of 10 can be used to determine the maximum allowable starting dose, with an estimated maximum starting dose of 26.5 mg/kg of ABC-123.
The planned starting dose of 5 mg given as a single SC injection in HVs is expected to be 318-fold lower than the dose supported by the GLP toxicology study. Starting at the dose of 5 mg will ensure full characterization of safety, PK, and PD of ABC-123.</v>
      </c>
      <c r="E14" s="83" t="str">
        <f ca="1"/>
        <v>Mock_CSR_Protocol.docx</v>
      </c>
      <c r="F14" s="83" t="str">
        <f ca="1"/>
        <v>Summarize the rationale and supporting data for the clinical starting dose of ABC-123, including toxicology study results, safety factors, and dosing calculations.</v>
      </c>
      <c r="G14" s="83" t="str">
        <f ca="1"/>
        <v>The clinical starting dose of ABC-123 in healthy volunteers is 5 mg administered as a single subcutaneous injection, with a planned maximum dose of 600 mg. This starting dose was determined using an integrated approach, including GLP toxicology studies, minimal cytokine changes, and anticipated biological effect levels. The 13-week GLP toxicology study in cynomolgus monkeys identified a NOAEL of 300 mg/kg, and after accounting for species differences, the human equivalent dose is 265.5 mg/kg. Applying a safety factor of 10, the estimated maximum recommended starting dose is 26.5 mg/kg. The selected 5 mg dose is 318-fold lower than the dose supported by toxicology data, ensuring a conservative approach for safety, pharmacokinetic, and pharmacodynamic assessment</v>
      </c>
      <c r="H14" s="83">
        <f ca="1"/>
        <v>0</v>
      </c>
      <c r="I14" s="83" t="e">
        <f ca="1"/>
        <v>#NAME?</v>
      </c>
      <c r="J14" s="83" t="e" vm="1">
        <f ca="1"/>
        <v>#VALUE!</v>
      </c>
      <c r="K14" s="83" t="str">
        <f ca="1"/>
        <v>No Match</v>
      </c>
      <c r="M14" s="106" t="s">
        <v>195</v>
      </c>
    </row>
    <row r="15" spans="1:13">
      <c r="A15" s="83" t="str">
        <f ca="1"/>
        <v>&lt;Removal of Patients from Therapy or Assessment&gt;</v>
      </c>
      <c r="B15" s="83">
        <f ca="1"/>
        <v>0</v>
      </c>
      <c r="C15" s="83" t="str">
        <f ca="1"/>
        <v>Paragraph</v>
      </c>
      <c r="D15" s="83">
        <f ca="1"/>
        <v>0</v>
      </c>
      <c r="E15" s="83">
        <f ca="1"/>
        <v>0</v>
      </c>
      <c r="F15" s="83" t="str">
        <f ca="1"/>
        <v>Write a concise paragraph explaining the process and criteria for removal of patients from therapy or assessment, if available.</v>
      </c>
      <c r="G15" s="83">
        <f ca="1"/>
        <v>0</v>
      </c>
      <c r="H15" s="83">
        <f ca="1"/>
        <v>0</v>
      </c>
      <c r="I15" s="83" t="e">
        <f ca="1"/>
        <v>#NAME?</v>
      </c>
      <c r="J15" s="83" t="e" vm="1">
        <f ca="1"/>
        <v>#VALUE!</v>
      </c>
      <c r="K15" s="83" t="str">
        <f ca="1"/>
        <v>No Match</v>
      </c>
      <c r="M15" s="135"/>
    </row>
    <row r="16" spans="1:13">
      <c r="A16" s="83" t="str">
        <f ca="1"/>
        <v>&lt;Criteria for Discontinuation/Withdrawal From the Study&gt;</v>
      </c>
      <c r="B16" s="83">
        <f ca="1"/>
        <v>0</v>
      </c>
      <c r="C16" s="83" t="str">
        <f ca="1"/>
        <v>Paragraph</v>
      </c>
      <c r="D16" s="83">
        <f ca="1"/>
        <v>0</v>
      </c>
      <c r="E16" s="83">
        <f ca="1"/>
        <v>0</v>
      </c>
      <c r="F16" s="83" t="str">
        <f ca="1"/>
        <v>Summarize the criteria and process for discontinuation or withdrawal from the study intervention.</v>
      </c>
      <c r="G16" s="83">
        <f ca="1"/>
        <v>0</v>
      </c>
      <c r="H16" s="83">
        <f ca="1"/>
        <v>0</v>
      </c>
      <c r="I16" s="83" t="e">
        <f ca="1"/>
        <v>#NAME?</v>
      </c>
      <c r="J16" s="83" t="e" vm="1">
        <f ca="1"/>
        <v>#VALUE!</v>
      </c>
      <c r="K16" s="83" t="str">
        <f ca="1"/>
        <v>No Match</v>
      </c>
      <c r="M16" s="106"/>
    </row>
    <row r="17" spans="1:13">
      <c r="A17" s="83" t="str">
        <f ca="1"/>
        <v>&lt;Lost to Follow-Up&gt;</v>
      </c>
      <c r="B17" s="83">
        <f ca="1"/>
        <v>0</v>
      </c>
      <c r="C17" s="83" t="str">
        <f ca="1"/>
        <v>Paragraph</v>
      </c>
      <c r="D17" s="83" t="str">
        <f ca="1"/>
        <v>A participant will be considered lost to follow-up if he or she repeatedly fails to return for scheduled visits and is unable to be contacted by the study site.
The following actions must be taken if a participant fails to return to the clinic for a required study visit:
● The site must attempt to contact the participant and reschedule the missed visit as soon as possible and counsel the participant on the importance of maintaining the assigned visit schedule and ascertain whether the participant wishes to and/or should continue in the study.
● Before a participant is deemed lost to follow-up, the Investigator or designee must make every effort to regain contact with the participant (where possible, 3 telephone calls and, if necessary, a certified letter to the participant’s last known mailing address or local equivalent methods). These contact attempts should be documented in the participant’s medical record.
● Should the participant continue to be unreachable, he/she will be considered to have withdrawn from the study.</v>
      </c>
      <c r="E17" s="83" t="str">
        <f ca="1"/>
        <v>Mock_CSR_Protocol.docx</v>
      </c>
      <c r="F17" s="83" t="str">
        <f ca="1"/>
        <v>Summarize the definition and procedural requirements for lost to follow-up as described in the protocol.</v>
      </c>
      <c r="G17" s="83" t="str">
        <f ca="1"/>
        <v>A participant is considered lost to follow-up if they repeatedly fail to return for scheduled visits and cannot be contacted by the study site. Before classifying a participant as lost to follow-up, the Investigator or designee must make every effort to re-establish contact, including at least three telephone calls and, if necessary, sending a certified letter to the participant’s last known address or using local equivalent methods. All contact attempts should be documented in the participant’s medical record.</v>
      </c>
      <c r="H17" s="83">
        <f ca="1"/>
        <v>0</v>
      </c>
      <c r="I17" s="83" t="e">
        <f ca="1"/>
        <v>#NAME?</v>
      </c>
      <c r="J17" s="83" t="e" vm="1">
        <f ca="1"/>
        <v>#VALUE!</v>
      </c>
      <c r="K17" s="83" t="str">
        <f ca="1"/>
        <v>No Match</v>
      </c>
      <c r="M17" s="135" t="s">
        <v>208</v>
      </c>
    </row>
    <row r="18" spans="1:13">
      <c r="A18" s="83" t="str">
        <f ca="1"/>
        <v>&lt;Treatments Administered&gt;</v>
      </c>
      <c r="B18" s="83">
        <f ca="1"/>
        <v>0</v>
      </c>
      <c r="C18" s="83" t="str">
        <f ca="1"/>
        <v>Paragraph</v>
      </c>
      <c r="D18" s="83">
        <f ca="1"/>
        <v>0</v>
      </c>
      <c r="E18" s="83">
        <f ca="1"/>
        <v>0</v>
      </c>
      <c r="F18" s="83" t="str">
        <f ca="1"/>
        <v>Summarize the treatments administered to study participants, including dosing, administration, and allowed concomitant medications.</v>
      </c>
      <c r="G18" s="83" t="str">
        <f ca="1"/>
        <v xml:space="preserve">Participants in the study received either ABC-123 or placebo. In healthy volunteers, ABC-123 was administered as a single subcutaneous dose, with the planned clinical starting dose being 5 mg and a maximum dose of 600 mg. In the repeat-dose cohort, participants with Grade 2 Boneitis continued their usual boneitis treatment alongside study intervention. Concomitant medications for lurgi, sporadic invisibility, and Fink-Nottle syndrome had to be stable for at least 30 days prior to screening and could not be changed during the study unless approved by the investigator. Saline, lidocaine, and paracetamol/acetaminophen (up to 2 g/day for 3 days) were permitted as needed for study procedures. </v>
      </c>
      <c r="H18" s="83">
        <f ca="1"/>
        <v>0</v>
      </c>
      <c r="I18" s="83" t="e">
        <f ca="1"/>
        <v>#NAME?</v>
      </c>
      <c r="J18" s="83" t="e" vm="1">
        <f ca="1"/>
        <v>#VALUE!</v>
      </c>
      <c r="K18" s="83" t="str">
        <f ca="1"/>
        <v>No Match</v>
      </c>
      <c r="M18" s="106" t="s">
        <v>211</v>
      </c>
    </row>
    <row r="19" spans="1:13">
      <c r="A19" s="83" t="str">
        <f ca="1"/>
        <v>&lt;Storage&gt;</v>
      </c>
      <c r="B19" s="83">
        <f ca="1"/>
        <v>0</v>
      </c>
      <c r="C19" s="83" t="str">
        <f ca="1"/>
        <v>Paragraph</v>
      </c>
      <c r="D19" s="83" t="str">
        <f ca="1"/>
        <v>≤ -60°C freezer in accordance with the labeled storage conditions with access limited to the Investigator and authorized site staff</v>
      </c>
      <c r="E19" s="83" t="str">
        <f ca="1"/>
        <v>Mock_CSR_Protocol.docx</v>
      </c>
      <c r="F19" s="83" t="str">
        <f ca="1"/>
        <v>Provide the storage information in a concise, inline format, matching the placeholder style.</v>
      </c>
      <c r="G19" s="83">
        <f ca="1"/>
        <v>0</v>
      </c>
      <c r="H19" s="83">
        <f ca="1"/>
        <v>0</v>
      </c>
      <c r="I19" s="83" t="e">
        <f ca="1"/>
        <v>#NAME?</v>
      </c>
      <c r="J19" s="83" t="e" vm="1">
        <f ca="1"/>
        <v>#VALUE!</v>
      </c>
      <c r="K19" s="83" t="str">
        <f ca="1"/>
        <v>No Match</v>
      </c>
      <c r="M19" s="135"/>
    </row>
    <row r="20" spans="1:13">
      <c r="A20" s="83" t="str">
        <f ca="1"/>
        <v>&lt;Method of Assigning Patients to Treatment Groups&gt;</v>
      </c>
      <c r="B20" s="83">
        <f ca="1"/>
        <v>0</v>
      </c>
      <c r="C20" s="83" t="str">
        <f ca="1"/>
        <v>Paragraph</v>
      </c>
      <c r="D20" s="83" t="str">
        <f ca="1"/>
        <v>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v>
      </c>
      <c r="E20" s="83" t="str">
        <f ca="1"/>
        <v>Mock_CSR Key messages_with_heading.docx</v>
      </c>
      <c r="F20" s="83">
        <f ca="1"/>
        <v>0</v>
      </c>
      <c r="G20" s="83" t="str">
        <f ca="1"/>
        <v>Participants were assigned to either the active treatment or placebo group according to a randomization schedule prepared by an unblinded statistician, ensuring allocation concealment and maintenance of the study blind</v>
      </c>
      <c r="H20" s="83">
        <f ca="1"/>
        <v>0</v>
      </c>
      <c r="I20" s="83" t="e">
        <f ca="1"/>
        <v>#NAME?</v>
      </c>
      <c r="J20" s="83" t="e" vm="1">
        <f ca="1"/>
        <v>#VALUE!</v>
      </c>
      <c r="K20" s="83" t="str">
        <f ca="1"/>
        <v>No Match</v>
      </c>
      <c r="M20" s="106" t="s">
        <v>244</v>
      </c>
    </row>
    <row r="21" spans="1:13">
      <c r="A21" s="83" t="str">
        <f ca="1"/>
        <v>&lt;Selection of Doses in the Study&gt;</v>
      </c>
      <c r="B21" s="83">
        <f ca="1"/>
        <v>0</v>
      </c>
      <c r="C21" s="83" t="str">
        <f ca="1"/>
        <v>Paragraph</v>
      </c>
      <c r="D21" s="83">
        <f ca="1"/>
        <v>0</v>
      </c>
      <c r="E21" s="83">
        <f ca="1"/>
        <v>0</v>
      </c>
      <c r="F21" s="83">
        <f ca="1"/>
        <v>0</v>
      </c>
      <c r="G21" s="83" t="str">
        <f ca="1"/>
        <v>Dose selection in this study is based on safety, tolerability, and pharmacokinetic (PK) data obtained during the single ascending dose (SAD) phase. The planned dose increments during the SAD phase will not exceed half-log steps (approximately 3.3-fold). For the repeat-dose cohort, the selected dose will not exceed 50% of a dose previously shown to be safe and well tolerated in the SAD cohort, accounting for anticipated accumulation. The final dose and regimen will be determined by ongoing safety and PK findings</v>
      </c>
      <c r="H21" s="83">
        <f ca="1"/>
        <v>0</v>
      </c>
      <c r="I21" s="83" t="e">
        <f ca="1"/>
        <v>#NAME?</v>
      </c>
      <c r="J21" s="83" t="e" vm="1">
        <f ca="1"/>
        <v>#VALUE!</v>
      </c>
      <c r="K21" s="83" t="str">
        <f ca="1"/>
        <v>No Match</v>
      </c>
      <c r="M21" s="135" t="s">
        <v>246</v>
      </c>
    </row>
    <row r="22" spans="1:13">
      <c r="A22" s="83" t="str">
        <f ca="1"/>
        <v>&lt;Selection and Timing of Dose for Each Participant&gt;</v>
      </c>
      <c r="B22" s="83">
        <f ca="1"/>
        <v>0</v>
      </c>
      <c r="C22" s="83" t="str">
        <f ca="1"/>
        <v>Paragraph</v>
      </c>
      <c r="D22" s="83">
        <f ca="1"/>
        <v>0</v>
      </c>
      <c r="E22" s="83">
        <f ca="1"/>
        <v>0</v>
      </c>
      <c r="F22" s="83" t="str">
        <f ca="1"/>
        <v>Summarize the protocol's approach to dose selection and timing for each participant, referencing escalation and safety review procedures.</v>
      </c>
      <c r="G22" s="83" t="str">
        <f ca="1"/>
        <v xml:space="preserve">Dose selection for each participant in the study will be based on available clinical, laboratory safety, and pharmacokinetic data from previously dosed cohorts. During the SAD phase, dose increments will not exceed half-log (approximately 3.3-fold) increases. Further details on dose selection and modifications are provided in the protocol. The timing and escalation of doses are designed to ensure participant safety and to optimize the assessment of ABC-123 in both healthy volunteers and participants with boneitis. </v>
      </c>
      <c r="H22" s="83">
        <f ca="1"/>
        <v>0</v>
      </c>
      <c r="I22" s="83" t="e">
        <f ca="1"/>
        <v>#NAME?</v>
      </c>
      <c r="J22" s="83" t="e" vm="1">
        <f ca="1"/>
        <v>#VALUE!</v>
      </c>
      <c r="K22" s="83" t="str">
        <f ca="1"/>
        <v>No Match</v>
      </c>
      <c r="M22" s="106" t="s">
        <v>249</v>
      </c>
    </row>
    <row r="23" spans="1:13">
      <c r="A23" s="83" t="str">
        <f ca="1"/>
        <v>&lt;Blinding&gt;</v>
      </c>
      <c r="B23" s="83">
        <f ca="1"/>
        <v>0</v>
      </c>
      <c r="C23" s="83" t="str">
        <f ca="1"/>
        <v>Paragraph</v>
      </c>
      <c r="D23" s="83" t="str">
        <f ca="1"/>
        <v>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(Section 6.6.1).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v>
      </c>
      <c r="E23" s="83" t="str">
        <f ca="1"/>
        <v>Mock_CSR_Protocol.docx</v>
      </c>
      <c r="F23" s="83" t="str">
        <f ca="1"/>
        <v>Summarize the blinding procedures and criteria for unblinding in the study.</v>
      </c>
      <c r="G23" s="83" t="str">
        <f ca="1"/>
        <v>The study is conducted in a double-blind manner, with participants assigned to either active treatment or placebo based on a randomization schedule prepared by an unblinded statistician. Blinding is maintained throughout the study, and treatment assignments are only unblinded in emergencies when knowledge of the intervention is necessary for clinical management or to assess dose-limiting toxicity. Any unblinding outside these circumstances is considered a protocol deviation, and the Sponsor must be notified within 24 hours if the blind is broken.</v>
      </c>
      <c r="H23" s="83">
        <f ca="1"/>
        <v>0</v>
      </c>
      <c r="I23" s="83" t="e">
        <f ca="1"/>
        <v>#NAME?</v>
      </c>
      <c r="J23" s="83" t="e" vm="1">
        <f ca="1"/>
        <v>#VALUE!</v>
      </c>
      <c r="K23" s="83" t="str">
        <f ca="1"/>
        <v>No Match</v>
      </c>
      <c r="M23" s="135" t="s">
        <v>253</v>
      </c>
    </row>
    <row r="24" spans="1:13">
      <c r="A24" s="83" t="str">
        <f ca="1"/>
        <v>&lt;Prohibited Medication&gt;</v>
      </c>
      <c r="B24" s="83">
        <f ca="1"/>
        <v>0</v>
      </c>
      <c r="C24" s="83" t="str">
        <f ca="1"/>
        <v>Paragraph</v>
      </c>
      <c r="D24" s="83" t="str">
        <f ca="1"/>
        <v>This study will collect samples for biomarker assessments in all 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v>
      </c>
      <c r="E24" s="83" t="str">
        <f ca="1"/>
        <v>Mock_CSR_Protocol.docx</v>
      </c>
      <c r="F24" s="83" t="str">
        <f ca="1"/>
        <v>Summarize the study's restrictions on prohibited medications, including exceptions and cohort-specific requirements.</v>
      </c>
      <c r="G24" s="83" t="str">
        <f ca="1"/>
        <v xml:space="preserve">Use of any prescription or nonprescription medications or nutritional products, including vitamins (except ongoing multivitamin supplement), minerals, and herbal or plant-derived preparations, is not permitted from Screening until the end of the study for SAD cohorts, unless deemed acceptable by the Investigator. For repeat-dose cohorts, participants will continue their usual boneitis treatment, but concomitant medications for lurgi, sporadic invisibility, and Fink-Nottle syndrome must be stable for at least 30 days prior to Screening and may not be changed during the study unless approved by the Investigator. Saline, lidocaine, or other medications required by study procedures are permitted at the Investigator’s discretion. Paracetamol/acetaminophen (up to 2 g/day for 3 consecutive days) is allowed as needed. </v>
      </c>
      <c r="H24" s="83">
        <f ca="1"/>
        <v>0</v>
      </c>
      <c r="I24" s="83" t="e">
        <f ca="1"/>
        <v>#NAME?</v>
      </c>
      <c r="J24" s="83" t="e" vm="1">
        <f ca="1"/>
        <v>#VALUE!</v>
      </c>
      <c r="K24" s="83" t="str">
        <f ca="1"/>
        <v>No Match</v>
      </c>
      <c r="M24" s="106" t="s">
        <v>257</v>
      </c>
    </row>
    <row r="25" spans="1:13">
      <c r="A25" s="83" t="str">
        <f ca="1"/>
        <v>&lt;Concomitant Medication&gt;</v>
      </c>
      <c r="B25" s="83">
        <f ca="1"/>
        <v>0</v>
      </c>
      <c r="C25" s="83" t="str">
        <f ca="1"/>
        <v>Paragraph</v>
      </c>
      <c r="D25" s="83" t="str">
        <f ca="1"/>
        <v>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Investigator’s discretion. Paracetamol/ acetaminophen (2 g/day for up to 3 consecutive days) is allowed as needed.</v>
      </c>
      <c r="E25" s="83" t="str">
        <f ca="1"/>
        <v>Mock_CSR_Protocol.docx</v>
      </c>
      <c r="F25" s="83" t="str">
        <f ca="1"/>
        <v>Summarize the policy and procedures for documenting and monitoring concomitant medication use during the study.</v>
      </c>
      <c r="G25" s="83" t="str">
        <f ca="1"/>
        <v>All medications or vaccines, including over-the-counter or prescription drugs, vitamins, or herbal supplements, that participants are receiving at enrollment or during the study must be documented. This includes the reason for use, dates of administration (start and end), and dosage information (dose and frequency). Concomitant medication use will be monitored throughout the study, and any changes must be recorded as per protocol.</v>
      </c>
      <c r="H25" s="83">
        <f ca="1"/>
        <v>0</v>
      </c>
      <c r="I25" s="83" t="e">
        <f ca="1"/>
        <v>#NAME?</v>
      </c>
      <c r="J25" s="83" t="e" vm="1">
        <f ca="1"/>
        <v>#VALUE!</v>
      </c>
      <c r="K25" s="83" t="str">
        <f ca="1"/>
        <v>No Match</v>
      </c>
      <c r="M25" s="135" t="s">
        <v>261</v>
      </c>
    </row>
    <row r="26" spans="1:13">
      <c r="A26" s="83" t="str">
        <f ca="1"/>
        <v>&lt;Rescue Medication&gt;</v>
      </c>
      <c r="B26" s="83">
        <f ca="1"/>
        <v>0</v>
      </c>
      <c r="C26" s="83" t="str">
        <f ca="1"/>
        <v>Paragraph</v>
      </c>
      <c r="D26" s="83" t="str">
        <f ca="1"/>
        <v>Not applicable.</v>
      </c>
      <c r="E26" s="83">
        <f ca="1"/>
        <v>0</v>
      </c>
      <c r="F26" s="83" t="str">
        <f ca="1"/>
        <v>Provide a concise statement regarding the applicability of rescue medication as per the protocol context.</v>
      </c>
      <c r="G26" s="83" t="str">
        <f ca="1"/>
        <v xml:space="preserve">Rescue medication is not applicable for this study. </v>
      </c>
      <c r="H26" s="83">
        <f ca="1"/>
        <v>0</v>
      </c>
      <c r="I26" s="83" t="e">
        <f ca="1"/>
        <v>#NAME?</v>
      </c>
      <c r="J26" s="83" t="e" vm="1">
        <f ca="1"/>
        <v>#VALUE!</v>
      </c>
      <c r="K26" s="83" t="str">
        <f ca="1"/>
        <v>No Match</v>
      </c>
      <c r="M26" s="106" t="s">
        <v>265</v>
      </c>
    </row>
    <row r="27" spans="1:13">
      <c r="A27" s="83" t="str">
        <f ca="1"/>
        <v>&lt;Treatment Compliance&gt;</v>
      </c>
      <c r="B27" s="83">
        <f ca="1"/>
        <v>0</v>
      </c>
      <c r="C27" s="83" t="str">
        <f ca="1"/>
        <v>Paragraph</v>
      </c>
      <c r="D27" s="83" t="str">
        <f ca="1"/>
        <v>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6.5. Concomitant Therapy</v>
      </c>
      <c r="E27" s="83" t="str">
        <f ca="1"/>
        <v>Mock_CSR_Protocol.docx</v>
      </c>
      <c r="F27" s="83" t="str">
        <f ca="1"/>
        <v>Summarize treatment compliance procedures, including randomization, blinding, emergency unblinding, and requirements for maintaining stable concomitant medications.</v>
      </c>
      <c r="G27" s="83" t="str">
        <f ca="1"/>
        <v xml:space="preserve">Participants will continue their usual boneitis treatment throughout the study, with concomitant medications for lurgi, sporadic invisibility, and Fink-Nottle syndrome required to be stable for at least 30 days prior to Screening and unchanged until study end unless approved by the Investigator. Permitted medications such as saline, lidocaine, and paracetamol/acetaminophen may be used as needed. To maintain study blinding, treatment assignments are concealed from investigators and site staff, with unblinding permitted only in emergencies or when necessary for participant safety. </v>
      </c>
      <c r="H27" s="83">
        <f ca="1"/>
        <v>0</v>
      </c>
      <c r="I27" s="83" t="e">
        <f ca="1"/>
        <v>#NAME?</v>
      </c>
      <c r="J27" s="83" t="e" vm="1">
        <f ca="1"/>
        <v>#VALUE!</v>
      </c>
      <c r="K27" s="83" t="str">
        <f ca="1"/>
        <v>No Match</v>
      </c>
      <c r="M27" s="135" t="s">
        <v>269</v>
      </c>
    </row>
    <row r="28" spans="1:13" ht="15">
      <c r="A28" s="83" t="str">
        <f ca="1"/>
        <v>&lt;Insert Applicable Restriction(s)&gt;</v>
      </c>
      <c r="B28" s="83">
        <f ca="1"/>
        <v>0</v>
      </c>
      <c r="C28" s="83" t="str">
        <f ca="1"/>
        <v>Paragraph</v>
      </c>
      <c r="D28" s="83">
        <f ca="1"/>
        <v>0</v>
      </c>
      <c r="E28" s="83">
        <f ca="1"/>
        <v>0</v>
      </c>
      <c r="F28" s="83" t="str">
        <f ca="1"/>
        <v>Provide a concise heading summarizing applicable restrictions, laws, and guidelines relevant to the study.</v>
      </c>
      <c r="G28" s="83" t="str">
        <f ca="1"/>
        <v>Applicable Restrictions </v>
      </c>
      <c r="H28" s="83">
        <f ca="1"/>
        <v>0</v>
      </c>
      <c r="I28" s="83" t="e">
        <f ca="1"/>
        <v>#NAME?</v>
      </c>
      <c r="J28" s="83" t="e" vm="1">
        <f ca="1"/>
        <v>#VALUE!</v>
      </c>
      <c r="K28" s="83" t="str">
        <f ca="1"/>
        <v>No Match</v>
      </c>
      <c r="M28" s="128" t="s">
        <v>272</v>
      </c>
    </row>
    <row r="29" spans="1:13">
      <c r="A29" s="83" t="str">
        <f ca="1"/>
        <v>&lt;Medical and Medication History&gt;</v>
      </c>
      <c r="B29" s="83">
        <f ca="1"/>
        <v>0</v>
      </c>
      <c r="C29" s="83" t="str">
        <f ca="1"/>
        <v>Paragraph</v>
      </c>
      <c r="D29" s="83" t="str">
        <f ca="1"/>
        <v>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v>
      </c>
      <c r="E29" s="83" t="str">
        <f ca="1"/>
        <v>Mock_CSR_Protocol.docx</v>
      </c>
      <c r="F29" s="83" t="str">
        <f ca="1"/>
        <v>Summarize the process for documenting medical and medication history, including review, recording, and handling of medical occurrences and AE history.</v>
      </c>
      <c r="G29" s="83">
        <f ca="1"/>
        <v>0</v>
      </c>
      <c r="H29" s="83">
        <f ca="1"/>
        <v>0</v>
      </c>
      <c r="I29" s="83" t="e">
        <f ca="1"/>
        <v>#NAME?</v>
      </c>
      <c r="J29" s="83" t="e" vm="1">
        <f ca="1"/>
        <v>#VALUE!</v>
      </c>
      <c r="K29" s="83" t="str">
        <f ca="1"/>
        <v>No Match</v>
      </c>
      <c r="M29" s="135"/>
    </row>
    <row r="30" spans="1:13">
      <c r="A30" s="83" t="str">
        <f ca="1"/>
        <v>&lt;Sampling Collection and Processing&gt;</v>
      </c>
      <c r="B30" s="83">
        <f ca="1"/>
        <v>0</v>
      </c>
      <c r="C30" s="83" t="str">
        <f ca="1"/>
        <v>Paragraph</v>
      </c>
      <c r="D30" s="83" t="str">
        <f ca="1"/>
        <v>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Procedures for collection, processing, and shipping of PK blood samples will be detailed in a separate document.</v>
      </c>
      <c r="E30" s="83" t="str">
        <f ca="1"/>
        <v>Mock_CSR_Protocol.docx</v>
      </c>
      <c r="F30" s="83" t="str">
        <f ca="1"/>
        <v>Summarize procedures for sample collection and processing, including timing, number of samples, and documentation.</v>
      </c>
      <c r="G30" s="83" t="str">
        <f ca="1"/>
        <v xml:space="preserve">Blood samples for pharmacokinetics (PK) and biomarkers will be collected by venipuncture or cannulation at the times specified in the Schedule of Assessments (SoA). Up to three additional blood samples may be taken from each participant per treatment period. Any changes to the scheduled times of PK or pharmacodynamic (PD) assessments will be agreed with the Sponsor and documented in the Trial Master File. Procedures for collection, processing, and shipping of PK blood samples will be detailed in a separate document. </v>
      </c>
      <c r="H30" s="83">
        <f ca="1"/>
        <v>0</v>
      </c>
      <c r="I30" s="83" t="e">
        <f ca="1"/>
        <v>#NAME?</v>
      </c>
      <c r="J30" s="83" t="e" vm="1">
        <f ca="1"/>
        <v>#VALUE!</v>
      </c>
      <c r="K30" s="83" t="str">
        <f ca="1"/>
        <v>No Match</v>
      </c>
      <c r="M30" s="106" t="s">
        <v>292</v>
      </c>
    </row>
    <row r="31" spans="1:13">
      <c r="A31" s="83" t="str">
        <f ca="1"/>
        <v>&lt;Analytical Methodology&gt;</v>
      </c>
      <c r="B31" s="83">
        <f ca="1"/>
        <v>0</v>
      </c>
      <c r="C31" s="83" t="str">
        <f ca="1"/>
        <v>Paragraph</v>
      </c>
      <c r="D31" s="83" t="str">
        <f ca="1"/>
        <v>Serum concentrations of ABC-123 will be determined using validated analytical procedures. Specifics of the analytical methods will be provided in separate documents.</v>
      </c>
      <c r="E31" s="83" t="str">
        <f ca="1"/>
        <v>Mock_CSR_Protocol.docx</v>
      </c>
      <c r="F31" s="83" t="str">
        <f ca="1"/>
        <v>Summarize the analytical methodology for serum concentration determination of ABC-123 using validated procedures.</v>
      </c>
      <c r="G31" s="83" t="str">
        <f ca="1"/>
        <v>Serum concentrations of ABC-123 will be determined using validated analytical procedures. Specifics of the analytical methods will be provided in separate documents.</v>
      </c>
      <c r="H31" s="83">
        <f ca="1"/>
        <v>0</v>
      </c>
      <c r="I31" s="83" t="e">
        <f ca="1"/>
        <v>#NAME?</v>
      </c>
      <c r="J31" s="83" t="e" vm="1">
        <f ca="1"/>
        <v>#VALUE!</v>
      </c>
      <c r="K31" s="83" t="str">
        <f ca="1"/>
        <v>No Match</v>
      </c>
      <c r="M31" s="135" t="s">
        <v>294</v>
      </c>
    </row>
    <row r="32" spans="1:13">
      <c r="A32" s="83" t="str">
        <f ca="1"/>
        <v>&lt;Pharmacodynamic Assessments&gt;</v>
      </c>
      <c r="B32" s="83">
        <f ca="1"/>
        <v>0</v>
      </c>
      <c r="C32" s="83" t="str">
        <f ca="1"/>
        <v>Paragraph</v>
      </c>
      <c r="D32" s="83" t="str">
        <f ca="1"/>
        <v xml:space="preserve">This study will collect samples for biomarker assessments in all 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v>
      </c>
      <c r="E32" s="83" t="str">
        <f ca="1"/>
        <v>Mock_CSR_Protocol.docx</v>
      </c>
      <c r="F32" s="83" t="str">
        <f ca="1"/>
        <v>Summarize the pharmacodynamic assessment procedures, including sample collection, purpose, and analysis for ABC-123.</v>
      </c>
      <c r="G32" s="83" t="str">
        <f ca="1"/>
        <v>This study will collect whole blood, serum, and plasma samples from all enrolled participants, where not prohibited by local regulations, for biomarker assessments. These pharmacodynamic assessments aim to inform dose selection, monitor baseline and post-treatment responses, and may help further characterize the mechanism of action or identify potential prognostic and predictive biomarkers relevant to ABC-123 and boneitis. Sample collection and analysis may be adjusted based on emerging data or operational needs, and all analyses will be conducted by the Sponsor or their designee.</v>
      </c>
      <c r="H32" s="83">
        <f ca="1"/>
        <v>0</v>
      </c>
      <c r="I32" s="83" t="e">
        <f ca="1"/>
        <v>#NAME?</v>
      </c>
      <c r="J32" s="83" t="e" vm="1">
        <f ca="1"/>
        <v>#VALUE!</v>
      </c>
      <c r="K32" s="83" t="str">
        <f ca="1"/>
        <v>No Match</v>
      </c>
      <c r="M32" s="106" t="s">
        <v>299</v>
      </c>
    </row>
    <row r="33" spans="1:13">
      <c r="A33" s="83" t="str">
        <f ca="1"/>
        <v>&lt;Exploratory Biomarkers&gt;</v>
      </c>
      <c r="B33" s="83">
        <f ca="1"/>
        <v>0</v>
      </c>
      <c r="C33" s="83" t="str">
        <f ca="1"/>
        <v>Paragraph</v>
      </c>
      <c r="D33" s="83" t="str">
        <f ca="1"/>
        <v>Blood sampling will be conducted for analysis of exploratory PD and safety biomarkers. The timings of all PD assessments to be performed during the study are indicated in the SoA (Section 1.3)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v>
      </c>
      <c r="E33" s="83" t="str">
        <f ca="1"/>
        <v>Mock_CSR_Protocol.docx</v>
      </c>
      <c r="F33" s="83" t="str">
        <f ca="1"/>
        <v>Summarize the protocol for exploratory biomarker collection and assessment during the study.</v>
      </c>
      <c r="G33" s="83" t="str">
        <f ca="1"/>
        <v>Blood sampling will be conducted to analyze exploratory pharmacodynamic (PD) and safety biomarkers. The timing of all PD assessments during the study is detailed in the Schedule of Assessments and may be adjusted based on ongoing data review. Up to three additional blood samples may be collected from each participant per treatment period if needed. Any changes to the scheduled times for PD assessments will be agreed upon with the Sponsor and documented in the Trial Master File (TMF).</v>
      </c>
      <c r="H33" s="83">
        <f ca="1"/>
        <v>0</v>
      </c>
      <c r="I33" s="83" t="e">
        <f ca="1"/>
        <v>#NAME?</v>
      </c>
      <c r="J33" s="83" t="e" vm="1">
        <f ca="1"/>
        <v>#VALUE!</v>
      </c>
      <c r="K33" s="83" t="str">
        <f ca="1"/>
        <v>No Match</v>
      </c>
      <c r="M33" s="135" t="s">
        <v>303</v>
      </c>
    </row>
    <row r="34" spans="1:13">
      <c r="A34" s="83" t="str">
        <f ca="1"/>
        <v>&lt;Immunogenicity Assessment&gt;</v>
      </c>
      <c r="B34" s="83">
        <f ca="1"/>
        <v>0</v>
      </c>
      <c r="C34" s="83" t="str">
        <f ca="1"/>
        <v>Paragraph</v>
      </c>
      <c r="D34" s="83" t="str">
        <f ca="1"/>
        <v>according to the SoA (Section 1.3). Additionally, serum samples should also be collected at the final visit from participants who discontinued study intervention or were withdrawn from the study. These samples will be tested by the Sponsor or Sponsor's designee.
Serum samples will be screened for antibodies binding to ABC-123, and the titer of confirmed positive samples will be reported. Other analyses may be performed to verify the stability of antibodies to ABC-123 and/or further characterize the immunogenicity of ABC-123.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participant’s last visit for the study at a facility selected by the Sponsor to enable further analysis of immune responses to ABC-123</v>
      </c>
      <c r="E34" s="83" t="str">
        <f ca="1"/>
        <v>Mock_CSR_Protocol.docx</v>
      </c>
      <c r="F34" s="83" t="str">
        <f ca="1"/>
        <v>Summarize the protocol's immunogenicity assessment procedures, including sample collection, testing, and analysis.</v>
      </c>
      <c r="G34" s="83" t="str">
        <f ca="1"/>
        <v>Antibodies to ABC-123 will be evaluated in serum samples collected from all participants as specified in the Schedule of Assessments. Serum samples from participants who discontinue or withdraw will also be collected at the final visit. These samples will be tested for antibodies binding to ABC-123, and titers of confirmed positive samples will be reported. Additional analyses may be performed to further characterize immunogenicity or verify antibody stability. All testing will use a validated assay method under Sponsor supervision, and samples may be stored for at least 3 years (or per local regulations) to enable further immune response analysis.</v>
      </c>
      <c r="H34" s="83">
        <f ca="1"/>
        <v>0</v>
      </c>
      <c r="I34" s="83" t="e">
        <f ca="1"/>
        <v>#NAME?</v>
      </c>
      <c r="J34" s="83" t="e" vm="1">
        <f ca="1"/>
        <v>#VALUE!</v>
      </c>
      <c r="K34" s="83" t="str">
        <f ca="1"/>
        <v>No Match</v>
      </c>
      <c r="M34" s="106" t="s">
        <v>307</v>
      </c>
    </row>
    <row r="35" spans="1:13">
      <c r="A35" s="83" t="str">
        <f ca="1"/>
        <v>&lt;Pharmacogenomics&gt;</v>
      </c>
      <c r="B35" s="83">
        <f ca="1"/>
        <v>0</v>
      </c>
      <c r="C35" s="83" t="str">
        <f ca="1"/>
        <v>Paragraph</v>
      </c>
      <c r="D35" s="83" t="str">
        <f ca="1"/>
        <v>Where local laws and regulations allow, a blood sample will be collected for genetic analysis, as outlined in the SoA (Section 1.3) and described under the main ICF.
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v>
      </c>
      <c r="E35" s="83" t="str">
        <f ca="1"/>
        <v>Mock_CSR_Protocol.docx</v>
      </c>
      <c r="F35" s="83" t="str">
        <f ca="1"/>
        <v>Summarize the pharmacogenomics section, focusing on sample collection, research purpose, confidentiality, and storage duration.</v>
      </c>
      <c r="G35" s="83" t="str">
        <f ca="1"/>
        <v xml:space="preserve">Where permitted by local laws and regulations, a blood sample will be collected for genetic analysis as described in the Schedule of Assessments and main informed consent form. This sample may be used to study the impact of genetic variation on the safety, efficacy, and pharmacokinetics of ABC-123 and related therapies, as well as to advance understanding of drug response and the genetics of blorp induction, boneitis, lurgi, and other relevant disorders. Results will not have clinical implications for participants and will not be shared with them or investigators. Samples will be coded to protect confidentiality and stored securely for up to 30 years, until exhausted, or until requested for destruction by the Sponsor. </v>
      </c>
      <c r="H35" s="83">
        <f ca="1"/>
        <v>0</v>
      </c>
      <c r="I35" s="83" t="e">
        <f ca="1"/>
        <v>#NAME?</v>
      </c>
      <c r="J35" s="83" t="e" vm="1">
        <f ca="1"/>
        <v>#VALUE!</v>
      </c>
      <c r="K35" s="83" t="str">
        <f ca="1"/>
        <v>No Match</v>
      </c>
      <c r="M35" s="135" t="s">
        <v>311</v>
      </c>
    </row>
    <row r="36" spans="1:13">
      <c r="A36" s="83" t="str">
        <f ca="1"/>
        <v>&lt;Safety Assessments&gt;</v>
      </c>
      <c r="B36" s="83">
        <f ca="1"/>
        <v>0</v>
      </c>
      <c r="C36" s="83" t="str">
        <f ca="1"/>
        <v>Paragraph</v>
      </c>
      <c r="D36" s="83" t="str">
        <f ca="1"/>
        <v>Planned time points for all safety assessments are provided in the SoA.
Every effort will be made to schedule and perform the procedures as closely as possible to the nominal time, considering appropriate conditions, practical restrictions, and the other procedures to be performed at the same time point. Actual times are to be recorded in the eCRF.
The suggested order of assessments of pre-dose procedures is as follows:
● ECG
● Vital signs
● Blood samples
● Any other procedures
● Dosing
The suggested order of assessments of post-dose procedures is as follows:
● ECG
● Vital signs
● Blood samples</v>
      </c>
      <c r="E36" s="83" t="str">
        <f ca="1"/>
        <v>Mock_CSR_Protocol.docx</v>
      </c>
      <c r="F36" s="83">
        <f ca="1"/>
        <v>0</v>
      </c>
      <c r="G36" s="83">
        <f ca="1"/>
        <v>0</v>
      </c>
      <c r="H36" s="83">
        <f ca="1"/>
        <v>0</v>
      </c>
      <c r="I36" s="83" t="e">
        <f ca="1"/>
        <v>#NAME?</v>
      </c>
      <c r="J36" s="83" t="e" vm="1">
        <f ca="1"/>
        <v>#VALUE!</v>
      </c>
      <c r="K36" s="83" t="str">
        <f ca="1"/>
        <v>No Match</v>
      </c>
      <c r="M36" s="106"/>
    </row>
    <row r="37" spans="1:13">
      <c r="A37" s="83" t="str">
        <f ca="1"/>
        <v>&lt;Appropriateness of Measurements&gt;</v>
      </c>
      <c r="B37" s="83">
        <f ca="1"/>
        <v>0</v>
      </c>
      <c r="C37" s="83" t="str">
        <f ca="1"/>
        <v>Paragraph</v>
      </c>
      <c r="D37" s="83" t="str">
        <f ca="1"/>
        <v xml:space="preserve">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v>
      </c>
      <c r="E37" s="83" t="str">
        <f ca="1"/>
        <v>Mock_CSR_Protocol.docx</v>
      </c>
      <c r="F37" s="83" t="str">
        <f ca="1"/>
        <v>Write a concise paragraph evaluating the appropriateness and reliability of the measurements selected for the study, referencing safety, timing, and procedural practices.</v>
      </c>
      <c r="G37" s="83" t="str">
        <f ca="1"/>
        <v>The measurements selected for the study are appropriate and comprehensive, encompassing 12-lead ECG, vital sign monitoring (including blood pressure, pulse rate, respiratory rate, and body temperature), clinical laboratory tests (chemistry, hematology, lipid profile, cytokine assessments), physical examinations, and mental health assessments. These measurements are obtained at specific time points according to the Schedule of Activities (SoA) and are designed to ensure participant safety and monitor health status throughout the study. Additional procedures, such as rest periods before vital sign assessments and repeat laboratory evaluations when necessary, further support the reliability and appropriateness of these measurements.</v>
      </c>
      <c r="H37" s="83">
        <f ca="1"/>
        <v>0</v>
      </c>
      <c r="I37" s="83" t="e">
        <f ca="1"/>
        <v>#NAME?</v>
      </c>
      <c r="J37" s="83" t="e" vm="1">
        <f ca="1"/>
        <v>#VALUE!</v>
      </c>
      <c r="K37" s="83" t="str">
        <f ca="1"/>
        <v>No Match</v>
      </c>
      <c r="M37" s="135" t="s">
        <v>317</v>
      </c>
    </row>
    <row r="38" spans="1:13">
      <c r="A38" s="83" t="str">
        <f ca="1"/>
        <v>&lt;Data Quality Assurance&gt;</v>
      </c>
      <c r="B38" s="83">
        <f ca="1"/>
        <v>0</v>
      </c>
      <c r="C38" s="83" t="str">
        <f ca="1"/>
        <v>Paragraph</v>
      </c>
      <c r="D38" s="83" t="str">
        <f ca="1"/>
        <v>The following data quality steps will be implemented:
●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 The Investigator must maintain complete and accurate documentation (source data) that supports the information entered in the eCRF.
● The Investigator must permit study-related monitoring, audits, IRB/IEC review, and regulatory agency inspections and provide direct access to source data documents.
●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 The Sponsor or designee is responsible for the data management of this study including quality checking of the data.
● The Sponsor will provide oversight for actions delegated to other individuals (eg, CRO).
●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v>
      </c>
      <c r="E38" s="83">
        <f ca="1"/>
        <v>0</v>
      </c>
      <c r="F38" s="83">
        <f ca="1"/>
        <v>0</v>
      </c>
      <c r="G38" s="83" t="str">
        <f ca="1"/>
        <v>The following data quality assurance measures will be implemented: All participant data will be recorded on printed or electronic Case Report Forms (CRFs), unless transmitted electronically to the Sponsor or designee. The Investigator is responsible for verifying the accuracy and completeness of data entries by signing the CRF. The Investigator must also allow study-related monitoring, audits, IRB/IEC review, and regulatory inspections, providing direct access to source documents. Monitoring strategies, methods, responsibilities, and requirements, including the handling of noncompliance and monitoring techniques (central, remote, or on-site), are detailed in the Trial Master File (TMF). The Sponsor or designee oversees data management and quality checks, and provides oversight for delegated actions. Study monitors will perform ongoing source data verification to ensure data accuracy, participant safety, and protocol compliance. Records and documents must be retained by the Investigator for at least 2 years after study completion (or until final marketing authorization approval), unless longer retention is required by regulations or institutional policies</v>
      </c>
      <c r="H38" s="83">
        <f ca="1"/>
        <v>0</v>
      </c>
      <c r="I38" s="83" t="e">
        <f ca="1"/>
        <v>#NAME?</v>
      </c>
      <c r="J38" s="83" t="e" vm="1">
        <f ca="1"/>
        <v>#VALUE!</v>
      </c>
      <c r="K38" s="83" t="str">
        <f ca="1"/>
        <v>No Match</v>
      </c>
      <c r="M38" s="106" t="s">
        <v>320</v>
      </c>
    </row>
    <row r="39" spans="1:13">
      <c r="A39" s="83" t="str">
        <f ca="1"/>
        <v>&lt;Statistical and Analytical Plans&gt;</v>
      </c>
      <c r="B39" s="83">
        <f ca="1"/>
        <v>0</v>
      </c>
      <c r="C39" s="83" t="str">
        <f ca="1"/>
        <v>Paragraph</v>
      </c>
      <c r="D39" s="83" t="str">
        <f ca="1"/>
        <v>This is a Phase 1, double-blind, randomized, placebo-controlled study with a SAD escalation component to evaluate ABC-123 in healthy volunteers and a repeat-dose component to confirm repeat-dose safety, tolerability, pharmacokinetics, and immunogenicity in participants with boneitis.</v>
      </c>
      <c r="E39" s="83" t="str">
        <f ca="1"/>
        <v>Mock_CSR_Protocol.docx</v>
      </c>
      <c r="F39" s="83" t="str">
        <f ca="1"/>
        <v>Summarize the statistical and analytical plans for PK and PD data, including methods, analysis plans, and references to the SAP.</v>
      </c>
      <c r="G39" s="83" t="str">
        <f ca="1"/>
        <v>Pharmacodynamic parameters will be summarized using descriptive statistics, with no formal statistical analysis of PD data planned. The association between pharmacokinetics (PK) and pharmacodynamics (PD) will be evaluated using appropriate statistical methods, as detailed in the Statistical Analysis Plan (SAP). Serum concentrations of ABC-123 will be determined using validated analytical procedures, with specifics provided in separate documents. These analyses, combined with PK and safety data, will help inform future study design, including dose selection and identification of populations that may benefit from ABC-123 treatment.</v>
      </c>
      <c r="H39" s="83">
        <f ca="1"/>
        <v>0</v>
      </c>
      <c r="I39" s="83" t="e">
        <f ca="1"/>
        <v>#NAME?</v>
      </c>
      <c r="J39" s="83" t="e" vm="1">
        <f ca="1"/>
        <v>#VALUE!</v>
      </c>
      <c r="K39" s="83" t="str">
        <f ca="1"/>
        <v>No Match</v>
      </c>
      <c r="M39" s="135" t="s">
        <v>324</v>
      </c>
    </row>
    <row r="40" spans="1:13">
      <c r="A40" s="83" t="str">
        <f ca="1"/>
        <v>&lt;Analysis Population&gt;</v>
      </c>
      <c r="B40" s="83">
        <f ca="1"/>
        <v>0</v>
      </c>
      <c r="C40" s="83" t="str">
        <f ca="1"/>
        <v>Paragraph</v>
      </c>
      <c r="D40" s="83" t="str">
        <f ca="1"/>
        <v xml:space="preserve">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v>
      </c>
      <c r="E40" s="83" t="str">
        <f ca="1"/>
        <v>Mock_CSR Key messages_with_heading.docx</v>
      </c>
      <c r="F40" s="83" t="str">
        <f ca="1"/>
        <v>Summarize the analysis populations used in the study, including definitions and inclusion criteria.</v>
      </c>
      <c r="G40" s="83" t="str">
        <f ca="1"/>
        <v>The analysis populations for this study included the following groups: the Full Analysis Set (all participants who signed informed consent and were randomized), the Safety Analysis Set (all randomized participants who received at least one dose of study intervention, analyzed as treated), the Pharmacokinetics (PK) Analysis Set (all participants who received at least one dose of ABC-123 and had post-baseline concentration data without major protocol deviations), and the Pharmacodynamics (PD) Analysis Set (all participants who received at least one dose of study intervention and had at least one PD measurement without major protocol deviations). These populations were used to evaluate efficacy, safety, and pharmacokinetic/pharmacodynamic outcomes.</v>
      </c>
      <c r="H40" s="83">
        <f ca="1"/>
        <v>0</v>
      </c>
      <c r="I40" s="83" t="e">
        <f ca="1"/>
        <v>#NAME?</v>
      </c>
      <c r="J40" s="83" t="e" vm="1">
        <f ca="1"/>
        <v>#VALUE!</v>
      </c>
      <c r="K40" s="83" t="str">
        <f ca="1"/>
        <v>No Match</v>
      </c>
      <c r="M40" s="106" t="s">
        <v>328</v>
      </c>
    </row>
    <row r="41" spans="1:13">
      <c r="A41" s="83" t="str">
        <f ca="1"/>
        <v>&lt;Determination of Sample Size&gt;</v>
      </c>
      <c r="B41" s="83">
        <f ca="1"/>
        <v>0</v>
      </c>
      <c r="C41" s="83" t="str">
        <f ca="1"/>
        <v>Paragraph</v>
      </c>
      <c r="D41" s="83" t="str">
        <f ca="1"/>
        <v>Single Ascending Dose: 6 cohorts of 8 participants per cohort are planned; however, enrollment of up to 56 participants will be permitted, including replacements.
Repeat-dose: 8 participants in a single cohort are planned; however, enrollment of up to 10 participants will be permitted, including replacements.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v>
      </c>
      <c r="E41" s="83" t="str">
        <f ca="1"/>
        <v>Mock_CSR_Protocol.docx</v>
      </c>
      <c r="F41" s="83" t="str">
        <f ca="1"/>
        <v>Summarize the determination of sample size, including planned cohort sizes, total enrollment, and statistical rationale.</v>
      </c>
      <c r="G41" s="83" t="str">
        <f ca="1"/>
        <v xml:space="preserve">For this early development study, formal statistical calculations of sample size are not appropriate. The planned sample size consists of 6 cohorts of 8 participants each in the single ascending dose part (up to 56 participants including replacements) and a single repeat-dose cohort of 8 participants (up to 10 including replacements). These cohort sizes are customary for early development studies and are expected to allow clinical judgment of safety, tolerability, and assessment of the PK profile. The probability of observing an adverse event (AE) occurring at a rate of 1% or 10% among 6 participants is 6% or 47%, respectively. If no AE of a given type is observed, with 80% (90%) confidence, the true incidence at that dose is at most 24% (32%). </v>
      </c>
      <c r="H41" s="83">
        <f ca="1"/>
        <v>0</v>
      </c>
      <c r="I41" s="83" t="e">
        <f ca="1"/>
        <v>#NAME?</v>
      </c>
      <c r="J41" s="83" t="e" vm="1">
        <f ca="1"/>
        <v>#VALUE!</v>
      </c>
      <c r="K41" s="83" t="str">
        <f ca="1"/>
        <v>No Match</v>
      </c>
      <c r="M41" s="135" t="s">
        <v>332</v>
      </c>
    </row>
    <row r="42" spans="1:13">
      <c r="A42" s="83" t="str">
        <f ca="1"/>
        <v>&lt;Details of Statistical Estimations&gt;</v>
      </c>
      <c r="B42" s="83">
        <f ca="1"/>
        <v>0</v>
      </c>
      <c r="C42" s="83" t="str">
        <f ca="1"/>
        <v>Paragraph</v>
      </c>
      <c r="D42" s="83" t="str">
        <f ca="1"/>
        <v>The statistical analysis plan (SAP) will be finalized prior to database lock and it will include a more technical and detailed description of the statistical analyses described in this section. In the case of any deviation from the planned analyses described in the protocol, the SAP takes precedence, in which the reasons for the change and impact on study results should be carefully described</v>
      </c>
      <c r="E42" s="83" t="str">
        <f ca="1"/>
        <v>Mock_CSR_Protocol.docx</v>
      </c>
      <c r="F42" s="83">
        <f ca="1"/>
        <v>0</v>
      </c>
      <c r="G42" s="83" t="str">
        <f ca="1"/>
        <v xml:space="preserve">The statistical analyses in this study are exploratory in nature and do not test prior hypotheses. Instead, they are intended to highlight and estimate the size of possible effects. Pharmacodynamic parameters will be summarized using descriptive statistics, and no formal statistical analysis of PD data is planned. Associations between pharmacokinetics (PK) and pharmacodynamics (PD) will be evaluated using appropriate statistical methods, with further details provided in the Statistical Analysis Plan (SAP). </v>
      </c>
      <c r="H42" s="83">
        <f ca="1"/>
        <v>0</v>
      </c>
      <c r="I42" s="83" t="e">
        <f ca="1"/>
        <v>#NAME?</v>
      </c>
      <c r="J42" s="83" t="e" vm="1">
        <f ca="1"/>
        <v>#VALUE!</v>
      </c>
      <c r="K42" s="83" t="str">
        <f ca="1"/>
        <v>No Match</v>
      </c>
      <c r="M42" s="106" t="s">
        <v>335</v>
      </c>
    </row>
    <row r="43" spans="1:13">
      <c r="A43" s="83" t="str">
        <f ca="1"/>
        <v>&lt;Summary of Table Disposition of Participants&gt;</v>
      </c>
      <c r="B43" s="83">
        <f ca="1"/>
        <v>0</v>
      </c>
      <c r="C43" s="83" t="str">
        <f ca="1"/>
        <v>Paragraph</v>
      </c>
      <c r="D43" s="83" t="str">
        <f ca="1"/>
        <v>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v>
      </c>
      <c r="E43" s="83" t="str">
        <f ca="1"/>
        <v>Mock_CSR Key messages_with_heading.docx</v>
      </c>
      <c r="F43" s="83">
        <f ca="1"/>
        <v>0</v>
      </c>
      <c r="G43" s="83" t="str">
        <f ca="1"/>
        <v xml:space="preserve">A summary of participant disposition indicates the number of individuals screened, randomized, and treated throughout the study. The table details how many participants completed the study and the primary reasons for discontinuation, such as withdrawal of consent, adverse events, or protocol deviations. This overview provides insight into participant flow and the main factors impacting study completion. 
Subject disposition is summarized in Table 5. </v>
      </c>
      <c r="H43" s="83">
        <f ca="1"/>
        <v>0</v>
      </c>
      <c r="I43" s="83" t="e">
        <f ca="1"/>
        <v>#NAME?</v>
      </c>
      <c r="J43" s="83" t="e" vm="1">
        <f ca="1"/>
        <v>#VALUE!</v>
      </c>
      <c r="K43" s="83" t="str">
        <f ca="1"/>
        <v>No Match</v>
      </c>
      <c r="M43" s="135" t="s">
        <v>345</v>
      </c>
    </row>
    <row r="44" spans="1:13">
      <c r="A44" s="83" t="str">
        <f ca="1"/>
        <v>&lt;Summary of Table of Analysis Sets &gt;</v>
      </c>
      <c r="B44" s="83">
        <f ca="1"/>
        <v>0</v>
      </c>
      <c r="C44" s="83" t="str">
        <f ca="1"/>
        <v>Paragraph</v>
      </c>
      <c r="D44" s="83" t="str">
        <f ca="1"/>
        <v>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v>
      </c>
      <c r="E44" s="83" t="str">
        <f ca="1"/>
        <v>Mock_CSR Key messages_with_heading.docx</v>
      </c>
      <c r="F44" s="83" t="str">
        <f ca="1"/>
        <v>Summarize and interpret the table of Analysis Sets, focusing on participant numbers and inclusion rates in each set.</v>
      </c>
      <c r="G44" s="83" t="str">
        <f ca="1"/>
        <v>The table of Analysis Sets provides an overview of the participant populations used in the study analyses. It details the number of participants included in each analysis set, such as the Full Analysis Set (FAS) and the Safety Analysis Set (SAS), and indicates the denominators used for percentage calculations. This summary ensures clarity regarding how participants are categorized for efficacy and safety evaluations, supporting the transparency and interpretability of subsequent study results.</v>
      </c>
      <c r="H44" s="83">
        <f ca="1"/>
        <v>0</v>
      </c>
      <c r="I44" s="83" t="e">
        <f ca="1"/>
        <v>#NAME?</v>
      </c>
      <c r="J44" s="83" t="e" vm="1">
        <f ca="1"/>
        <v>#VALUE!</v>
      </c>
      <c r="K44" s="83" t="str">
        <f ca="1"/>
        <v>No Match</v>
      </c>
      <c r="M44" s="106" t="s">
        <v>356</v>
      </c>
    </row>
    <row r="45" spans="1:13">
      <c r="A45" s="83" t="str">
        <f ca="1"/>
        <v>&lt;Summary of  Demographics&gt;</v>
      </c>
      <c r="B45" s="83">
        <f ca="1"/>
        <v>0</v>
      </c>
      <c r="C45" s="83" t="str">
        <f ca="1"/>
        <v>Paragraph</v>
      </c>
      <c r="D45" s="83" t="str">
        <f ca="1"/>
        <v>A total of 36 subjects were enrolled: 24 in the Treatment group and 12 in the Placebo group.
o Age: The mean (±SD) age was 48.33 ± 20.60 years in the Treatment group and 53.58 ± 10.77 years in the Placebo group. The overall age range was 26 to 67 years.
o Sex: Across all subjects, 55.6% were male and 44.4% were female. Sex distribution was comparable between groups.
o Race: The majority of subjects were White (86.1%). Asian subjects accounted for 8.3%, and Other for 5.6%. No subjects identified as American Indian/Alaska Native, Black/African American, or Native Hawaiian/Other Pacific Islander. No race data were missing.
o Ethnicity: 3 subjects identified as Hispanic or Latino, and 31 as Not Hispanic or Latino. 2 subjects in the Treatment group had ethnicity not reported.</v>
      </c>
      <c r="E45" s="83" t="str">
        <f ca="1"/>
        <v>Mock_CSR Key messages_with_heading.docx</v>
      </c>
      <c r="F45" s="83" t="str">
        <f ca="1"/>
        <v>Summarize the demographics information for the study, including group sizes and reference to the table with detailed parameters.</v>
      </c>
      <c r="G45" s="83" t="str">
        <f ca="1"/>
        <v>Demographic data, as presented in the Full Analysis Set, includes both treatment and placebo groups. The study enrolled 24 participants in the treatment group and 12 in the placebo group, totaling 36 participants. The Safety Analysis Set included 21 participants in the treatment group and 10 in the placebo group. Detailed demographic parameters are presented in Table 14.2.2.</v>
      </c>
      <c r="H45" s="83">
        <f ca="1"/>
        <v>0</v>
      </c>
      <c r="I45" s="83" t="e">
        <f ca="1"/>
        <v>#NAME?</v>
      </c>
      <c r="J45" s="83" t="e" vm="1">
        <f ca="1"/>
        <v>#VALUE!</v>
      </c>
      <c r="K45" s="83" t="str">
        <f ca="1"/>
        <v>No Match</v>
      </c>
      <c r="M45" s="135" t="s">
        <v>360</v>
      </c>
    </row>
    <row r="46" spans="1:13">
      <c r="A46" s="83" t="str">
        <f ca="1"/>
        <v>&lt;Summary of Table Demographics&gt;</v>
      </c>
      <c r="B46" s="83">
        <f ca="1"/>
        <v>0</v>
      </c>
      <c r="C46" s="83" t="str">
        <f ca="1"/>
        <v>Paragraph</v>
      </c>
      <c r="D46" s="83" t="str">
        <f ca="1"/>
        <v>A total of 36 subjects were enrolled: 24 in the Treatment group and 12 in the Placebo group.
o Age: The mean (±SD) age was 48.33 ± 20.60 years in the Treatment group and 53.58 ± 10.77 years in the Placebo group. The overall age range was 26 to 67 years.
o Sex: Across all subjects, 55.6% were male and 44.4% were female. Sex distribution was comparable between groups.
o Race: The majority of subjects were White (86.1%). Asian subjects accounted for 8.3%, and Other for 5.6%. No subjects identified as American Indian/Alaska Native, Black/African American, or Native Hawaiian/Other Pacific Islander. No race data were missing.
o Ethnicity: 3 subjects identified as Hispanic or Latino, and 31 as Not Hispanic or Latino. 2 subjects in the Treatment group had ethnicity not reported.</v>
      </c>
      <c r="E46" s="83" t="str">
        <f ca="1"/>
        <v>Mock_CSR Key messages_with_heading.docx</v>
      </c>
      <c r="F46" s="83" t="str">
        <f ca="1"/>
        <v>Summarize and interpret the Demographics table, highlighting group sizes and comparability.</v>
      </c>
      <c r="G46" s="83" t="str">
        <f ca="1"/>
        <v>The Demographics table for the Full Analysis Set provides a summary of participant characteristics across treatment and placebo groups. The table includes key statistics such as sample sizes (N=24 for treatment, N=12 for placebo, N=36 total), and confirms balanced allocation across groups. The demographic distribution supports the comparability of the treatment and placebo populations for subsequent analysis.</v>
      </c>
      <c r="H46" s="83">
        <f ca="1"/>
        <v>0</v>
      </c>
      <c r="I46" s="83" t="e">
        <f ca="1"/>
        <v>#NAME?</v>
      </c>
      <c r="J46" s="83" t="e" vm="1">
        <f ca="1"/>
        <v>#VALUE!</v>
      </c>
      <c r="K46" s="83" t="str">
        <f ca="1"/>
        <v>No Match</v>
      </c>
      <c r="M46" s="106" t="s">
        <v>366</v>
      </c>
    </row>
    <row r="47" spans="1:13">
      <c r="A47" s="83" t="str">
        <f ca="1"/>
        <v>&lt;Summary of Pharmacokinetic data&gt;</v>
      </c>
      <c r="B47" s="83">
        <f ca="1"/>
        <v>0</v>
      </c>
      <c r="C47" s="83" t="str">
        <f ca="1"/>
        <v>Paragraph</v>
      </c>
      <c r="D47" s="83" t="str">
        <f ca="1"/>
        <v>We have 2 PK Tables [Refer Source: CSR_Mock Tables]
The pharmacokinetic (PK) profiles of ABC-123 demonstrate dose-dependent increases in exposure following both single ascending doses and repeated-dose administration.
o Single Ascending Dose (SAD) Study (Table 1):
The pharmacokinetic (PK) parameters of ABC-123 show dose-proportional increases in Cmax and AUC from 5 mg up to 150 mg, indicating predictable and linear pharmacokinetics. The half-life (t½) slightly increases with dose, ranging from 5.2 to 7.0 hours, and the apparent clearance (CL/F) and volume of distribution (Vd/F) remain relatively stable across doses. Tmax increases modestly from 1.5 to 3 hours with increasing dose.
o Repeated-Dose Administration (Table 2):
At 150 mg every other week for a total of 3 doses, steady-state Cmax and AUCτ increased compared to single dose exposure, indicating accumulation with a half-life of 16.5 hours and accumulation ratio (Rac) of 1.9. The apparent clearance is reduced compared to single dose, consistent with steady-state conditions. The drug is well-tolerated at this dose with predictable PK.
Overall, ABC-123 exhibits dose-proportional pharmacokinetics with predictable increases in exposure and moderate accumulation upon repeated dosing, supporting the dosing regimen evaluated in this study.</v>
      </c>
      <c r="E47" s="83" t="str">
        <f ca="1"/>
        <v>Mock_CSR Key messages_with_heading.docx</v>
      </c>
      <c r="F47" s="83" t="str">
        <f ca="1"/>
        <v>Summarize the pharmacokinetic findings for single ascending dose and repeat dose administration of ABC-123.</v>
      </c>
      <c r="G47" s="83" t="str">
        <f ca="1"/>
        <v>Pharmacokinetic (PK) data were collected following both single ascending doses (SAD) and repeated dosing of ABC-123. These data included key PK parameters such as Cmax, Tmax, AUC, and half-life, providing insight into the absorption, distribution, and elimination of ABC-123 in healthy participants and those with Grade 2 boneitis. The results supported dose selection and informed the safety and tolerability profile for subsequent studies.</v>
      </c>
      <c r="H47" s="83">
        <f ca="1"/>
        <v>0</v>
      </c>
      <c r="I47" s="83" t="e">
        <f ca="1"/>
        <v>#NAME?</v>
      </c>
      <c r="J47" s="83" t="e" vm="1">
        <f ca="1"/>
        <v>#VALUE!</v>
      </c>
      <c r="K47" s="83" t="str">
        <f ca="1"/>
        <v>No Match</v>
      </c>
      <c r="M47" s="135" t="s">
        <v>370</v>
      </c>
    </row>
    <row r="48" spans="1:13">
      <c r="A48" s="83" t="str">
        <f ca="1"/>
        <v>&lt;Conclusion Pharmacokinetic &gt;</v>
      </c>
      <c r="B48" s="83">
        <f ca="1"/>
        <v>0</v>
      </c>
      <c r="C48" s="83" t="str">
        <f ca="1"/>
        <v>Paragraph</v>
      </c>
      <c r="D48" s="83" t="str">
        <f ca="1"/>
        <v>Overall, ABC-123 exhibits dose-proportional pharmacokinetics with predictable increases in exposure and moderate accumulation upon repeated dosing, supporting the dosing regimen evaluated in this study.</v>
      </c>
      <c r="E48" s="83" t="str">
        <f ca="1"/>
        <v>Mock_CSR Key messages_with_heading.docx</v>
      </c>
      <c r="F48" s="83" t="str">
        <f ca="1"/>
        <v>Summarize the main pharmacokinetic conclusion or key PK analysis summary for the study, keeping it brief and focused.</v>
      </c>
      <c r="G48" s="83" t="str">
        <f ca="1"/>
        <v xml:space="preserve">The pharmacokinetic profile of ABC-123 will be characterized by assessing serum concentration-time profiles and calculating PK parameters using noncompartmental methods, with results summarized descriptively to evaluate dose proportionality and exposure. </v>
      </c>
      <c r="H48" s="83">
        <f ca="1"/>
        <v>0</v>
      </c>
      <c r="I48" s="83" t="e">
        <f ca="1"/>
        <v>#NAME?</v>
      </c>
      <c r="J48" s="83" t="e" vm="1">
        <f ca="1"/>
        <v>#VALUE!</v>
      </c>
      <c r="K48" s="83" t="str">
        <f ca="1"/>
        <v>No Match</v>
      </c>
      <c r="M48" s="106" t="s">
        <v>385</v>
      </c>
    </row>
    <row r="49" spans="1:13">
      <c r="A49" s="83" t="str">
        <f ca="1"/>
        <v>&lt;Summary of Pharmacodynamics data&gt;</v>
      </c>
      <c r="B49" s="83">
        <f ca="1"/>
        <v>0</v>
      </c>
      <c r="C49" s="83" t="str">
        <f ca="1"/>
        <v>Paragraph</v>
      </c>
      <c r="D49" s="83" t="str">
        <f ca="1"/>
        <v>We have 2 PD Tables [Refer Source: CSR_Mock Tables]
o ABC-123 demonstrates clear pharmacodynamic activity related to glucose and lipid metabolism.
o Effects were modest and emerging after a single dose but became pronounced and consistent after repeated administration.
o The biomarker pattern (↓ glucose, insulin, C-peptide, FFAs; ↑ adiponectin; ↓ leptin) is indicative of improved insulin sensitivity and metabolic balance.</v>
      </c>
      <c r="E49" s="83" t="str">
        <f ca="1"/>
        <v>Mock_CSR_Protocol.docx</v>
      </c>
      <c r="F49" s="83" t="str">
        <f ca="1"/>
        <v>Summarize the pharmacodynamics data for both SAD and repeat dose, including methods and intent of analysis.</v>
      </c>
      <c r="G49" s="83">
        <f ca="1"/>
        <v>0</v>
      </c>
      <c r="H49" s="83">
        <f ca="1"/>
        <v>0</v>
      </c>
      <c r="I49" s="83" t="e">
        <f ca="1"/>
        <v>#NAME?</v>
      </c>
      <c r="J49" s="83" t="e" vm="1">
        <f ca="1"/>
        <v>#VALUE!</v>
      </c>
      <c r="K49" s="83" t="str">
        <f ca="1"/>
        <v>No Match</v>
      </c>
      <c r="M49" s="135"/>
    </row>
    <row r="50" spans="1:13">
      <c r="A50" s="83" t="str">
        <f ca="1"/>
        <v>&lt;PD Conclusion&gt;</v>
      </c>
      <c r="B50" s="83">
        <f ca="1"/>
        <v>0</v>
      </c>
      <c r="C50" s="83" t="str">
        <f ca="1"/>
        <v>Paragraph</v>
      </c>
      <c r="D50" s="83" t="str">
        <f ca="1"/>
        <v>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v>
      </c>
      <c r="E50" s="83" t="str">
        <f ca="1"/>
        <v>Mock_CSR Key messages_with_heading.docx</v>
      </c>
      <c r="F50" s="83" t="str">
        <f ca="1"/>
        <v>Write a very brief conclusion summarizing the pharmacodynamic (PD) findings for ABC-123.</v>
      </c>
      <c r="G50" s="83" t="str">
        <f ca="1"/>
        <v>In summary, ABC-123 demonstrated a favorable pharmacodynamic profile, showing peripheral PD activity without central effects, supporting its continued evaluation in clinical studies.</v>
      </c>
      <c r="H50" s="83">
        <f ca="1"/>
        <v>0</v>
      </c>
      <c r="I50" s="83" t="e">
        <f ca="1"/>
        <v>#NAME?</v>
      </c>
      <c r="J50" s="83" t="e" vm="1">
        <f ca="1"/>
        <v>#VALUE!</v>
      </c>
      <c r="K50" s="83" t="str">
        <f ca="1"/>
        <v>No Match</v>
      </c>
      <c r="M50" s="106" t="s">
        <v>401</v>
      </c>
    </row>
    <row r="51" spans="1:13">
      <c r="A51" s="83" t="str">
        <f ca="1"/>
        <v>&lt;summary of  Table Study Drug Exposure (Safety Analysis Set)&gt;</v>
      </c>
      <c r="B51" s="83">
        <f ca="1"/>
        <v>0</v>
      </c>
      <c r="C51" s="83" t="str">
        <f ca="1"/>
        <v>Paragraph</v>
      </c>
      <c r="D51" s="83">
        <f ca="1"/>
        <v>0</v>
      </c>
      <c r="E51" s="83" t="str">
        <f ca="1"/>
        <v>Mock_CSR Key messages_with_heading.docx</v>
      </c>
      <c r="F51" s="83" t="str">
        <f ca="1"/>
        <v>Write a concise narrative summarizing and interpreting the Study Drug Exposure (Safety Analysis Set) table, without mentioning the table number.</v>
      </c>
      <c r="G51" s="83" t="str">
        <f ca="1"/>
        <v>Participants in the Safety Analysis Set received the study drug for an average of approximately 30.65 months, with a median duration of 19.84 months. The cumulative dose administered had a mean of 101,930 mg and a median of 125,896.23 mg, with a standard deviation of 41,980 mg. These findings indicate that the majority of participants experienced substantial drug exposure over a prolonged period, supporting the robustness of the safety evaluation.</v>
      </c>
      <c r="H51" s="83">
        <f ca="1"/>
        <v>0</v>
      </c>
      <c r="I51" s="83" t="e">
        <f ca="1"/>
        <v>#NAME?</v>
      </c>
      <c r="J51" s="83" t="e" vm="1">
        <f ca="1"/>
        <v>#VALUE!</v>
      </c>
      <c r="K51" s="83" t="str">
        <f ca="1"/>
        <v>No Match</v>
      </c>
      <c r="M51" s="135" t="s">
        <v>404</v>
      </c>
    </row>
    <row r="52" spans="1:13">
      <c r="A52" s="83" t="str">
        <f ca="1"/>
        <v>&lt;Adverse Events&gt;</v>
      </c>
      <c r="B52" s="83">
        <f ca="1"/>
        <v>0</v>
      </c>
      <c r="C52" s="83" t="str">
        <f ca="1"/>
        <v>Paragraph</v>
      </c>
      <c r="D52" s="83" t="str">
        <f ca="1"/>
        <v>Adverse events will be reported by the participant (or, when appropriate, by a caregiver, surrogate, or the participant's legally authorized representative).
The Investigator and any qualified designees are responsible for detecting, documenting, and recording events that meet the definition of an AE or SAE and remain responsible for following up AEs that are serious, considered related to the study intervention or study procedures, or that caused the participant to discontinue study intervention (see Section 7).
The Investigator must evaluate the clinical significance of a finding prior to grading and recording it as an AE.</v>
      </c>
      <c r="E52" s="83" t="str">
        <f ca="1"/>
        <v>Mock_CSR_Protocol.docx</v>
      </c>
      <c r="F52" s="83" t="str">
        <f ca="1"/>
        <v>Summarize the process and responsibilities for adverse event reporting and monitoring in the clinical study.</v>
      </c>
      <c r="G52" s="83" t="str">
        <f ca="1"/>
        <v>Adverse events (AEs) will be reported by participants or their representatives. Investigators and qualified designees are responsible for detecting, documenting, and recording all events that meet the definition of an AE or serious adverse event (SAE), and must follow up on any serious or study-related AEs, as well as those causing discontinuation of study intervention. The clinical significance of each finding must be evaluated before it is graded and recorded as an AE. Adverse events and concomitant medication use will be monitored throughout the study.</v>
      </c>
      <c r="H52" s="83">
        <f ca="1"/>
        <v>0</v>
      </c>
      <c r="I52" s="83" t="e">
        <f ca="1"/>
        <v>#NAME?</v>
      </c>
      <c r="J52" s="83" t="e" vm="1">
        <f ca="1"/>
        <v>#VALUE!</v>
      </c>
      <c r="K52" s="83" t="str">
        <f ca="1"/>
        <v>No Match</v>
      </c>
      <c r="M52" s="106" t="s">
        <v>413</v>
      </c>
    </row>
    <row r="53" spans="1:13">
      <c r="A53" s="83" t="str">
        <f ca="1"/>
        <v>&lt;summary of  Overall Summary of Adverse Events (Safety Analysis Set)&gt;</v>
      </c>
      <c r="B53" s="83">
        <f ca="1"/>
        <v>0</v>
      </c>
      <c r="C53" s="83" t="str">
        <f ca="1"/>
        <v>Paragraph</v>
      </c>
      <c r="D53" s="83" t="str">
        <f ca="1"/>
        <v>• Primary Endpoint:
o The number of participants experiencing serious adverse events (SAEs) and non-serious adverse events (AEs) following single or repeated administration of ABC-123.
• Secondary Endpoints:
o The number of participants experiencing serious adverse events (SAEs) and non-serious adverse events (AEs) following repeated administration of ABC-123.
o To characterize the pharmacokinetic profile of ABC-123, including Cmax and AUClast, following single ascending doses and repeated dosing.</v>
      </c>
      <c r="E53" s="83" t="str">
        <f ca="1"/>
        <v>Mock_CSR Key messages_with_heading.docx</v>
      </c>
      <c r="F53" s="83" t="str">
        <f ca="1"/>
        <v>Write a concise narrative paragraph summarizing and interpreting the overall summary of adverse events in the safety analysis set, without mentioning the table number.</v>
      </c>
      <c r="G53" s="83" t="str">
        <f ca="1"/>
        <v>Among participants in the safety analysis set, treatment-emergent adverse events (TEAEs) were notably more frequent in the treatment group (85.7%) compared to the placebo group (50.0%), with an overall incidence of 74.2%. Treatment-related TEAEs occurred in 61.9% of the treatment group and none in the placebo group. Grade 3 or higher TEAEs and serious TEAEs were reported in 22.6% of the treatment group and 20.0% of the placebo group, representing 29.0% of all participants. TEAEs leading to study drug discontinuation were observed in 9.5% of the treatment group and none in the placebo group (6.5% overall). Dose modifications and reductions due to TEAEs were rare, and deaths attributed to TEAEs occurred in 14.2% of the treatment group, with none in the placebo group (9.7% overall), all classified as treatment-related.</v>
      </c>
      <c r="H53" s="83">
        <f ca="1"/>
        <v>0</v>
      </c>
      <c r="I53" s="83" t="e">
        <f ca="1"/>
        <v>#NAME?</v>
      </c>
      <c r="J53" s="83" t="e" vm="1">
        <f ca="1"/>
        <v>#VALUE!</v>
      </c>
      <c r="K53" s="83" t="str">
        <f ca="1"/>
        <v>No Match</v>
      </c>
      <c r="M53" s="135" t="s">
        <v>417</v>
      </c>
    </row>
    <row r="54" spans="1:13">
      <c r="A54" s="83" t="str">
        <f ca="1"/>
        <v>&lt;Safety Conclusions&gt;</v>
      </c>
      <c r="B54" s="83">
        <f ca="1"/>
        <v>0</v>
      </c>
      <c r="C54" s="83" t="str">
        <f ca="1"/>
        <v>Paragraph</v>
      </c>
      <c r="D54" s="83" t="str">
        <f ca="1"/>
        <v>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The safety profile supports the acceptable tolerability of ABC-123.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Overall, the data supports the continued clinical development of ABC-123 and provide a rationale for advancing to Phase 2 studies to further assess safety, pharmacodynamics, and preliminary efficacy in patients with Boneitis.</v>
      </c>
      <c r="E54" s="83" t="str">
        <f ca="1"/>
        <v>Mock_CSR_Protocol.docx</v>
      </c>
      <c r="F54" s="83" t="str">
        <f ca="1"/>
        <v>Summarize the key safety conclusions for ABC-123, integrating all available nonclinical and clinical safety data.</v>
      </c>
      <c r="G54" s="83" t="str">
        <f ca="1"/>
        <v>ABC-123 demonstrated a favorable safety profile in this first-in-human study, with no known risks, including CNS-associated risks, observed in nonclinical pharmacology and safety studies. Previous studies of related blorp inductors indicated that, aside from adverse psychiatric and neurological effects—which were not observed with ABC-123—the compounds were generally safe and well tolerated, with most adverse effects being gastrointestinal. ABC-123's safety and tolerability were further supported by data from both healthy participants and those with boneitis.</v>
      </c>
      <c r="H54" s="83">
        <f ca="1"/>
        <v>0</v>
      </c>
      <c r="I54" s="83" t="e">
        <f ca="1"/>
        <v>#NAME?</v>
      </c>
      <c r="J54" s="83" t="e" vm="1">
        <f ca="1"/>
        <v>#VALUE!</v>
      </c>
      <c r="K54" s="83" t="str">
        <f ca="1"/>
        <v>No Match</v>
      </c>
      <c r="M54" s="106" t="s">
        <v>425</v>
      </c>
    </row>
    <row r="55" spans="1:13">
      <c r="A55" s="83" t="str">
        <f ca="1"/>
        <v>&lt;Insert discussion&gt;</v>
      </c>
      <c r="B55" s="83">
        <f ca="1"/>
        <v>0</v>
      </c>
      <c r="C55" s="83" t="str">
        <f ca="1"/>
        <v>Paragraph</v>
      </c>
      <c r="D55" s="83" t="str">
        <f ca="1"/>
        <v>Individuals who do not meet the criteria for participation in this study (screen failure) may be rescreened upon discussion with the Medical Monitor. If a participant is inside the Screening window and repeating a single out-of-range assessment, the participant’s original participant number should be retained. If a participant is outside the Screening window and repeating all assessments, a new participant number should be assigned.</v>
      </c>
      <c r="E55" s="83" t="str">
        <f ca="1"/>
        <v>Mock_CSR_Protocol.docx</v>
      </c>
      <c r="F55" s="83" t="str">
        <f ca="1"/>
        <v>Summarize the discussion on participant eligibility, adverse event management, and replacement policies.</v>
      </c>
      <c r="G55" s="83" t="str">
        <f ca="1"/>
        <v xml:space="preserve">Participants must meet all inclusion criteria and none of the exclusion criteria to be eligible for enrollment. Eligibility assessments that are initially not met may be retested once after discussion with the Medical Monitor. If a participant is withdrawn for reasons unrelated to the study intervention, replacement may occur after consultation between the Investigator and Sponsor; however, participants withdrawn due to adverse events related to the study intervention will not be replaced. If study intervention is withheld due to adverse events, scheduled visits and assessments should continue, and resumption of dosing may be considered at the same or lower dose if it does not pose significant risk, with appropriate discussion and oversight. </v>
      </c>
      <c r="H55" s="83">
        <f ca="1"/>
        <v>0</v>
      </c>
      <c r="I55" s="83" t="e">
        <f ca="1"/>
        <v>#NAME?</v>
      </c>
      <c r="J55" s="83" t="e" vm="1">
        <f ca="1"/>
        <v>#VALUE!</v>
      </c>
      <c r="K55" s="83" t="str">
        <f ca="1"/>
        <v>No Match</v>
      </c>
      <c r="M55" s="135" t="s">
        <v>429</v>
      </c>
    </row>
    <row r="56" spans="1:13">
      <c r="A56" s="83" t="str">
        <f ca="1"/>
        <v>&lt;Insert conclusion in bullets&gt;</v>
      </c>
      <c r="B56" s="83">
        <f ca="1"/>
        <v>0</v>
      </c>
      <c r="C56" s="83" t="str">
        <f ca="1"/>
        <v>Paragraph</v>
      </c>
      <c r="D56" s="83" t="str">
        <f ca="1"/>
        <v>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v>
      </c>
      <c r="E56" s="83" t="str">
        <f ca="1"/>
        <v>Mock_CSR_Protocol.docx</v>
      </c>
      <c r="F56" s="83" t="str">
        <f ca="1"/>
        <v>Summarize the main study conclusions in concise bullet points, covering safety, pharmacokinetics, pharmacodynamics, and benefit-risk assessment.</v>
      </c>
      <c r="G56" s="83" t="str">
        <f ca="1"/>
        <v>ABC-123 was safe and well-tolerated as both single and multiple doses in healthy participants and those with Grade 2 Boneitis. 
No dose-limiting toxicities or dose reductions due to treatment-emergent adverse events (TEAEs) were reported. 
TEAEs occurred in 85.7% of the treatment group versus 50.0% of the placebo group; treatment-related TEAEs were seen only in the treatment group. 
Grade 3 or higher TEAEs and serious TEAEs were similar between groups, but serious treatment-related TEAEs and deaths (all treatment-related) occurred only in the treatment group. 
Pharmacokinetic analysis showed predictable, dose-proportional exposure in healthy participants and higher, prolonged exposure in Boneitis participants. 
Exploratory pharmacodynamic analyses indicated favorable metabolic effects, including reductions in fasting glucose, insulin, and leptin, and increases in adiponectin. 
The overall benefit-risk assessment is favorable for study participation, with risks minimized through monitoring and dose escalation.</v>
      </c>
      <c r="H56" s="83">
        <f ca="1"/>
        <v>0</v>
      </c>
      <c r="I56" s="83" t="e">
        <f ca="1"/>
        <v>#NAME?</v>
      </c>
      <c r="J56" s="83" t="e" vm="1">
        <f ca="1"/>
        <v>#VALUE!</v>
      </c>
      <c r="K56" s="83" t="str">
        <f ca="1"/>
        <v>No Match</v>
      </c>
      <c r="M56" s="106" t="s">
        <v>433</v>
      </c>
    </row>
    <row r="57" spans="1:13">
      <c r="A57" s="83" t="str">
        <f ca="1"/>
        <v>&lt;Insert Reference List&gt;</v>
      </c>
      <c r="B57" s="83">
        <f ca="1"/>
        <v>0</v>
      </c>
      <c r="C57" s="83" t="str">
        <f ca="1"/>
        <v>Paragraph</v>
      </c>
      <c r="D57" s="83" t="str">
        <f ca="1"/>
        <v>Biagini, E., P. Spirito, O. Leone, F. M. Picchio, F. Coccolo, L. Ragni, C. Lofiego, F. Grigioni, L. Potena, G. Rocchi, L. Bacchi-Reggiani, G. Boriani, D. Prandstraller, E. Arbustini, A. Branzi, and C. Rapezzi. 2008. 'Heart transplantation in hypertrophic cardiomyopathy', Am J Cardiol, 101: 387-92.</v>
      </c>
      <c r="E57" s="83" t="str">
        <f ca="1"/>
        <v>Mock_CSR_Protocol.docx</v>
      </c>
      <c r="F57" s="83" t="str">
        <f ca="1"/>
        <v>Insert the reference list of all documents, publications, guidelines, and literature cited or consulted in the report.</v>
      </c>
      <c r="G57" s="83" t="str">
        <f ca="1"/>
        <v>Biagini, E., P. Spirito, O. Leone, F. M. Picchio, F. Coccolo, L. Ragni, C. Lofiego, F. Grigioni, L. Potena, G. Rocchi, L. Bacchi-Reggiani, G. Boriani, D. Prandstraller, E. Arbustini, A. Branzi, and C. Rapezzi. 2008. 'Heart transplantation in hypertrophic cardiomyopathy', Am J Cardiol, 101: 387-92</v>
      </c>
      <c r="H57" s="83">
        <f ca="1"/>
        <v>0</v>
      </c>
      <c r="I57" s="83" t="e">
        <f ca="1"/>
        <v>#NAME?</v>
      </c>
      <c r="J57" s="83" t="e" vm="1">
        <f ca="1"/>
        <v>#VALUE!</v>
      </c>
      <c r="K57" s="83" t="str">
        <f ca="1"/>
        <v>No Match</v>
      </c>
      <c r="M57" s="135" t="s">
        <v>452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BC06B02-ADF2-4386-89E5-E67F430055F9}">
          <x14:formula1>
            <xm:f>Summary!$D$12:$L$12</xm:f>
          </x14:formula1>
          <xm:sqref>E2 H2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8F0C-EED9-4AA6-BB6B-0FFB5F6FB7C4}">
  <dimension ref="A2:M21"/>
  <sheetViews>
    <sheetView topLeftCell="A2" workbookViewId="0">
      <selection activeCell="E8" sqref="E8"/>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140625" style="83" customWidth="1"/>
    <col min="7" max="7" width="20.85546875" style="83" customWidth="1"/>
    <col min="8" max="8" width="31.5" style="83" bestFit="1" customWidth="1"/>
    <col min="9" max="9" width="21.140625" style="83" customWidth="1"/>
    <col min="10" max="10" width="9" style="83"/>
    <col min="11" max="11" width="14" style="83" bestFit="1" customWidth="1"/>
    <col min="12" max="12" width="9" style="83"/>
    <col min="13" max="13" width="0" style="83" hidden="1" customWidth="1"/>
    <col min="14" max="16384" width="9" style="83"/>
  </cols>
  <sheetData>
    <row r="2" spans="1:13" ht="14.6">
      <c r="A2" s="84" t="s">
        <v>72</v>
      </c>
      <c r="B2" s="84"/>
      <c r="C2" s="84" t="s">
        <v>73</v>
      </c>
      <c r="D2" s="84" t="s">
        <v>74</v>
      </c>
      <c r="E2" s="85" t="s">
        <v>75</v>
      </c>
      <c r="F2" s="84" t="s">
        <v>76</v>
      </c>
      <c r="G2" s="84" t="s">
        <v>77</v>
      </c>
      <c r="H2" s="85" t="s">
        <v>78</v>
      </c>
      <c r="I2" s="85" t="s">
        <v>79</v>
      </c>
      <c r="J2" s="85" t="s">
        <v>80</v>
      </c>
      <c r="K2" s="85" t="s">
        <v>81</v>
      </c>
    </row>
    <row r="3" spans="1:13">
      <c r="A3" s="83" t="str" cm="1">
        <f t="array" aca="1" ref="A3:K21" ca="1">_xlfn._xlws.FILTER(QA!A3:K500, QA!C3:C500="KeyValue")</f>
        <v>&lt;Investigational Drug Name&gt;</v>
      </c>
      <c r="B3" s="83">
        <f ca="1"/>
        <v>0</v>
      </c>
      <c r="C3" s="83" t="str">
        <f ca="1"/>
        <v>KeyValue</v>
      </c>
      <c r="D3" s="83" t="str">
        <f ca="1"/>
        <v>ABC-123</v>
      </c>
      <c r="E3" s="83" t="str">
        <f ca="1"/>
        <v>Mock_CSR_Protocol.docx</v>
      </c>
      <c r="F3" s="83" t="str">
        <f ca="1"/>
        <v>Provide the investigational drug name in concise format.</v>
      </c>
      <c r="G3" s="83" t="str">
        <f ca="1"/>
        <v>ABC-123</v>
      </c>
      <c r="H3" s="83">
        <f ca="1"/>
        <v>0</v>
      </c>
      <c r="I3" s="83" t="e">
        <f ca="1"/>
        <v>#NAME?</v>
      </c>
      <c r="J3" s="83" t="e" vm="1">
        <f ca="1"/>
        <v>#VALUE!</v>
      </c>
      <c r="K3" s="83" t="str">
        <f ca="1"/>
        <v>No Match</v>
      </c>
      <c r="M3" s="135" t="s">
        <v>106</v>
      </c>
    </row>
    <row r="4" spans="1:13">
      <c r="A4" s="83" t="str">
        <f ca="1"/>
        <v>&lt;Insert Disease Name&gt;</v>
      </c>
      <c r="B4" s="83">
        <f ca="1"/>
        <v>0</v>
      </c>
      <c r="C4" s="83" t="str">
        <f ca="1"/>
        <v>KeyValue</v>
      </c>
      <c r="D4" s="83" t="str">
        <f ca="1"/>
        <v>Boneitis</v>
      </c>
      <c r="E4" s="83" t="str">
        <f ca="1"/>
        <v>Mock_CSR_Protocol.docx</v>
      </c>
      <c r="F4" s="83" t="str">
        <f ca="1"/>
        <v>Insert the disease name as referenced in the protocol.</v>
      </c>
      <c r="G4" s="83" t="str">
        <f ca="1"/>
        <v>Boneitis</v>
      </c>
      <c r="H4" s="83">
        <f ca="1"/>
        <v>0</v>
      </c>
      <c r="I4" s="83" t="e">
        <f ca="1"/>
        <v>#NAME?</v>
      </c>
      <c r="J4" s="83" t="e" vm="1">
        <f ca="1"/>
        <v>#VALUE!</v>
      </c>
      <c r="K4" s="83" t="str">
        <f ca="1"/>
        <v>No Match</v>
      </c>
      <c r="M4" s="106" t="s">
        <v>109</v>
      </c>
    </row>
    <row r="5" spans="1:13">
      <c r="A5" s="83" t="str">
        <f ca="1"/>
        <v>&lt;Protocol Identification (Code or Number)&gt;</v>
      </c>
      <c r="B5" s="83">
        <f ca="1"/>
        <v>0</v>
      </c>
      <c r="C5" s="83" t="str">
        <f ca="1"/>
        <v>KeyValue</v>
      </c>
      <c r="D5" s="83" t="str">
        <f ca="1"/>
        <v>SKY-2000-101</v>
      </c>
      <c r="E5" s="83" t="str">
        <f ca="1"/>
        <v>Mock_CSR_Protocol.docx</v>
      </c>
      <c r="F5" s="83" t="str">
        <f ca="1"/>
        <v>Provide the protocol identification code or number in the precise format as found in the context.</v>
      </c>
      <c r="G5" s="83" t="str">
        <f ca="1"/>
        <v>SKY-2000-101</v>
      </c>
      <c r="H5" s="83">
        <f ca="1"/>
        <v>0</v>
      </c>
      <c r="I5" s="83" t="e">
        <f ca="1"/>
        <v>#NAME?</v>
      </c>
      <c r="J5" s="83" t="e" vm="1">
        <f ca="1"/>
        <v>#VALUE!</v>
      </c>
      <c r="K5" s="83" t="str">
        <f ca="1"/>
        <v>No Match</v>
      </c>
      <c r="M5" s="135" t="s">
        <v>112</v>
      </c>
    </row>
    <row r="6" spans="1:13">
      <c r="A6" s="83" t="str">
        <f ca="1"/>
        <v>&lt;Investigational Drug Name&gt;</v>
      </c>
      <c r="B6" s="83">
        <f ca="1"/>
        <v>0</v>
      </c>
      <c r="C6" s="83" t="str">
        <f ca="1"/>
        <v>KeyValue</v>
      </c>
      <c r="D6" s="83" t="str">
        <f ca="1"/>
        <v>ABC-123</v>
      </c>
      <c r="E6" s="83" t="str">
        <f ca="1"/>
        <v>Mock_CSR_Protocol.docx</v>
      </c>
      <c r="F6" s="83">
        <f ca="1"/>
        <v>0</v>
      </c>
      <c r="G6" s="83" t="str">
        <f ca="1"/>
        <v>ABC-123</v>
      </c>
      <c r="H6" s="83">
        <f ca="1"/>
        <v>0</v>
      </c>
      <c r="I6" s="83" t="e">
        <f ca="1"/>
        <v>#NAME?</v>
      </c>
      <c r="J6" s="83" t="e" vm="1">
        <f ca="1"/>
        <v>#VALUE!</v>
      </c>
      <c r="K6" s="83" t="str">
        <f ca="1"/>
        <v>No Match</v>
      </c>
      <c r="M6" s="106" t="s">
        <v>106</v>
      </c>
    </row>
    <row r="7" spans="1:13">
      <c r="A7" s="83" t="str">
        <f ca="1"/>
        <v>&lt;Protocol Identification (Code or Number)&gt;</v>
      </c>
      <c r="B7" s="83">
        <f ca="1"/>
        <v>0</v>
      </c>
      <c r="C7" s="83" t="str">
        <f ca="1"/>
        <v>KeyValue</v>
      </c>
      <c r="D7" s="83" t="str">
        <f ca="1"/>
        <v>SKY-2000-101</v>
      </c>
      <c r="E7" s="83" t="str">
        <f ca="1"/>
        <v>Mock_CSR_Protocol.docx</v>
      </c>
      <c r="F7" s="83">
        <f ca="1"/>
        <v>0</v>
      </c>
      <c r="G7" s="83" t="str">
        <f ca="1"/>
        <v>SKY-2000-101</v>
      </c>
      <c r="H7" s="83">
        <f ca="1"/>
        <v>0</v>
      </c>
      <c r="I7" s="83" t="e">
        <f ca="1"/>
        <v>#NAME?</v>
      </c>
      <c r="J7" s="83" t="e" vm="1">
        <f ca="1"/>
        <v>#VALUE!</v>
      </c>
      <c r="K7" s="83" t="str">
        <f ca="1"/>
        <v>No Match</v>
      </c>
      <c r="M7" s="135" t="s">
        <v>112</v>
      </c>
    </row>
    <row r="8" spans="1:13">
      <c r="A8" s="83" t="str">
        <f ca="1"/>
        <v>&lt;Investigational Drug Name&gt;</v>
      </c>
      <c r="B8" s="83">
        <f ca="1"/>
        <v>0</v>
      </c>
      <c r="C8" s="83" t="str">
        <f ca="1"/>
        <v>KeyValue</v>
      </c>
      <c r="D8" s="83" t="str">
        <f ca="1"/>
        <v>ABC-123</v>
      </c>
      <c r="E8" s="83" t="str">
        <f ca="1"/>
        <v>Mock_CSR_Protocol.docx</v>
      </c>
      <c r="F8" s="83" t="str">
        <f ca="1"/>
        <v>Provide the investigational drug name in concise form.</v>
      </c>
      <c r="G8" s="83" t="str">
        <f ca="1"/>
        <v>ABC-123</v>
      </c>
      <c r="H8" s="83">
        <f ca="1"/>
        <v>0</v>
      </c>
      <c r="I8" s="83" t="e">
        <f ca="1"/>
        <v>#NAME?</v>
      </c>
      <c r="J8" s="83" t="e" vm="1">
        <f ca="1"/>
        <v>#VALUE!</v>
      </c>
      <c r="K8" s="83" t="str">
        <f ca="1"/>
        <v>No Match</v>
      </c>
      <c r="M8" s="106" t="s">
        <v>106</v>
      </c>
    </row>
    <row r="9" spans="1:13">
      <c r="A9" s="83" t="str">
        <f ca="1"/>
        <v>&lt;IND Number&gt;</v>
      </c>
      <c r="B9" s="83">
        <f ca="1"/>
        <v>0</v>
      </c>
      <c r="C9" s="83" t="str">
        <f ca="1"/>
        <v>KeyValue</v>
      </c>
      <c r="D9" s="83">
        <f ca="1"/>
        <v>123456</v>
      </c>
      <c r="E9" s="83" t="str">
        <f ca="1"/>
        <v>Mock_CSR_Protocol.docx</v>
      </c>
      <c r="F9" s="83" t="str">
        <f ca="1"/>
        <v>Provide the IND number in numeric format.</v>
      </c>
      <c r="G9" s="83">
        <f ca="1"/>
        <v>123456</v>
      </c>
      <c r="H9" s="83">
        <f ca="1"/>
        <v>0</v>
      </c>
      <c r="I9" s="83" t="e">
        <f ca="1"/>
        <v>#NAME?</v>
      </c>
      <c r="J9" s="83" t="e" vm="1">
        <f ca="1"/>
        <v>#VALUE!</v>
      </c>
      <c r="K9" s="83" t="str">
        <f ca="1"/>
        <v>No Match</v>
      </c>
      <c r="M9" s="135">
        <v>123456</v>
      </c>
    </row>
    <row r="10" spans="1:13">
      <c r="A10" s="83" t="str">
        <f ca="1"/>
        <v>&lt;PHASE X&gt;</v>
      </c>
      <c r="B10" s="83">
        <f ca="1"/>
        <v>0</v>
      </c>
      <c r="C10" s="83" t="str">
        <f ca="1"/>
        <v>KeyValue</v>
      </c>
      <c r="D10" s="83" t="str">
        <f ca="1"/>
        <v>Phase 1</v>
      </c>
      <c r="E10" s="83" t="str">
        <f ca="1"/>
        <v>Mock_CSR_Protocol.docx</v>
      </c>
      <c r="F10" s="83" t="str">
        <f ca="1"/>
        <v>Return the study phase in the format 'Phase X', matching the placeholder format.</v>
      </c>
      <c r="G10" s="83" t="str">
        <f ca="1"/>
        <v>Phase 1</v>
      </c>
      <c r="H10" s="83">
        <f ca="1"/>
        <v>0</v>
      </c>
      <c r="I10" s="83" t="e">
        <f ca="1"/>
        <v>#NAME?</v>
      </c>
      <c r="J10" s="83" t="e" vm="1">
        <f ca="1"/>
        <v>#VALUE!</v>
      </c>
      <c r="K10" s="83" t="str">
        <f ca="1"/>
        <v>No Match</v>
      </c>
      <c r="M10" s="106" t="s">
        <v>118</v>
      </c>
    </row>
    <row r="11" spans="1:13">
      <c r="A11" s="83" t="str">
        <f ca="1"/>
        <v>&lt;Sponsor's Address&gt;</v>
      </c>
      <c r="B11" s="83">
        <f ca="1"/>
        <v>0</v>
      </c>
      <c r="C11" s="83" t="str">
        <f ca="1"/>
        <v>KeyValue</v>
      </c>
      <c r="D11" s="83" t="str">
        <f ca="1"/>
        <v>123 Fake Street
Anytown, CO
USA 80002</v>
      </c>
      <c r="E11" s="83" t="str">
        <f ca="1"/>
        <v>Mock_CSR_Protocol.docx</v>
      </c>
      <c r="F11" s="83">
        <f ca="1"/>
        <v>0</v>
      </c>
      <c r="G11" s="83">
        <f ca="1"/>
        <v>0</v>
      </c>
      <c r="H11" s="83">
        <f ca="1"/>
        <v>0</v>
      </c>
      <c r="I11" s="83" t="e">
        <f ca="1"/>
        <v>#NAME?</v>
      </c>
      <c r="J11" s="83" t="e" vm="1">
        <f ca="1"/>
        <v>#VALUE!</v>
      </c>
      <c r="K11" s="83" t="str">
        <f ca="1"/>
        <v>No Match</v>
      </c>
      <c r="M11" s="135"/>
    </row>
    <row r="12" spans="1:13">
      <c r="A12" s="83" t="str">
        <f ca="1"/>
        <v>&lt;Company Address&gt;</v>
      </c>
      <c r="B12" s="83">
        <f ca="1"/>
        <v>0</v>
      </c>
      <c r="C12" s="83" t="str">
        <f ca="1"/>
        <v>KeyValue</v>
      </c>
      <c r="D12" s="83" t="str">
        <f ca="1"/>
        <v>123 Fake Street
Anytown, CO
USA 80002</v>
      </c>
      <c r="E12" s="83" t="str">
        <f ca="1"/>
        <v>Mock_CSR_Protocol.docx</v>
      </c>
      <c r="F12" s="83" t="str">
        <f ca="1"/>
        <v>Insert the official company address in standard format.</v>
      </c>
      <c r="G12" s="83" t="str">
        <f ca="1"/>
        <v xml:space="preserve">Clinovance Solutions, Inc.
582 Clinical Trail Blvd
San Mate, CO 944
USA </v>
      </c>
      <c r="H12" s="83">
        <f ca="1"/>
        <v>0</v>
      </c>
      <c r="I12" s="83" t="e">
        <f ca="1"/>
        <v>#NAME?</v>
      </c>
      <c r="J12" s="83" t="e" vm="1">
        <f ca="1"/>
        <v>#VALUE!</v>
      </c>
      <c r="K12" s="83" t="str">
        <f ca="1"/>
        <v>No Match</v>
      </c>
      <c r="M12" s="106" t="s">
        <v>140</v>
      </c>
    </row>
    <row r="13" spans="1:13">
      <c r="A13" s="83" t="str">
        <f ca="1"/>
        <v>&lt;Medical Monitor Name&gt;</v>
      </c>
      <c r="B13" s="83">
        <f ca="1"/>
        <v>0</v>
      </c>
      <c r="C13" s="83" t="str">
        <f ca="1"/>
        <v>KeyValue</v>
      </c>
      <c r="D13" s="83" t="str">
        <f ca="1"/>
        <v>Karliah N. Gale, MD</v>
      </c>
      <c r="E13" s="83" t="str">
        <f ca="1"/>
        <v>Mock_CSR_Protocol.docx</v>
      </c>
      <c r="F13" s="83" t="str">
        <f ca="1"/>
        <v>Provide the full name of the Medical Monitor if available; otherwise, leave blank.</v>
      </c>
      <c r="G13" s="83" t="str">
        <f ca="1"/>
        <v>Michael Yu </v>
      </c>
      <c r="H13" s="83">
        <f ca="1"/>
        <v>0</v>
      </c>
      <c r="I13" s="83" t="e">
        <f ca="1"/>
        <v>#NAME?</v>
      </c>
      <c r="J13" s="83" t="e" vm="1">
        <f ca="1"/>
        <v>#VALUE!</v>
      </c>
      <c r="K13" s="83" t="str">
        <f ca="1"/>
        <v>No Match</v>
      </c>
      <c r="M13" s="135" t="s">
        <v>144</v>
      </c>
    </row>
    <row r="14" spans="1:13">
      <c r="A14" s="83" t="str">
        <f ca="1"/>
        <v>&lt;Name &gt;</v>
      </c>
      <c r="B14" s="83">
        <f ca="1"/>
        <v>0</v>
      </c>
      <c r="C14" s="83" t="str">
        <f ca="1"/>
        <v>KeyValue</v>
      </c>
      <c r="D14" s="83" t="str">
        <f ca="1"/>
        <v>ABC-123</v>
      </c>
      <c r="E14" s="83" t="str">
        <f ca="1"/>
        <v>Mock_CSR_Protocol.docx</v>
      </c>
      <c r="F14" s="83" t="str">
        <f ca="1"/>
        <v>Replace the placeholder with the relevant name if present; otherwise, leave blank.</v>
      </c>
      <c r="G14" s="83">
        <f ca="1"/>
        <v>0</v>
      </c>
      <c r="H14" s="83">
        <f ca="1"/>
        <v>0</v>
      </c>
      <c r="I14" s="83" t="e">
        <f ca="1"/>
        <v>#NAME?</v>
      </c>
      <c r="J14" s="83" t="e" vm="1">
        <f ca="1"/>
        <v>#VALUE!</v>
      </c>
      <c r="K14" s="83" t="str">
        <f ca="1"/>
        <v>No Match</v>
      </c>
      <c r="M14" s="106"/>
    </row>
    <row r="15" spans="1:13">
      <c r="A15" s="83" t="str">
        <f ca="1"/>
        <v>&lt;Dosage Formulation&gt;</v>
      </c>
      <c r="B15" s="83">
        <f ca="1"/>
        <v>0</v>
      </c>
      <c r="C15" s="83" t="str">
        <f ca="1"/>
        <v>KeyValue</v>
      </c>
      <c r="D15" s="83" t="str">
        <f ca="1"/>
        <v>Injectable solution</v>
      </c>
      <c r="E15" s="83" t="str">
        <f ca="1"/>
        <v>Mock_CSR_Protocol.docx</v>
      </c>
      <c r="F15" s="83">
        <f ca="1"/>
        <v>0</v>
      </c>
      <c r="G15" s="83">
        <f ca="1"/>
        <v>0</v>
      </c>
      <c r="H15" s="83">
        <f ca="1"/>
        <v>0</v>
      </c>
      <c r="I15" s="83" t="e">
        <f ca="1"/>
        <v>#NAME?</v>
      </c>
      <c r="J15" s="83" t="e" vm="1">
        <f ca="1"/>
        <v>#VALUE!</v>
      </c>
      <c r="K15" s="83" t="str">
        <f ca="1"/>
        <v>No Match</v>
      </c>
      <c r="M15" s="135"/>
    </row>
    <row r="16" spans="1:13">
      <c r="A16" s="83" t="str">
        <f ca="1"/>
        <v>&lt;Unit Dose strength (s)&gt;</v>
      </c>
      <c r="B16" s="83">
        <f ca="1"/>
        <v>0</v>
      </c>
      <c r="C16" s="83" t="str">
        <f ca="1"/>
        <v>KeyValue</v>
      </c>
      <c r="D16" s="83" t="str">
        <f ca="1"/>
        <v>150 mg/mL</v>
      </c>
      <c r="E16" s="83" t="str">
        <f ca="1"/>
        <v>Mock_CSR_Protocol.docx</v>
      </c>
      <c r="F16" s="83">
        <f ca="1"/>
        <v>0</v>
      </c>
      <c r="G16" s="83">
        <f ca="1"/>
        <v>0</v>
      </c>
      <c r="H16" s="83">
        <f ca="1"/>
        <v>0</v>
      </c>
      <c r="I16" s="83" t="e">
        <f ca="1"/>
        <v>#NAME?</v>
      </c>
      <c r="J16" s="83" t="e" vm="1">
        <f ca="1"/>
        <v>#VALUE!</v>
      </c>
      <c r="K16" s="83" t="str">
        <f ca="1"/>
        <v>No Match</v>
      </c>
      <c r="M16" s="106"/>
    </row>
    <row r="17" spans="1:13" ht="15">
      <c r="A17" s="83" t="str">
        <f ca="1"/>
        <v>&lt;Route of Administration &gt;</v>
      </c>
      <c r="B17" s="83">
        <f ca="1"/>
        <v>0</v>
      </c>
      <c r="C17" s="83" t="str">
        <f ca="1"/>
        <v>KeyValue</v>
      </c>
      <c r="D17" s="83" t="str">
        <f ca="1"/>
        <v>Subcutaneous</v>
      </c>
      <c r="E17" s="83" t="str">
        <f ca="1"/>
        <v>Mock_CSR_Protocol.docx</v>
      </c>
      <c r="F17" s="83">
        <f ca="1"/>
        <v>0</v>
      </c>
      <c r="G17" s="83" t="str">
        <f ca="1"/>
        <v>subcutaneous</v>
      </c>
      <c r="H17" s="83">
        <f ca="1"/>
        <v>0</v>
      </c>
      <c r="I17" s="83" t="e">
        <f ca="1"/>
        <v>#NAME?</v>
      </c>
      <c r="J17" s="83" t="e" vm="1">
        <f ca="1"/>
        <v>#VALUE!</v>
      </c>
      <c r="K17" s="83" t="str">
        <f ca="1"/>
        <v>No Match</v>
      </c>
      <c r="M17" s="136" t="s">
        <v>225</v>
      </c>
    </row>
    <row r="18" spans="1:13">
      <c r="A18" s="83" t="str">
        <f ca="1"/>
        <v>&lt;Number of injections and volume &gt;</v>
      </c>
      <c r="B18" s="83">
        <f ca="1"/>
        <v>0</v>
      </c>
      <c r="C18" s="83" t="str">
        <f ca="1"/>
        <v>KeyValue</v>
      </c>
      <c r="D18" s="83" t="str">
        <f ca="1"/>
        <v>Proposed dose level: 150 mg every other week for 3 doses (to be confirmed based on SAD data)</v>
      </c>
      <c r="E18" s="83" t="str">
        <f ca="1"/>
        <v>Mock_CSR_Protocol.docx</v>
      </c>
      <c r="F18" s="83">
        <f ca="1"/>
        <v>0</v>
      </c>
      <c r="G18" s="83">
        <f ca="1"/>
        <v>0</v>
      </c>
      <c r="H18" s="83">
        <f ca="1"/>
        <v>0</v>
      </c>
      <c r="I18" s="83" t="e">
        <f ca="1"/>
        <v>#NAME?</v>
      </c>
      <c r="J18" s="83" t="e" vm="1">
        <f ca="1"/>
        <v>#VALUE!</v>
      </c>
      <c r="K18" s="83" t="str">
        <f ca="1"/>
        <v>No Match</v>
      </c>
      <c r="M18" s="106"/>
    </row>
    <row r="19" spans="1:13">
      <c r="A19" s="83" t="str">
        <f ca="1"/>
        <v>&lt;Packaging and Labelling&gt;</v>
      </c>
      <c r="B19" s="83">
        <f ca="1"/>
        <v>0</v>
      </c>
      <c r="C19" s="83" t="str">
        <f ca="1"/>
        <v>KeyValue</v>
      </c>
      <c r="D19" s="83" t="str">
        <f ca="1"/>
        <v>ABC-123 will be provided in glass vials. Each vial will be labeled as required per FDA requirements.</v>
      </c>
      <c r="E19" s="83" t="str">
        <f ca="1"/>
        <v>Mock_CSR_Protocol.docx</v>
      </c>
      <c r="F19" s="83">
        <f ca="1"/>
        <v>0</v>
      </c>
      <c r="G19" s="83">
        <f ca="1"/>
        <v>0</v>
      </c>
      <c r="H19" s="83">
        <f ca="1"/>
        <v>0</v>
      </c>
      <c r="I19" s="83" t="e">
        <f ca="1"/>
        <v>#NAME?</v>
      </c>
      <c r="J19" s="83" t="e" vm="1">
        <f ca="1"/>
        <v>#VALUE!</v>
      </c>
      <c r="K19" s="83" t="str">
        <f ca="1"/>
        <v>No Match</v>
      </c>
      <c r="M19" s="135"/>
    </row>
    <row r="20" spans="1:13">
      <c r="A20" s="83" t="str">
        <f ca="1"/>
        <v>&lt;Lot Number&gt;</v>
      </c>
      <c r="B20" s="83">
        <f ca="1"/>
        <v>0</v>
      </c>
      <c r="C20" s="83" t="str">
        <f ca="1"/>
        <v>KeyValue</v>
      </c>
      <c r="D20" s="83">
        <f ca="1"/>
        <v>0</v>
      </c>
      <c r="E20" s="83">
        <f ca="1"/>
        <v>0</v>
      </c>
      <c r="F20" s="83" t="str">
        <f ca="1"/>
        <v>Provide the lot number in a concise format if present; otherwise, return no replacement.</v>
      </c>
      <c r="G20" s="83">
        <f ca="1"/>
        <v>0</v>
      </c>
      <c r="H20" s="83">
        <f ca="1"/>
        <v>0</v>
      </c>
      <c r="I20" s="83" t="e">
        <f ca="1"/>
        <v>#NAME?</v>
      </c>
      <c r="J20" s="83" t="e" vm="1">
        <f ca="1"/>
        <v>#VALUE!</v>
      </c>
      <c r="K20" s="83" t="str">
        <f ca="1"/>
        <v>No Match</v>
      </c>
      <c r="M20" s="106"/>
    </row>
    <row r="21" spans="1:13">
      <c r="A21" s="83" t="str">
        <f ca="1"/>
        <v>&lt;Manufacturer&gt;</v>
      </c>
      <c r="B21" s="83">
        <f ca="1"/>
        <v>0</v>
      </c>
      <c r="C21" s="83" t="str">
        <f ca="1"/>
        <v>KeyValue</v>
      </c>
      <c r="D21" s="83">
        <f ca="1"/>
        <v>0</v>
      </c>
      <c r="E21" s="83">
        <f ca="1"/>
        <v>0</v>
      </c>
      <c r="F21" s="83" t="str">
        <f ca="1"/>
        <v>Provide the manufacturer's name in a concise format.</v>
      </c>
      <c r="G21" s="83">
        <f ca="1"/>
        <v>0</v>
      </c>
      <c r="H21" s="83">
        <f ca="1"/>
        <v>0</v>
      </c>
      <c r="I21" s="83" t="e">
        <f ca="1"/>
        <v>#NAME?</v>
      </c>
      <c r="J21" s="83" t="e" vm="1">
        <f ca="1"/>
        <v>#VALUE!</v>
      </c>
      <c r="K21" s="83" t="str">
        <f ca="1"/>
        <v>No Match</v>
      </c>
      <c r="M21" s="13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5535F0C-BD83-4E17-9A89-E4EACDB29E0B}">
          <x14:formula1>
            <xm:f>Summary!$D$12:$L$12</xm:f>
          </x14:formula1>
          <xm:sqref>E2 H2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48E1-3796-48A9-BF0D-ADDB503E4053}">
  <dimension ref="A2:K4"/>
  <sheetViews>
    <sheetView workbookViewId="0">
      <selection activeCell="G4" sqref="G4"/>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140625" style="83" customWidth="1"/>
    <col min="7" max="7" width="20.85546875" style="83" customWidth="1"/>
    <col min="8" max="8" width="31.5" style="83" bestFit="1" customWidth="1"/>
    <col min="9" max="9" width="21.140625" style="83" customWidth="1"/>
    <col min="10" max="10" width="9" style="83"/>
    <col min="11" max="11" width="14" style="83" bestFit="1" customWidth="1"/>
    <col min="12" max="16384" width="9" style="83"/>
  </cols>
  <sheetData>
    <row r="2" spans="1:11" ht="14.6">
      <c r="A2" s="84" t="s">
        <v>72</v>
      </c>
      <c r="B2" s="84"/>
      <c r="C2" s="84" t="s">
        <v>73</v>
      </c>
      <c r="D2" s="84" t="s">
        <v>74</v>
      </c>
      <c r="E2" s="85" t="s">
        <v>75</v>
      </c>
      <c r="F2" s="84" t="s">
        <v>76</v>
      </c>
      <c r="G2" s="84" t="s">
        <v>77</v>
      </c>
      <c r="H2" s="85" t="s">
        <v>78</v>
      </c>
      <c r="I2" s="85" t="s">
        <v>79</v>
      </c>
      <c r="J2" s="85" t="s">
        <v>80</v>
      </c>
      <c r="K2" s="85" t="s">
        <v>81</v>
      </c>
    </row>
    <row r="3" spans="1:11">
      <c r="A3" s="83" t="str" cm="1">
        <f t="array" aca="1" ref="A3:K4" ca="1">_xlfn._xlws.FILTER(QA!A3:K500, QA!C3:C500="List")</f>
        <v>&lt;Number list of inclusion criteria&gt;</v>
      </c>
      <c r="B3" s="83">
        <f ca="1"/>
        <v>0</v>
      </c>
      <c r="C3" s="83" t="str">
        <f ca="1"/>
        <v>List</v>
      </c>
      <c r="D3" s="83" t="str">
        <f ca="1"/>
        <v>1. Understands study procedures and voluntarily provides written informed consent.
2. Willing and able to abide by the study restrictions, including the lifestyle considerations in Section 5.3.
3. Willing and able to complete all study visits, in-residence requirements, and procedures.
4. 18 to 65 years of age at the time of signing informed consent.
5. Body mass index (BMI) between 18.0 and 35.0 kg/m2, inclusive, at Screening.
6. Female participants will be of non-childbearing potential (refer to Section 10.5 [Appendix 5] for definition of non-childbearing potential).
7. Male participants will agree to use contraception while on study intervention and for at least 6 months after the last dose of study intervention.
8.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9.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v>
      </c>
      <c r="E3" s="83">
        <f ca="1"/>
        <v>0</v>
      </c>
      <c r="F3" s="83" t="str">
        <f ca="1"/>
        <v>Write a numbered list of inclusion criteria for study participant eligibility, using protocol language.</v>
      </c>
      <c r="G3" s="83" t="str">
        <f ca="1"/>
        <v xml:space="preserve">Understands study procedures and voluntarily provides written informed consent. 
Willing and able to abide by the study restrictions, including the lifestyle considerations in the protocol.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protocol for definition).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conditions as specified in the protocol. </v>
      </c>
      <c r="H3" s="83">
        <f ca="1"/>
        <v>0</v>
      </c>
      <c r="I3" s="83" t="e">
        <f ca="1"/>
        <v>#NAME?</v>
      </c>
      <c r="J3" s="83" t="e" vm="1">
        <f ca="1"/>
        <v>#VALUE!</v>
      </c>
      <c r="K3" s="83" t="str">
        <f ca="1"/>
        <v>No Match</v>
      </c>
    </row>
    <row r="4" spans="1:11">
      <c r="A4" s="83" t="str">
        <f ca="1"/>
        <v>&lt;Informed Consent&gt;</v>
      </c>
      <c r="B4" s="83">
        <f ca="1"/>
        <v>0</v>
      </c>
      <c r="C4" s="83" t="str">
        <f ca="1"/>
        <v>List</v>
      </c>
      <c r="D4" s="83" t="str">
        <f ca="1"/>
        <v>● The Investigator or his/her representative will explain the nature of the study to the participant or his/her legally authorized representative and answer all questions regarding the study.
●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 The medical record must include a statement that written informed consent was obtained before the participant was enrolled in the study and the date the written consent was obtained. The authorized person obtaining the informed consent must also sign the ICF.
● Participants must be re-consented to the most current version of the ICF(s) during their participation in the study.
● A copy of the ICF(s) must be provided to the participant or the participant’s legally authorized representative.</v>
      </c>
      <c r="E4" s="83" t="str">
        <f ca="1"/>
        <v>Mock_CSR_Protocol.docx</v>
      </c>
      <c r="F4" s="83" t="str">
        <f ca="1"/>
        <v>Summarize the informed consent process, including participant rights, documentation requirements, and regulatory standards.</v>
      </c>
      <c r="G4" s="83" t="str">
        <f ca="1"/>
        <v>Participants or their legally authorized representatives must provide written informed consent before any study procedures are conducted. The consent process must comply with 21 CFR 50, local regulations, ICH guidelines, HIPAA requirements where applicable, and the requirements of the IRB/IEC or study center. The medical record must document that informed consent was obtained, including the date and the signature of the authorized person obtaining consent. Participants must be re-consented to the most current version of the informed consent form during the study, and a copy of the signed form must be provided to the participant or their representative. Additionally, participants must be informed that their participation is voluntary and that their personal study-related data will be used in accordance with local data protection law, with consent required for such use.</v>
      </c>
      <c r="H4" s="83">
        <f ca="1"/>
        <v>0</v>
      </c>
      <c r="I4" s="83" t="e">
        <f ca="1"/>
        <v>#NAME?</v>
      </c>
      <c r="J4" s="83" t="e" vm="1">
        <f ca="1"/>
        <v>#VALUE!</v>
      </c>
      <c r="K4" s="83" t="str">
        <f ca="1"/>
        <v>No Match</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C402C0-DB71-4117-9220-B2231059526C}">
          <x14:formula1>
            <xm:f>Summary!$D$12:$L$12</xm:f>
          </x14:formula1>
          <xm:sqref>E2 H2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B61E-7C6D-4C20-B429-020CDD99D7DD}">
  <dimension ref="A2:K18"/>
  <sheetViews>
    <sheetView topLeftCell="D1" workbookViewId="0">
      <selection activeCell="A3" sqref="A3:A18"/>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140625" style="83" customWidth="1"/>
    <col min="7" max="7" width="20.85546875" style="83" customWidth="1"/>
    <col min="8" max="8" width="31.5" style="83" bestFit="1" customWidth="1"/>
    <col min="9" max="9" width="21.140625" style="83" customWidth="1"/>
    <col min="10" max="10" width="9" style="83"/>
    <col min="11" max="11" width="14" style="83" bestFit="1" customWidth="1"/>
    <col min="12" max="16384" width="9" style="83"/>
  </cols>
  <sheetData>
    <row r="2" spans="1:11" ht="14.6">
      <c r="A2" s="84" t="s">
        <v>72</v>
      </c>
      <c r="B2" s="84"/>
      <c r="C2" s="84" t="s">
        <v>73</v>
      </c>
      <c r="D2" s="84" t="s">
        <v>74</v>
      </c>
      <c r="E2" s="85" t="s">
        <v>75</v>
      </c>
      <c r="F2" s="84" t="s">
        <v>76</v>
      </c>
      <c r="G2" s="84" t="s">
        <v>77</v>
      </c>
      <c r="H2" s="85" t="s">
        <v>78</v>
      </c>
      <c r="I2" s="85" t="s">
        <v>79</v>
      </c>
      <c r="J2" s="85" t="s">
        <v>80</v>
      </c>
      <c r="K2" s="85" t="s">
        <v>81</v>
      </c>
    </row>
    <row r="3" spans="1:11">
      <c r="A3" s="83" t="str" cm="1">
        <f t="array" aca="1" ref="A3:K18" ca="1">_xlfn._xlws.FILTER(QA!A3:'QA'!K500, QA!C3:'QA'!C500="Table")</f>
        <v>&lt;Table Objectives and Endpoints&gt;</v>
      </c>
      <c r="B3" s="83">
        <f ca="1"/>
        <v>0</v>
      </c>
      <c r="C3" s="83" t="str">
        <f ca="1"/>
        <v>Table</v>
      </c>
      <c r="D3" s="83" t="str">
        <f ca="1"/>
        <v>● To assess the safety and tolerability after 4 weeks of exposure following single ascending doses of ABC-123 ● Number of participants with serious and other nonserious AEs
Secondary
● To assess the safety and tolerability following repeated doses over 4 weeks of ABC-123 ● Number of participants with serious and other nonserious AEs
● To characterize PK of ABC-123 following single ascending doses ● Cmax and AUClast
● To characterize the PK of ABC-123 following repeated doses ● Cmax and AUClast
Exploratory
● To explore additional PK characteristics of ABC-123 following single ascending doses ● Tmax, Clast, Tlast, AUCinf, CL, V, and t1/2
● To explore additional PK characteristics of ABC-123 following repeated doses ● Tmax, Clast, Tlast, AUCinf, CL, V, and t1/2
● To explore effects of ABC-123 on clinical laboratory assessments, 12-lead ECG, and vital signs following single ascending doses ● Incidence of clinically significant changes in laboratory parameters, 12-lead ECG parameters, and vital signs measurements
● To explore effects of ABC-123 on clinical laboratory assessments, 12-lead ECG, and vital signs following repeated doses ● Incidence of clinically significant changes in laboratory parameters, 12-lead ECG parameters, and vital signs measurements
● To explore the impact of ADA on the PK profile of ABC-123 following single ascending doses ● Impact of ADA on AUC or impact on overall exposure of ABC-123
● To explore the impact of ADA on the PK profile of ABC-123 following repeated doses ● Impact of ADA on AUC or impact on overall exposure of ABC-123
● To explore the effects on eating behavior in participants following single ascending doses of ABC-123 ● Hunger, satiety, and appetite VAS scores
Abbreviations: ADA = antidrug antibodies; AE = adverse event.</v>
      </c>
      <c r="E3" s="83" t="str">
        <f ca="1"/>
        <v>Mock_CSR_Protocol.docx</v>
      </c>
      <c r="F3" s="83" t="str">
        <f ca="1"/>
        <v>Insert the table(s) listing study objectives and endpoints by matching semantic caption text.</v>
      </c>
      <c r="G3" s="83" t="str">
        <f ca="1"/>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c>
      <c r="H3" s="83">
        <f ca="1"/>
        <v>0</v>
      </c>
      <c r="I3" s="83" t="e">
        <f ca="1"/>
        <v>#NAME?</v>
      </c>
      <c r="J3" s="83" t="e" vm="1">
        <f ca="1"/>
        <v>#VALUE!</v>
      </c>
      <c r="K3" s="83" t="str">
        <f ca="1"/>
        <v>No Match</v>
      </c>
    </row>
    <row r="4" spans="1:11">
      <c r="A4" s="83" t="str">
        <f ca="1"/>
        <v>&lt;Table: Insert SOA Table (s): Schedule of Activities&gt;</v>
      </c>
      <c r="B4" s="83">
        <f ca="1"/>
        <v>0</v>
      </c>
      <c r="C4" s="83" t="str">
        <f ca="1"/>
        <v>Table</v>
      </c>
      <c r="D4" s="83">
        <f ca="1"/>
        <v>0</v>
      </c>
      <c r="E4" s="83">
        <f ca="1"/>
        <v>0</v>
      </c>
      <c r="F4" s="83" t="str">
        <f ca="1"/>
        <v>Insert the Schedule of Activities tables (both Single Ascending Dose and Repeat-Dose) by referencing their existing captions.</v>
      </c>
      <c r="G4" s="83" t="str">
        <f ca="1"/>
        <v xml:space="preserve">
Study Procedures (Day) 
In-Residence Period 
Follow-up Period Cohorts 4+ 
Follow-up Period Cohorts 1-3 
Screening 
Day 1 
Day 2 
Day 3 
Day 4 
Day 5 
Day 6 
Day 7 
Day 8 
Day 9 
Day 10 
Day 11 
Day 15 
Day 22 
Day 29 
Day 43 
Day 57 
Follow-up / ED 71 
Safety and tolerability: 
Immunogenicity assessment (ADA) 
X 
X 
X 
X 
X 
X 
X 
X 
X 
X 
X 
X 
X 
Clinical laboratory evaluations(chemistry, hematology, and urinalysis) 
X 
X 
X 
X 
X 
X 
X 
X 
X 
X 
X 
X 
X 
X 
X 
Adverse event inquiry 
X 
X 
X 
X 
X 
X 
X 
X 
X 
X 
X 
X 
X 
X 
X 
X 
X 
X 
Prior/concomitant medication monitoring 
X 
X 
X 
X 
X 
X 
X 
X 
X 
X 
X 
X 
X 
X 
X 
X 
X 
X 
Blood pressure, pulse rate, pulseoximetry/oxygen saturation, respiratory rate 
X 
X 
X 
X 
X 
X 
X 
X 
X 
X 
X 
X 
X 
X 
Body temperature 
X 
X 
X 
X 
X 
X 
X 
X 
X 
X 
X 
X 
X 
X 
Single safety 12-lead ECG 
X 
X 
Triplicate 12-lead ECG 
X 
X 
X 
X 
X 
X 
X 
X 
X 
Physical examination 
X 
X 
X 
X 
X 
X 
X 
X 
X 
X 
X 
X 
X 
</v>
      </c>
      <c r="H4" s="83">
        <f ca="1"/>
        <v>0</v>
      </c>
      <c r="I4" s="83" t="e">
        <f ca="1"/>
        <v>#NAME?</v>
      </c>
      <c r="J4" s="83" t="e" vm="1">
        <f ca="1"/>
        <v>#VALUE!</v>
      </c>
      <c r="K4" s="83" t="str">
        <f ca="1"/>
        <v>No Match</v>
      </c>
    </row>
    <row r="5" spans="1:11">
      <c r="A5" s="83" t="str">
        <f ca="1"/>
        <v>&lt;Demographics&gt;</v>
      </c>
      <c r="B5" s="83">
        <f ca="1"/>
        <v>0</v>
      </c>
      <c r="C5" s="83" t="str">
        <f ca="1"/>
        <v>Table</v>
      </c>
      <c r="D5" s="83" t="str">
        <f ca="1"/>
        <v>Parameter Statistics Treatment Placebo Total
N=24 N=12 N=36
Age (years) n 24 12 36
Mean ±SD 48.33(20.60) 53.58(10.77) 57.00(11.36)
Min, max 26, 67 30, 62 26, 27
Sex
  Male n (%) 13 (54.2) 7 (58.3) 20 (55.6)
  Female n (%) 11 (45.8) 5 (41.7) 16 (44.4)
Race
  American Indian or Alaska Native n (%) 0 0 0
  Asian n (%) 2 (8.3) 1 (8.3) 3 (8.3)
  Black or African American n (%) 0 0 0
  Native Hawaiian or Other Pacific Islander n (%) 0 0 0
  White n (%) 20 (83.4) 11 (91.7) 31(86.1)
  Other n (%) 2 (8.3) 0 2 (5.6)
  Not Reported n (%) 0 0 0
Ethnicity
  Hispanic or Latino n (%) 2 (8.3) 1 (8.3) 3 (8.3)
  Not Hispanic or Latino n (%) 20 (83.4) 11 (91.7) 31 (86.1)
  Not Reported n (%) 2 (8.3) 0 0
  Unknown n (%) 0 0 0</v>
      </c>
      <c r="E5" s="83" t="str">
        <f ca="1"/>
        <v>Mock_CSR _Tables_30Oct25.rtf</v>
      </c>
      <c r="F5" s="83" t="str">
        <f ca="1"/>
        <v>Write a brief paragraph referencing the location of the demographics data as summarized in the provided table.</v>
      </c>
      <c r="G5" s="83" t="str">
        <f ca="1"/>
        <v xml:space="preserve">Demographics data are presented in Table 14.2.2 (Full Analysis Set). </v>
      </c>
      <c r="H5" s="83">
        <f ca="1"/>
        <v>0</v>
      </c>
      <c r="I5" s="83" t="e">
        <f ca="1"/>
        <v>#NAME?</v>
      </c>
      <c r="J5" s="83" t="e" vm="1">
        <f ca="1"/>
        <v>#VALUE!</v>
      </c>
      <c r="K5" s="83" t="str">
        <f ca="1"/>
        <v>No Match</v>
      </c>
    </row>
    <row r="6" spans="1:11">
      <c r="A6" s="83" t="str">
        <f ca="1"/>
        <v>&lt;Table Summary of Participant Disposition&gt;</v>
      </c>
      <c r="B6" s="83">
        <f ca="1"/>
        <v>0</v>
      </c>
      <c r="C6" s="83" t="str">
        <f ca="1"/>
        <v>Table</v>
      </c>
      <c r="D6" s="83">
        <f ca="1"/>
        <v>0</v>
      </c>
      <c r="E6" s="83" t="str">
        <f ca="1"/>
        <v>Mock_CSR Key messages_with_heading.docx</v>
      </c>
      <c r="F6" s="83" t="str">
        <f ca="1"/>
        <v>Insert the table summarizing participant disposition as referenced in the placeholder.</v>
      </c>
      <c r="G6" s="83" t="str">
        <f ca="1"/>
        <v xml:space="preserve">Summary of Participant Disposition (Full Analysis Seta) </v>
      </c>
      <c r="H6" s="83">
        <f ca="1"/>
        <v>0</v>
      </c>
      <c r="I6" s="83" t="e">
        <f ca="1"/>
        <v>#NAME?</v>
      </c>
      <c r="J6" s="83" t="e" vm="1">
        <f ca="1"/>
        <v>#VALUE!</v>
      </c>
      <c r="K6" s="83" t="str">
        <f ca="1"/>
        <v>No Match</v>
      </c>
    </row>
    <row r="7" spans="1:11">
      <c r="A7" s="83" t="str">
        <f ca="1"/>
        <v>&lt;Table of Analysis Sets &gt;</v>
      </c>
      <c r="B7" s="83">
        <f ca="1"/>
        <v>0</v>
      </c>
      <c r="C7" s="83" t="str">
        <f ca="1"/>
        <v>Table</v>
      </c>
      <c r="D7" s="83" t="str">
        <f ca="1"/>
        <v>Analysis Sets Statistics Treatment Placebo Total
N=24 N=12 N=36
Full Analysis Set n (%) 24 (100) 12 (100) 36 (100)
Safety Analysis Set n (%) 21 (87.5) 10 (83.3) 31 (86.1)
Pharmacokinetics Analysis Set n (%) 24 (100) 12 (100) 36 (100)</v>
      </c>
      <c r="E7" s="83" t="str">
        <f ca="1"/>
        <v>Mock_CSR _Tables_30Oct25.rtf</v>
      </c>
      <c r="F7" s="83" t="str">
        <f ca="1"/>
        <v>Replace with the table summarizing analysis sets, using the matching caption if available.</v>
      </c>
      <c r="G7" s="83" t="str">
        <f ca="1"/>
        <v>Summary of Analysis Sets </v>
      </c>
      <c r="H7" s="83">
        <f ca="1"/>
        <v>0</v>
      </c>
      <c r="I7" s="83" t="e">
        <f ca="1"/>
        <v>#NAME?</v>
      </c>
      <c r="J7" s="83" t="e" vm="1">
        <f ca="1"/>
        <v>#VALUE!</v>
      </c>
      <c r="K7" s="83" t="str">
        <f ca="1"/>
        <v>No Match</v>
      </c>
    </row>
    <row r="8" spans="1:11">
      <c r="A8" s="83" t="str">
        <f ca="1"/>
        <v>&lt;Table Demographics&gt;</v>
      </c>
      <c r="B8" s="83">
        <f ca="1"/>
        <v>0</v>
      </c>
      <c r="C8" s="83" t="str">
        <f ca="1"/>
        <v>Table</v>
      </c>
      <c r="D8" s="83" t="str">
        <f ca="1"/>
        <v>Parameter Statistics Treatment Placebo Total
N=24 N=12 N=36
Age (years) n 24 12 36
Mean ±SD 48.33(20.60) 53.58(10.77) 57.00(11.36)
Min, max 26, 67 30, 62 26, 27
Sex
  Male n (%) 13 (54.2) 7 (58.3) 20 (55.6)
  Female n (%) 11 (45.8) 5 (41.7) 16 (44.4)
Race
  American Indian or Alaska Native n (%) 0 0 0
  Asian n (%) 2 (8.3) 1 (8.3) 3 (8.3)
  Black or African American n (%) 0 0 0
  Native Hawaiian or Other Pacific Islander n (%) 0 0 0
  White n (%) 20 (83.4) 11 (91.7) 31(86.1)
  Other n (%) 2 (8.3) 0 2 (5.6)
  Not Reported n (%) 0 0 0
Ethnicity
  Hispanic or Latino n (%) 2 (8.3) 1 (8.3) 3 (8.3)
  Not Hispanic or Latino n (%) 20 (83.4) 11 (91.7) 31 (86.1)
  Not Reported n (%) 2 (8.3) 0 0
  Unknown n (%) 0 0 0</v>
      </c>
      <c r="E8" s="83" t="str">
        <f ca="1"/>
        <v>Mock_CSR _Tables_30Oct25.rtf</v>
      </c>
      <c r="F8" s="83" t="str">
        <f ca="1"/>
        <v>Insert the Demographics table as referenced, ensuring semantic caption alignment and no narrative text.</v>
      </c>
      <c r="G8" s="83" t="str">
        <f ca="1"/>
        <v xml:space="preserve">Demographics (Full Analysis Set) </v>
      </c>
      <c r="H8" s="83">
        <f ca="1"/>
        <v>0</v>
      </c>
      <c r="I8" s="83" t="e">
        <f ca="1"/>
        <v>#NAME?</v>
      </c>
      <c r="J8" s="83" t="e" vm="1">
        <f ca="1"/>
        <v>#VALUE!</v>
      </c>
      <c r="K8" s="83" t="str">
        <f ca="1"/>
        <v>No Match</v>
      </c>
    </row>
    <row r="9" spans="1:11">
      <c r="A9" s="83" t="str">
        <f ca="1"/>
        <v>&lt;Table Pharmacokinetic Parameters Following Single Ascending Doses&gt;</v>
      </c>
      <c r="B9" s="83">
        <f ca="1"/>
        <v>0</v>
      </c>
      <c r="C9" s="83" t="str">
        <f ca="1"/>
        <v>Table</v>
      </c>
      <c r="D9" s="83" t="str">
        <f ca="1"/>
        <v>Dose (mg) N Cmax (ng/mL) Tmax (hr) AUC0–t (ng·hr/mL) AUC0–∞ (ng·hr/mL) t½ (hr) CL/F (L/hr) Vd/F (L)
5 24 150 1.5 900 1050 5.2 12.5 35
15 24 300 2.0 1800 2100 6.1 13.0 45
50 24 500 2.5 2500 3000 6.5 12.8 60
150 24 900 3.0 4500 5200 7.0 13.2 70</v>
      </c>
      <c r="E9" s="83">
        <f ca="1"/>
        <v>0</v>
      </c>
      <c r="F9" s="83" t="str">
        <f ca="1"/>
        <v>Insert the table summarizing pharmacokinetic parameters of ABC-123 following single ascending doses.</v>
      </c>
      <c r="G9" s="83" t="str">
        <f ca="1"/>
        <v xml:space="preserve">Pharmacokinetic Parameters Following Single Ascending Doses of ABC-123 </v>
      </c>
      <c r="H9" s="83">
        <f ca="1"/>
        <v>0</v>
      </c>
      <c r="I9" s="83" t="e">
        <f ca="1"/>
        <v>#NAME?</v>
      </c>
      <c r="J9" s="83" t="e" vm="1">
        <f ca="1"/>
        <v>#VALUE!</v>
      </c>
      <c r="K9" s="83" t="str">
        <f ca="1"/>
        <v>No Match</v>
      </c>
    </row>
    <row r="10" spans="1:11">
      <c r="A10" s="83" t="str">
        <f ca="1"/>
        <v>&lt;Table Pharmacokinetic Parameters of ABC-123 Following Repeated-Dose  Administration &gt;</v>
      </c>
      <c r="B10" s="83">
        <f ca="1"/>
        <v>0</v>
      </c>
      <c r="C10" s="83" t="str">
        <f ca="1"/>
        <v>Table</v>
      </c>
      <c r="D10" s="83" t="str">
        <f ca="1"/>
        <v>Dose
(mg, Q2W x 3 doses) N Cmax,ss (ng/mL) Cmin,ss (ng/mL) Tmax,ss (hr) AUCτ (ng·hr/mL) t½
(hr) Rac CL/F (L/hr)
150 30 850 250 4.0 8500 16.5 1.9 8.1</v>
      </c>
      <c r="E10" s="83" t="str">
        <f ca="1"/>
        <v>Mock_CSR _Tables_30Oct25.rtf</v>
      </c>
      <c r="F10" s="83" t="str">
        <f ca="1"/>
        <v>Insert the table showing pharmacokinetic parameters of ABC-123 following repeated-dose administration.</v>
      </c>
      <c r="G10" s="83" t="str">
        <f ca="1"/>
        <v>PD Biomarker Changes Following Repeated Dose of ABC-123 and Placebo in Boneitis Participants</v>
      </c>
      <c r="H10" s="83">
        <f ca="1"/>
        <v>0</v>
      </c>
      <c r="I10" s="83" t="e">
        <f ca="1"/>
        <v>#NAME?</v>
      </c>
      <c r="J10" s="83" t="e" vm="1">
        <f ca="1"/>
        <v>#VALUE!</v>
      </c>
      <c r="K10" s="83" t="str">
        <f ca="1"/>
        <v>No Match</v>
      </c>
    </row>
    <row r="11" spans="1:11">
      <c r="A11" s="83" t="str">
        <f ca="1"/>
        <v>&lt;Table PD Biomarker Changes Following Single Ascending Dose (SAD)&gt;</v>
      </c>
      <c r="B11" s="83">
        <f ca="1"/>
        <v>0</v>
      </c>
      <c r="C11" s="83" t="str">
        <f ca="1"/>
        <v>Table</v>
      </c>
      <c r="D11" s="83" t="str">
        <f ca="1"/>
        <v>Biomarker Placebo SAD
Baseline (Mean ± SD) Post-Treatment (Mean ± SD) Change (Mean ± SD) Baseline (Mean ± SD) Post-Treatment (Mean ± SD) Change (Mean ± SD)
Fasting glucose (mg/dL) 101.5 ± 9.8 100.8 ± 9.5 –0.7 ± 1.2 102.0 ± 10.2 96.8 ± 9.1 –5.2 ± 3.8
Insulin (µU/mL) 16.0 ± 3.0 15.8 ± 3.2 –0.2 ± 0.9 16.2 ± 3.1 14.1 ± 2.9 –2.1 ± 1.5
C-peptide (ng/mL) 2.5 ± 0.5 2.4 ± 0.4 –0.1 ± 0.1 2.5 ± 0.4 2.2 ± 0.3 –0.3 ± 0.2
Free fatty acids (mmol/L) 0.61 ± 0.08 0.60 ± 0.07 –0.01 ± 0.02 0.62 ± 0.09 0.54 ± 0.07 –0.08 ± 0.05
Adiponectin (µg/mL) 6.1 ± 1.1 6.2 ± 1.0 +0.1 ± 0.3 6.0 ± 1.0 7.1 ± 1.2 +1.1 ± 0.8
Leptin (ng/mL) 13.6 ± 2.9 13.4 ± 2.6 –0.2 ± 0.7 13.5 ± 2.8 12.0 ± 2.4 –1.5 ± 1.1</v>
      </c>
      <c r="E11" s="83" t="str">
        <f ca="1"/>
        <v>Mock_CSR _Tables_30Oct25.rtf</v>
      </c>
      <c r="F11" s="83" t="str">
        <f ca="1"/>
        <v>Insert the table summarizing PD biomarker changes following single ascending dose (SAD) of ABC-123.</v>
      </c>
      <c r="G11" s="83" t="str">
        <f ca="1"/>
        <v xml:space="preserve">Summary of Study Drug Exposure (Safety Analysis Set) </v>
      </c>
      <c r="H11" s="83">
        <f ca="1"/>
        <v>0</v>
      </c>
      <c r="I11" s="83" t="e">
        <f ca="1"/>
        <v>#NAME?</v>
      </c>
      <c r="J11" s="83" t="e" vm="1">
        <f ca="1"/>
        <v>#VALUE!</v>
      </c>
      <c r="K11" s="83" t="str">
        <f ca="1"/>
        <v>No Match</v>
      </c>
    </row>
    <row r="12" spans="1:11">
      <c r="A12" s="83" t="str">
        <f ca="1"/>
        <v>&lt;Table PD Biomarker Changes Following Repeated Dose of ABC-123&gt;</v>
      </c>
      <c r="B12" s="83">
        <f ca="1"/>
        <v>0</v>
      </c>
      <c r="C12" s="83" t="str">
        <f ca="1"/>
        <v>Table</v>
      </c>
      <c r="D12" s="83" t="str">
        <f ca="1"/>
        <v>Biomarker Placebo Repeated Dose
Baseline (Mean ± SD)
Post-Treatment (Mean ± SD) Change
(Mean ± SD) Baseline (Mean ± SD) Post-Treatment (Mean ± SD) Change
(Mean ± SD)
Fasting glucose (mg/dL) 111.0 ± 11.8 110.2 ± 12.0 –0.8 ± 1.5 110.5 ± 12.3 98.1 ± 10.5 –12.4 ± 6.3
Insulin (µU/mL) 18.0 ± 4.0 17.8 ± 3.8 –0.2 ± 1.1 18.2 ± 3.9 11.7 ± 3.2 –6.5 ± 3.0
C-peptide (ng/mL) 2.9 ± 0.5 2.8 ± 0.5 –0.1 ± 0.1 2.8 ± 0.6 2.0 ± 0.4 –0.8 ± 0.4
Free fatty acids (mmol/L) 0.65 ± 0.10 0.64 ± 0.09 –0.01 ± 0.03 0.66 ± 0.11 0.48 ± 0.09 –0.18 ± 0.09
Adiponectin (µg/mL) 6.2 ± 1.2 6.3 ± 1.1 +0.1 ± 0.4 6.1 ± 1.3 8.6 ± 1.5 +2.5 ± 1.2
Leptin (ng/mL) 14.6 ± 3.1 14.5 ± 3.0 –0.1 ± 0.6 14.8 ± 3.4 11.0 ± 2.9 –3.8 ± 1.7</v>
      </c>
      <c r="E12" s="83" t="str">
        <f ca="1"/>
        <v>Mock_CSR _Tables_30Oct25.rtf</v>
      </c>
      <c r="F12" s="83" t="str">
        <f ca="1"/>
        <v>Insert the table showing PD biomarker changes following repeated dose of ABC-123.</v>
      </c>
      <c r="G12" s="83" t="str">
        <f ca="1"/>
        <v xml:space="preserve">Summary of Study Drug Exposure (Safety Analysis Set) </v>
      </c>
      <c r="H12" s="83">
        <f ca="1"/>
        <v>0</v>
      </c>
      <c r="I12" s="83" t="e">
        <f ca="1"/>
        <v>#NAME?</v>
      </c>
      <c r="J12" s="83" t="e" vm="1">
        <f ca="1"/>
        <v>#VALUE!</v>
      </c>
      <c r="K12" s="83" t="str">
        <f ca="1"/>
        <v>No Match</v>
      </c>
    </row>
    <row r="13" spans="1:11">
      <c r="A13" s="83" t="str">
        <f ca="1"/>
        <v>&lt;Table Study Drug Exposure (Safety Analysis Set)&gt;</v>
      </c>
      <c r="B13" s="83">
        <f ca="1"/>
        <v>0</v>
      </c>
      <c r="C13" s="83" t="str">
        <f ca="1"/>
        <v>Table</v>
      </c>
      <c r="D13" s="83" t="str">
        <f ca="1"/>
        <v xml:space="preserve">Parameter	Statistics	Treatment	Placebo	Total
		N=21	N=10	N=31
Number of Subjects with at least one: 				
TEAE	n (%)	18 (85.7)	5 (50.0)	23 (74.2)
Treatment Related TEAE	n (%)	13 (61.9)	0	13 (41.9)
Grade 3 or Higher TEAE	n (%)	7 (22.6)	2	9 (29.0)
Serious TEAE	n (%)	7 (22.6)	2	9 (29.0)
Serious Treatment Related TEAE	n (%)	5 (23.8)	0	5 (16.1)
TEAE resulting in discontinuation of study drug	n (%)	2 (9.5)	0	2 (6.5)
TEAE resulting in dose modification of study drug	n (%)	1 (4.8)	0	1 (3.2)
TEAE resulting in dose reduction of study drug	n (%)	0	0	0
TEAE resulting in death	n (%)	3 (14.2)	0	3 (9.7)
Treatment related TEAE resulting in death	n (%)	3 (14.2)	0	3 (9.7)
</v>
      </c>
      <c r="E13" s="83" t="str">
        <f ca="1"/>
        <v>Mock_CSR _Tables_30Oct25.rtf</v>
      </c>
      <c r="F13" s="83" t="str">
        <f ca="1"/>
        <v>Insert the table corresponding to 'Study Drug Exposure (Safety Analysis Set)' by matching its caption.</v>
      </c>
      <c r="G13" s="83" t="str">
        <f ca="1"/>
        <v xml:space="preserve">
Biomarker
Placebo
SAD
 Baseline (Mean ± SD)
Post-Treatment (Mean ± SD)
Change (Mean ± SD)
Baseline (Mean ± SD)
Post-Treatment (Mean ± SD)
Change (Mean ± SD)
Fasting glucose (mg/dL) 
101.5 ± 9.8 
100.8 ± 9.5 
–0.7 ± 1.2 
102.0 ± 10.2 
96.8 ± 9.1 
–5.2 ± 3.8 
Insulin (µU/mL) 
16.0 ± 3.0 
15.8 ± 3.2 
–0.2 ± 0.9 
16.2 ± 3.1 
14.1 ± 2.9 
–2.1 ± 1.5 
C-peptide (ng/mL) 
2.5 ± 0.5 
2.4 ± 0.4 
–0.1 ± 0.1 
2.5 ± 0.4 
2.2 ± 0.3 
–0.3 ± 0.2 
Free fatty acids (mmol/L) 
0.61 ± 0.08 
0.60 ± 0.07 
–0.01 ± 0.02 
0.62 ± 0.09 
0.54 ± 0.07 
–0.08 ± 0.05 
Adiponectin (µg/mL) 
6.1 ± 1.1 
6.2 ± 1.0 
+0.1 ± 0.3 
6.0 ± 1.0 
7.1 ± 1.2 
+1.1 ± 0.8 
Leptin (ng/mL) 
13.6 ± 2.9 
13.4 ± 2.6 
–0.2 ± 0.7 
13.5 ± 2.8 
12.0 ± 2.4 
–1.5 ± 1.1 </v>
      </c>
      <c r="H13" s="83">
        <f ca="1"/>
        <v>0</v>
      </c>
      <c r="I13" s="83" t="e">
        <f ca="1"/>
        <v>#NAME?</v>
      </c>
      <c r="J13" s="83" t="e" vm="1">
        <f ca="1"/>
        <v>#VALUE!</v>
      </c>
      <c r="K13" s="83" t="str">
        <f ca="1"/>
        <v>No Match</v>
      </c>
    </row>
    <row r="14" spans="1:11">
      <c r="A14" s="83" t="str">
        <f ca="1"/>
        <v>&lt;Table summary of Adverse Events&gt;</v>
      </c>
      <c r="B14" s="83">
        <f ca="1"/>
        <v>0</v>
      </c>
      <c r="C14" s="83" t="str">
        <f ca="1"/>
        <v>Table</v>
      </c>
      <c r="D14" s="83" t="str">
        <f ca="1"/>
        <v>Parameter Statistics Treatment Placebo Total
N=21 N=10 N=31
Number of Subjects with at least one:
TEAE n (%) 18 (85.7) 5 (50.0) 23 (74.2)
Treatment Related TEAE n (%) 13 (61.9) 0 13 (41.9)
Grade 3 or Higher TEAE n (%) 7 (22.6) 2 9 (29.0)
Serious TEAE n (%) 7 (22.6) 2 9 (29.0)
Serious Treatment Related TEAE n (%) 5 (23.8) 0 5 (16.1)
TEAE resulting in discontinuation of study drug n (%) 2 (9.5) 0 2 (6.5)
TEAE resulting in dose modification of study drug n (%) 1 (4.8) 0 1 (3.2)
TEAE resulting in dose reduction of study drug n (%) 0 0 0
TEAE resulting in death n (%) 3 (14.2) 0 3 (9.7)
Treatment related TEAE resulting in death n (%) 3 (14.2) 0 3 (9.7)</v>
      </c>
      <c r="E14" s="83" t="str">
        <f ca="1"/>
        <v>Mock_CSR _Tables_30Oct25.rtf</v>
      </c>
      <c r="F14" s="83" t="str">
        <f ca="1"/>
        <v>Insert the table summarizing adverse events, matching by caption if possible.</v>
      </c>
      <c r="G14" s="83" t="str">
        <f ca="1"/>
        <v xml:space="preserve">Overall Summary of Adverse Events (Safety Analysis Set) </v>
      </c>
      <c r="H14" s="83">
        <f ca="1"/>
        <v>0</v>
      </c>
      <c r="I14" s="83" t="e">
        <f ca="1"/>
        <v>#NAME?</v>
      </c>
      <c r="J14" s="83" t="e" vm="1">
        <f ca="1"/>
        <v>#VALUE!</v>
      </c>
      <c r="K14" s="83" t="str">
        <f ca="1"/>
        <v>No Match</v>
      </c>
    </row>
    <row r="15" spans="1:11">
      <c r="A15" s="83" t="str">
        <f ca="1"/>
        <v>&lt;Internal Table citation of Demographics and other Baseline Characteristics&gt;</v>
      </c>
      <c r="B15" s="83">
        <f ca="1"/>
        <v>0</v>
      </c>
      <c r="C15" s="83" t="str">
        <f ca="1"/>
        <v>Table</v>
      </c>
      <c r="D15" s="83">
        <f ca="1"/>
        <v>0</v>
      </c>
      <c r="E15" s="83">
        <f ca="1"/>
        <v>0</v>
      </c>
      <c r="F15" s="83" t="str">
        <f ca="1"/>
        <v>Demographics and other Baseline Characteristics</v>
      </c>
      <c r="G15" s="83" t="str">
        <f ca="1"/>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14.2.2&lt;/td&gt;&lt;td&gt;Demographics (Full Analysis Set)&lt;/td&gt;&lt;/tr&gt;&lt;/table&gt;</v>
      </c>
      <c r="H15" s="83">
        <f ca="1"/>
        <v>0</v>
      </c>
      <c r="I15" s="83" t="e">
        <f ca="1"/>
        <v>#NAME?</v>
      </c>
      <c r="J15" s="83" t="e" vm="1">
        <f ca="1"/>
        <v>#VALUE!</v>
      </c>
      <c r="K15" s="83" t="str">
        <f ca="1"/>
        <v>No Match</v>
      </c>
    </row>
    <row r="16" spans="1:11">
      <c r="A16" s="83" t="str">
        <f ca="1"/>
        <v>&lt;Internal Table citation of  Pharmacokinetics and Pharmacodynamics Data&gt;</v>
      </c>
      <c r="B16" s="83">
        <f ca="1"/>
        <v>0</v>
      </c>
      <c r="C16" s="83" t="str">
        <f ca="1"/>
        <v>Table</v>
      </c>
      <c r="D16" s="83" t="str">
        <f ca="1"/>
        <v>n (%)	24 (100)	12 (100)	36 (100)</v>
      </c>
      <c r="E16" s="83">
        <f ca="1"/>
        <v>0</v>
      </c>
      <c r="F16" s="83" t="str">
        <f ca="1"/>
        <v>Pharmacokinetics and Pharmacodynamics Data</v>
      </c>
      <c r="G16" s="83" t="str">
        <f ca="1"/>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14.2.3&lt;/td&gt;&lt;td&gt;Pharmacokinetic Parameters Following Single Ascending Doses of ABC-123&lt;/td&gt;&lt;/tr&gt;&lt;tr&gt;&lt;td&gt;Table 14.2.4&lt;/td&gt;&lt;td&gt;Pharmacokinetic Parameters of ABC-123 Following Repeated-Dose  Administration&lt;/td&gt;&lt;/tr&gt;&lt;tr&gt;&lt;td&gt;Table 14.2.5&lt;/td&gt;&lt;td&gt;PD Biomarker Changes Following Single Ascending Dose (SAD) of ABC-123 and Placebo in Healthy Participants&lt;/td&gt;&lt;/tr&gt;&lt;tr&gt;&lt;td&gt;Table 14.2.6&lt;/td&gt;&lt;td&gt;PD Biomarker Changes Following Repeated Dose of ABC-123 and Placebo in Boneitis Participants&lt;/td&gt;&lt;/tr&gt;&lt;/table&gt;</v>
      </c>
      <c r="H16" s="83">
        <f ca="1"/>
        <v>0</v>
      </c>
      <c r="I16" s="83" t="e">
        <f ca="1"/>
        <v>#NAME?</v>
      </c>
      <c r="J16" s="83" t="e" vm="1">
        <f ca="1"/>
        <v>#VALUE!</v>
      </c>
      <c r="K16" s="83" t="str">
        <f ca="1"/>
        <v>No Match</v>
      </c>
    </row>
    <row r="17" spans="1:11">
      <c r="A17" s="83" t="str">
        <f ca="1"/>
        <v>&lt;Internal Table citation of  Safety Data Summary&gt;</v>
      </c>
      <c r="B17" s="83">
        <f ca="1"/>
        <v>0</v>
      </c>
      <c r="C17" s="83" t="str">
        <f ca="1"/>
        <v>Table</v>
      </c>
      <c r="D17" s="83" t="str">
        <f ca="1"/>
        <v>n (%)	21 (87.5)	10 (83.3)	31 (86.1)</v>
      </c>
      <c r="E17" s="83">
        <f ca="1"/>
        <v>0</v>
      </c>
      <c r="F17" s="83" t="str">
        <f ca="1"/>
        <v>Safety Data Summary</v>
      </c>
      <c r="G17" s="83" t="str">
        <f ca="1"/>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14.3.1&lt;/td&gt;&lt;td&gt;Summary of Study Drug Exposure (Safety Analysis Set)&lt;/td&gt;&lt;/tr&gt;&lt;tr&gt;&lt;td&gt;Table 14.3.2&lt;/td&gt;&lt;td&gt;Overall Summary of Adverse Events (Safety Analysis Set)&lt;/td&gt;&lt;/tr&gt;&lt;/table&gt;</v>
      </c>
      <c r="H17" s="83">
        <f ca="1"/>
        <v>0</v>
      </c>
      <c r="I17" s="83" t="e">
        <f ca="1"/>
        <v>#NAME?</v>
      </c>
      <c r="J17" s="83" t="e" vm="1">
        <f ca="1"/>
        <v>#VALUE!</v>
      </c>
      <c r="K17" s="83" t="str">
        <f ca="1"/>
        <v>No Match</v>
      </c>
    </row>
    <row r="18" spans="1:11">
      <c r="A18" s="83" t="str">
        <f ca="1"/>
        <v>&lt;Internal Table citation of  Adverse Events&gt;</v>
      </c>
      <c r="B18" s="83">
        <f ca="1"/>
        <v>0</v>
      </c>
      <c r="C18" s="83" t="str">
        <f ca="1"/>
        <v>Table</v>
      </c>
      <c r="D18" s="83">
        <f ca="1"/>
        <v>0</v>
      </c>
      <c r="E18" s="83">
        <f ca="1"/>
        <v>0</v>
      </c>
      <c r="F18" s="83" t="str">
        <f ca="1"/>
        <v>Adverse Events</v>
      </c>
      <c r="G18" s="83" t="str">
        <f ca="1"/>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14.3.2&lt;/td&gt;&lt;td&gt;Overall Summary of Adverse Events (Safety Analysis Set)&lt;/td&gt;&lt;/tr&gt;&lt;/table&gt;</v>
      </c>
      <c r="H18" s="83">
        <f ca="1"/>
        <v>0</v>
      </c>
      <c r="I18" s="83" t="e">
        <f ca="1"/>
        <v>#NAME?</v>
      </c>
      <c r="J18" s="83" t="e" vm="1">
        <f ca="1"/>
        <v>#VALUE!</v>
      </c>
      <c r="K18" s="83" t="str">
        <f ca="1"/>
        <v>No Match</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2E4407-952B-4382-983E-9BCFE205CE01}">
          <x14:formula1>
            <xm:f>Summary!$D$12:$L$12</xm:f>
          </x14:formula1>
          <xm:sqref>E2 H2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A1DE-3F06-42B3-A3BB-85030183DA6D}">
  <dimension ref="A2:K3"/>
  <sheetViews>
    <sheetView workbookViewId="0">
      <selection activeCell="A4" sqref="A4"/>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140625" style="83" customWidth="1"/>
    <col min="7" max="7" width="20.85546875" style="83" customWidth="1"/>
    <col min="8" max="8" width="31.5" style="83" bestFit="1" customWidth="1"/>
    <col min="9" max="9" width="21.140625" style="83" customWidth="1"/>
    <col min="10" max="10" width="9" style="83"/>
    <col min="11" max="11" width="14" style="83" bestFit="1" customWidth="1"/>
    <col min="12" max="16384" width="9" style="83"/>
  </cols>
  <sheetData>
    <row r="2" spans="1:11" ht="14.6">
      <c r="A2" s="84" t="s">
        <v>72</v>
      </c>
      <c r="B2" s="84"/>
      <c r="C2" s="84" t="s">
        <v>73</v>
      </c>
      <c r="D2" s="84" t="s">
        <v>74</v>
      </c>
      <c r="E2" s="85" t="s">
        <v>75</v>
      </c>
      <c r="F2" s="84" t="s">
        <v>76</v>
      </c>
      <c r="G2" s="84" t="s">
        <v>77</v>
      </c>
      <c r="H2" s="85" t="s">
        <v>78</v>
      </c>
      <c r="I2" s="85" t="s">
        <v>79</v>
      </c>
      <c r="J2" s="85" t="s">
        <v>80</v>
      </c>
      <c r="K2" s="85" t="s">
        <v>81</v>
      </c>
    </row>
    <row r="3" spans="1:11">
      <c r="A3" s="83" t="e" cm="1" vm="3">
        <f t="array" ref="A3">_xlfn._xlws.FILTER(QA!A3:K500, QA!C3:C500="Multi tables")</f>
        <v>#VALUE!</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B1AD19-875C-49EA-A0F6-70D86A1FF93C}">
          <x14:formula1>
            <xm:f>Summary!$D$12:$L$12</xm:f>
          </x14:formula1>
          <xm:sqref>E2 H2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0A3473-C459-485E-80F6-25692C531ED5}">
  <ds:schemaRefs>
    <ds:schemaRef ds:uri="230e9df3-be65-4c73-a93b-d1236ebd677e"/>
    <ds:schemaRef ds:uri="http://schemas.microsoft.com/office/2006/documentManagement/types"/>
    <ds:schemaRef ds:uri="http://purl.org/dc/elements/1.1/"/>
    <ds:schemaRef ds:uri="http://www.w3.org/XML/1998/namespace"/>
    <ds:schemaRef ds:uri="71af3243-3dd4-4a8d-8c0d-dd76da1f02a5"/>
    <ds:schemaRef ds:uri="http://schemas.microsoft.com/office/infopath/2007/PartnerControls"/>
    <ds:schemaRef ds:uri="16c05727-aa75-4e4a-9b5f-8a80a1165891"/>
    <ds:schemaRef ds:uri="http://schemas.microsoft.com/office/2006/metadata/properties"/>
    <ds:schemaRef ds:uri="http://schemas.microsoft.com/sharepoint/v3"/>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6AD6E3EC-16C2-4ADF-B568-9E49558FFD9C}">
  <ds:schemaRefs>
    <ds:schemaRef ds:uri="http://schemas.microsoft.com/sharepoint/v3/contenttype/forms"/>
  </ds:schemaRefs>
</ds:datastoreItem>
</file>

<file path=customXml/itemProps3.xml><?xml version="1.0" encoding="utf-8"?>
<ds:datastoreItem xmlns:ds="http://schemas.openxmlformats.org/officeDocument/2006/customXml" ds:itemID="{916CA0A6-4FAA-4A1B-9C7C-92245E3B14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TM16410091</Template>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QA</vt:lpstr>
      <vt:lpstr>Inline</vt:lpstr>
      <vt:lpstr>Paragraph</vt:lpstr>
      <vt:lpstr>KeyValue</vt:lpstr>
      <vt:lpstr>Lists</vt:lpstr>
      <vt:lpstr>Table</vt:lpstr>
      <vt:lpstr>Multi Tables</vt:lpstr>
      <vt:lpstr>AveDistancePerTrip</vt:lpstr>
      <vt:lpstr>AverageTripsPerDay</vt:lpstr>
      <vt:lpstr>AveTimePerTrip</vt:lpstr>
      <vt:lpstr>RatePerHour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2026-04-01T07:21:24Z</dcterms:created>
  <dcterms:modified xsi:type="dcterms:W3CDTF">2026-06-11T06:03:09Z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